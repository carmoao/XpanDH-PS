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89A67BC6-C608-4A33-AD46-74328533A891}" xr6:coauthVersionLast="47" xr6:coauthVersionMax="47" xr10:uidLastSave="{00000000-0000-0000-0000-000000000000}"/>
  <bookViews>
    <workbookView xWindow="-90" yWindow="-90" windowWidth="19380" windowHeight="10260" firstSheet="38" activeTab="40"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onceptMap-2" sheetId="196" r:id="rId10"/>
    <sheet name="Pregnancy-ConceptMap-3" sheetId="197" r:id="rId11"/>
    <sheet name="Pregnancy-CM-fsh" sheetId="195" r:id="rId12"/>
    <sheet name="A.2.3.3 FunctionalStatus" sheetId="188" r:id="rId13"/>
    <sheet name="FunctionalStatus-fsh" sheetId="189" r:id="rId14"/>
    <sheet name="FunctionalStat-ConceptMap-1" sheetId="190" r:id="rId15"/>
    <sheet name="FunctionalStatus-CM-fsh" sheetId="191" r:id="rId16"/>
    <sheet name="A.2.3.3 Procedures" sheetId="184" r:id="rId17"/>
    <sheet name="Procedures-fsh" sheetId="185" r:id="rId18"/>
    <sheet name="Procedures-ConceptMap-1" sheetId="186" r:id="rId19"/>
    <sheet name="Procedures-CM-fsh" sheetId="187" r:id="rId20"/>
    <sheet name="A.2.3.2 Devices" sheetId="180" r:id="rId21"/>
    <sheet name="Devices-fsh" sheetId="181" r:id="rId22"/>
    <sheet name="Devices-ConceptMap-1" sheetId="182" r:id="rId23"/>
    <sheet name="Devices-CM-fsh" sheetId="183" r:id="rId24"/>
    <sheet name="A.2.3.1 Problem" sheetId="176" r:id="rId25"/>
    <sheet name="Problem-fsh" sheetId="177" r:id="rId26"/>
    <sheet name="Problem-ConceptMap-1" sheetId="178" r:id="rId27"/>
    <sheet name="Problem-CM-fsh" sheetId="179" r:id="rId28"/>
    <sheet name="A.2.2.2 ClosedProblem" sheetId="131" r:id="rId29"/>
    <sheet name="ClosedProblem-fsh" sheetId="133" r:id="rId30"/>
    <sheet name="ClosedProblem-ConceptMap-1" sheetId="162" r:id="rId31"/>
    <sheet name="ClosedProblem-CM-fsh" sheetId="165" r:id="rId32"/>
    <sheet name="A.2.8 Results" sheetId="134" r:id="rId33"/>
    <sheet name="Results-fsh" sheetId="136" r:id="rId34"/>
    <sheet name="Results-ConceptMap-1" sheetId="168" r:id="rId35"/>
    <sheet name="Results-CM-fsh" sheetId="171" r:id="rId36"/>
    <sheet name="A.2.4.1  Medicine" sheetId="118" r:id="rId37"/>
    <sheet name="Medicine-fsh" sheetId="120" r:id="rId38"/>
    <sheet name="Medicine-ConceptMap-1" sheetId="157" r:id="rId39"/>
    <sheet name="Medicine-ConceptMap-2" sheetId="175" r:id="rId40"/>
    <sheet name="Medicine-CM-fsh" sheetId="158" r:id="rId41"/>
    <sheet name="A.2.2.1 Vaccination" sheetId="128" r:id="rId42"/>
    <sheet name="Vaccination-fsh" sheetId="130" r:id="rId43"/>
    <sheet name="Vaccination-ConceptMap-1" sheetId="159" r:id="rId44"/>
    <sheet name="Vaccination-CM-fsh" sheetId="161" r:id="rId45"/>
    <sheet name="Subj" sheetId="12" r:id="rId46"/>
    <sheet name="Subj-fsh" sheetId="73" r:id="rId47"/>
    <sheet name="Subj-ConceptMap-1" sheetId="141" r:id="rId48"/>
    <sheet name="Subj-CM-fsh" sheetId="143" r:id="rId49"/>
    <sheet name="A1.3 Payer" sheetId="111" r:id="rId50"/>
    <sheet name="Payer-Map-1" sheetId="112" r:id="rId51"/>
    <sheet name="Payer-fsh" sheetId="113" r:id="rId52"/>
    <sheet name="Payer-ConceptMap-1" sheetId="144" r:id="rId53"/>
    <sheet name="Payer-ConceptMap-2" sheetId="173" r:id="rId54"/>
    <sheet name="Payer-ConceptMap-3" sheetId="172" r:id="rId55"/>
    <sheet name="Payer-CM-fsh" sheetId="145" r:id="rId56"/>
    <sheet name="A.2.1.1 Allergy" sheetId="115" r:id="rId57"/>
    <sheet name="Allergy-fsh" sheetId="117" r:id="rId58"/>
    <sheet name="Allergy-ConceptMap-1" sheetId="146" r:id="rId59"/>
    <sheet name="Allergy-CM-fsh" sheetId="147" r:id="rId60"/>
    <sheet name="A1.5 Author" sheetId="124" r:id="rId61"/>
    <sheet name="Author-Map-1" sheetId="125" r:id="rId62"/>
    <sheet name="Author-fsh" sheetId="126" r:id="rId63"/>
    <sheet name="Author-ConceptMap-1" sheetId="153" r:id="rId64"/>
    <sheet name="Author-ConceptMap-2" sheetId="148" r:id="rId65"/>
    <sheet name="Author-ConceptMap-2-delete" sheetId="151" r:id="rId66"/>
    <sheet name="Author-CM-fsh" sheetId="156" r:id="rId67"/>
    <sheet name="A1.6 LegalAuth" sheetId="121" r:id="rId68"/>
    <sheet name="LegalAuth-fsh" sheetId="123" r:id="rId69"/>
    <sheet name="LegalAuth-ConceptMap-1" sheetId="154" r:id="rId70"/>
    <sheet name="LegalAuth-CM-fsh" sheetId="155" r:id="rId71"/>
  </sheets>
  <externalReferences>
    <externalReference r:id="rId72"/>
  </externalReferences>
  <definedNames>
    <definedName name="AllergyIntolerance.verificationStatus" localSheetId="58">'Allergy-ConceptMap-1'!$D$24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0" i="158" l="1"/>
  <c r="B91" i="158"/>
  <c r="B92" i="158"/>
  <c r="B93" i="158"/>
  <c r="B94" i="158"/>
  <c r="B95" i="158"/>
  <c r="B96" i="158"/>
  <c r="B97" i="158"/>
  <c r="B98" i="158"/>
  <c r="B99" i="158"/>
  <c r="B100" i="158"/>
  <c r="B101" i="158"/>
  <c r="B102" i="158"/>
  <c r="B103" i="158"/>
  <c r="B104" i="158"/>
  <c r="B105" i="158"/>
  <c r="B106" i="158"/>
  <c r="B107" i="158"/>
  <c r="B108" i="158"/>
  <c r="B109" i="158"/>
  <c r="B110" i="158"/>
  <c r="B111" i="158"/>
  <c r="B112" i="158"/>
  <c r="B113" i="158"/>
  <c r="B114" i="158"/>
  <c r="B115" i="158"/>
  <c r="Q16" i="175"/>
  <c r="S16" i="175" s="1" a="1"/>
  <c r="S16" i="175" s="1"/>
  <c r="R16" i="175"/>
  <c r="Q17" i="175"/>
  <c r="S17" i="175" s="1" a="1"/>
  <c r="S17" i="175" s="1"/>
  <c r="R17" i="175"/>
  <c r="Q18" i="175"/>
  <c r="S18" i="175" s="1" a="1"/>
  <c r="S18" i="175" s="1"/>
  <c r="R18" i="175"/>
  <c r="Q19" i="175"/>
  <c r="S19" i="175" s="1" a="1"/>
  <c r="S19" i="175" s="1"/>
  <c r="R19" i="175"/>
  <c r="Q20" i="175"/>
  <c r="S20" i="175" s="1" a="1"/>
  <c r="S20" i="175" s="1"/>
  <c r="R20" i="175"/>
  <c r="Q21" i="175"/>
  <c r="S21" i="175" s="1" a="1"/>
  <c r="S21" i="175" s="1"/>
  <c r="R21" i="175"/>
  <c r="Q22" i="175"/>
  <c r="S22" i="175" s="1" a="1"/>
  <c r="S22" i="175" s="1"/>
  <c r="R22" i="175"/>
  <c r="Q23" i="175"/>
  <c r="S23" i="175" s="1" a="1"/>
  <c r="S23" i="175" s="1"/>
  <c r="R23" i="175"/>
  <c r="Q24" i="175"/>
  <c r="S24" i="175" s="1" a="1"/>
  <c r="S24" i="175" s="1"/>
  <c r="R24" i="175"/>
  <c r="Q25" i="175"/>
  <c r="S25" i="175" s="1" a="1"/>
  <c r="S25" i="175" s="1"/>
  <c r="R25" i="175"/>
  <c r="Q26" i="175"/>
  <c r="S26" i="175" s="1" a="1"/>
  <c r="S26" i="175" s="1"/>
  <c r="R26" i="175"/>
  <c r="Q27" i="175"/>
  <c r="S27" i="175" s="1" a="1"/>
  <c r="S27" i="175" s="1"/>
  <c r="R27" i="175"/>
  <c r="Q28" i="175"/>
  <c r="S28" i="175" s="1" a="1"/>
  <c r="S28" i="175" s="1"/>
  <c r="R28" i="175"/>
  <c r="Q29" i="175"/>
  <c r="S29" i="175" s="1" a="1"/>
  <c r="S29" i="175" s="1"/>
  <c r="R29" i="175"/>
  <c r="Q30" i="175"/>
  <c r="S30" i="175" s="1" a="1"/>
  <c r="S30" i="175" s="1"/>
  <c r="R30" i="175"/>
  <c r="Q31" i="175"/>
  <c r="S31" i="175" s="1" a="1"/>
  <c r="S31" i="175" s="1"/>
  <c r="R31" i="175"/>
  <c r="Q32" i="175"/>
  <c r="S32" i="175" s="1" a="1"/>
  <c r="S32" i="175" s="1"/>
  <c r="R32" i="175"/>
  <c r="Q33" i="175"/>
  <c r="S33" i="175" s="1" a="1"/>
  <c r="S33" i="175" s="1"/>
  <c r="R33" i="175"/>
  <c r="Q34" i="175"/>
  <c r="S34" i="175" s="1" a="1"/>
  <c r="S34" i="175" s="1"/>
  <c r="R34" i="175"/>
  <c r="Q35" i="175"/>
  <c r="S35" i="175" s="1" a="1"/>
  <c r="S35" i="175" s="1"/>
  <c r="R35" i="175"/>
  <c r="Q36" i="175"/>
  <c r="S36" i="175" s="1" a="1"/>
  <c r="S36" i="175" s="1"/>
  <c r="R36" i="175"/>
  <c r="Q37" i="175"/>
  <c r="S37" i="175" s="1" a="1"/>
  <c r="S37" i="175" s="1"/>
  <c r="R37" i="175"/>
  <c r="Q38" i="175"/>
  <c r="S38" i="175" s="1" a="1"/>
  <c r="S38" i="175" s="1"/>
  <c r="R38" i="175"/>
  <c r="Q39" i="175"/>
  <c r="S39" i="175" s="1" a="1"/>
  <c r="S39" i="175" s="1"/>
  <c r="R39" i="175"/>
  <c r="Q40" i="175"/>
  <c r="S40" i="175" s="1" a="1"/>
  <c r="S40" i="175" s="1"/>
  <c r="R40" i="175"/>
  <c r="Q41" i="175"/>
  <c r="S41" i="175" s="1" a="1"/>
  <c r="S41" i="175" s="1"/>
  <c r="R41" i="175"/>
  <c r="Q42" i="175"/>
  <c r="S42" i="175" s="1" a="1"/>
  <c r="S42" i="175" s="1"/>
  <c r="R42" i="175"/>
  <c r="Q43" i="175"/>
  <c r="S43" i="175" s="1" a="1"/>
  <c r="S43" i="175" s="1"/>
  <c r="R43" i="175"/>
  <c r="Q44" i="175"/>
  <c r="S44" i="175" s="1" a="1"/>
  <c r="S44" i="175" s="1"/>
  <c r="R44" i="175"/>
  <c r="Q45" i="175"/>
  <c r="S45" i="175" s="1" a="1"/>
  <c r="S45" i="175" s="1"/>
  <c r="R45" i="175"/>
  <c r="Q46" i="175"/>
  <c r="S46" i="175" s="1" a="1"/>
  <c r="S46" i="175" s="1"/>
  <c r="R46" i="175"/>
  <c r="Q47" i="175"/>
  <c r="S47" i="175" s="1" a="1"/>
  <c r="S47" i="175" s="1"/>
  <c r="R47" i="175"/>
  <c r="Q48" i="175"/>
  <c r="S48" i="175" s="1" a="1"/>
  <c r="S48" i="175" s="1"/>
  <c r="R48" i="175"/>
  <c r="Q49" i="175"/>
  <c r="S49" i="175" s="1" a="1"/>
  <c r="S49" i="175" s="1"/>
  <c r="R49" i="175"/>
  <c r="Q50" i="175"/>
  <c r="S50" i="175" s="1" a="1"/>
  <c r="S50" i="175"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I16" i="175"/>
  <c r="J16" i="175"/>
  <c r="K16" i="175"/>
  <c r="L16" i="175"/>
  <c r="M16" i="175"/>
  <c r="N16" i="175"/>
  <c r="I17" i="175"/>
  <c r="J17" i="175"/>
  <c r="K17" i="175"/>
  <c r="L17" i="175"/>
  <c r="M17" i="175"/>
  <c r="N17" i="175"/>
  <c r="I18" i="175"/>
  <c r="J18" i="175"/>
  <c r="K18" i="175"/>
  <c r="L18" i="175"/>
  <c r="M18" i="175"/>
  <c r="N18" i="175"/>
  <c r="B163" i="195"/>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52" i="138"/>
  <c r="Q16" i="137"/>
  <c r="S16" i="137" s="1" a="1"/>
  <c r="S16" i="137" s="1"/>
  <c r="B21" i="138" s="1"/>
  <c r="R16" i="137"/>
  <c r="Q17" i="137"/>
  <c r="R17" i="137"/>
  <c r="S17" i="137" a="1"/>
  <c r="S17" i="137"/>
  <c r="B22" i="138" s="1"/>
  <c r="Q18" i="137"/>
  <c r="S18" i="137" s="1" a="1"/>
  <c r="S18" i="137" s="1"/>
  <c r="B23" i="138" s="1"/>
  <c r="R18" i="137"/>
  <c r="Q19" i="137"/>
  <c r="R19" i="137"/>
  <c r="S19" i="137" a="1"/>
  <c r="S19" i="137" s="1"/>
  <c r="B24" i="138" s="1"/>
  <c r="Q20" i="137"/>
  <c r="S20" i="137" s="1" a="1"/>
  <c r="S20" i="137" s="1"/>
  <c r="B25" i="138" s="1"/>
  <c r="R20" i="137"/>
  <c r="Q21" i="137"/>
  <c r="R21" i="137"/>
  <c r="S21" i="137" a="1"/>
  <c r="S21" i="137" s="1"/>
  <c r="B26" i="138" s="1"/>
  <c r="Q22" i="137"/>
  <c r="S22" i="137" s="1" a="1"/>
  <c r="S22" i="137" s="1"/>
  <c r="B27" i="138" s="1"/>
  <c r="R22" i="137"/>
  <c r="Q23" i="137"/>
  <c r="R23" i="137"/>
  <c r="S23" i="137" a="1"/>
  <c r="S23" i="137" s="1"/>
  <c r="B28" i="138" s="1"/>
  <c r="Q24" i="137"/>
  <c r="S24" i="137" s="1" a="1"/>
  <c r="S24" i="137" s="1"/>
  <c r="B29" i="138" s="1"/>
  <c r="R24" i="137"/>
  <c r="Q25" i="137"/>
  <c r="R25" i="137"/>
  <c r="S25" i="137" a="1"/>
  <c r="S25" i="137" s="1"/>
  <c r="B30" i="138" s="1"/>
  <c r="Q26" i="137"/>
  <c r="S26" i="137" s="1" a="1"/>
  <c r="S26" i="137" s="1"/>
  <c r="B31" i="138" s="1"/>
  <c r="R26" i="137"/>
  <c r="Q27" i="137"/>
  <c r="R27" i="137"/>
  <c r="S27" i="137" a="1"/>
  <c r="S27" i="137" s="1"/>
  <c r="B32" i="138" s="1"/>
  <c r="Q28" i="137"/>
  <c r="S28" i="137" s="1" a="1"/>
  <c r="S28" i="137" s="1"/>
  <c r="B33" i="138" s="1"/>
  <c r="R28" i="137"/>
  <c r="Q29" i="137"/>
  <c r="R29" i="137"/>
  <c r="S29" i="137" a="1"/>
  <c r="S29" i="137" s="1"/>
  <c r="B34" i="138" s="1"/>
  <c r="Q30" i="137"/>
  <c r="S30" i="137" s="1" a="1"/>
  <c r="S30" i="137" s="1"/>
  <c r="B35" i="138" s="1"/>
  <c r="R30" i="137"/>
  <c r="Q31" i="137"/>
  <c r="R31" i="137"/>
  <c r="S31" i="137" a="1"/>
  <c r="S31" i="137" s="1"/>
  <c r="B36" i="138" s="1"/>
  <c r="Q32" i="137"/>
  <c r="S32" i="137" s="1" a="1"/>
  <c r="S32" i="137" s="1"/>
  <c r="B37" i="138" s="1"/>
  <c r="R32" i="137"/>
  <c r="Q33" i="137"/>
  <c r="R33" i="137"/>
  <c r="S33" i="137" a="1"/>
  <c r="S33" i="137" s="1"/>
  <c r="B38" i="138" s="1"/>
  <c r="Q34" i="137"/>
  <c r="S34" i="137" s="1" a="1"/>
  <c r="S34" i="137" s="1"/>
  <c r="B39" i="138" s="1"/>
  <c r="R34" i="137"/>
  <c r="Q35" i="137"/>
  <c r="R35" i="137"/>
  <c r="S35" i="137" a="1"/>
  <c r="S35" i="137" s="1"/>
  <c r="B40" i="138" s="1"/>
  <c r="Q36" i="137"/>
  <c r="S36" i="137" s="1" a="1"/>
  <c r="S36" i="137" s="1"/>
  <c r="B41" i="138" s="1"/>
  <c r="R36" i="137"/>
  <c r="Q37" i="137"/>
  <c r="R37" i="137"/>
  <c r="S37" i="137" a="1"/>
  <c r="S37" i="137" s="1"/>
  <c r="B42" i="138" s="1"/>
  <c r="Q38" i="137"/>
  <c r="S38" i="137" s="1" a="1"/>
  <c r="S38" i="137" s="1"/>
  <c r="B43" i="138" s="1"/>
  <c r="R38" i="137"/>
  <c r="Q39" i="137"/>
  <c r="R39" i="137"/>
  <c r="S39" i="137" a="1"/>
  <c r="S39" i="137" s="1"/>
  <c r="B44" i="138" s="1"/>
  <c r="Q40" i="137"/>
  <c r="S40" i="137" s="1" a="1"/>
  <c r="S40" i="137" s="1"/>
  <c r="B45" i="138" s="1"/>
  <c r="R40" i="137"/>
  <c r="Q41" i="137"/>
  <c r="R41" i="137"/>
  <c r="S41" i="137" a="1"/>
  <c r="S41" i="137" s="1"/>
  <c r="B46" i="138"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s="1"/>
  <c r="Q48" i="137"/>
  <c r="S48" i="137" s="1" a="1"/>
  <c r="S48" i="137" s="1"/>
  <c r="B53" i="138"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Q56" i="137"/>
  <c r="S56" i="137" s="1" a="1"/>
  <c r="S56" i="137" s="1"/>
  <c r="B61" i="138" s="1"/>
  <c r="R56" i="137"/>
  <c r="Q57" i="137"/>
  <c r="R57" i="137"/>
  <c r="S57" i="137" a="1"/>
  <c r="S57" i="137" s="1"/>
  <c r="B62" i="138" s="1"/>
  <c r="Q58" i="137"/>
  <c r="S58" i="137" s="1" a="1"/>
  <c r="S58" i="137" s="1"/>
  <c r="B63" i="138" s="1"/>
  <c r="R58" i="137"/>
  <c r="Q59" i="137"/>
  <c r="R59" i="137"/>
  <c r="S59" i="137" a="1"/>
  <c r="S59" i="137" s="1"/>
  <c r="B64" i="138" s="1"/>
  <c r="Q60" i="137"/>
  <c r="S60" i="137" s="1" a="1"/>
  <c r="S60" i="137" s="1"/>
  <c r="B65" i="138" s="1"/>
  <c r="R60" i="137"/>
  <c r="Q61" i="137"/>
  <c r="S61" i="137" s="1" a="1"/>
  <c r="S61" i="137" s="1"/>
  <c r="B66" i="138" s="1"/>
  <c r="R61" i="137"/>
  <c r="Q62" i="137"/>
  <c r="S62" i="137" s="1" a="1"/>
  <c r="S62" i="137" s="1"/>
  <c r="B67" i="138" s="1"/>
  <c r="R62" i="137"/>
  <c r="Q63" i="137"/>
  <c r="R63" i="137"/>
  <c r="Q64" i="137"/>
  <c r="S64" i="137" s="1" a="1"/>
  <c r="S64" i="137" s="1"/>
  <c r="B69" i="138" s="1"/>
  <c r="R64" i="137"/>
  <c r="Q65" i="137"/>
  <c r="R65" i="137"/>
  <c r="S65" i="137" a="1"/>
  <c r="S65" i="137" s="1"/>
  <c r="B70" i="138" s="1"/>
  <c r="Q66" i="137"/>
  <c r="S66" i="137" s="1" a="1"/>
  <c r="S66" i="137" s="1"/>
  <c r="B71" i="138" s="1"/>
  <c r="R66" i="137"/>
  <c r="Q67" i="137"/>
  <c r="R67" i="137"/>
  <c r="S67" i="137" a="1"/>
  <c r="S67" i="137" s="1"/>
  <c r="B72" i="138" s="1"/>
  <c r="Q68" i="137"/>
  <c r="R68" i="137"/>
  <c r="Q69" i="137"/>
  <c r="S69" i="137" s="1" a="1"/>
  <c r="S69" i="137" s="1"/>
  <c r="B74" i="138" s="1"/>
  <c r="R69" i="137"/>
  <c r="Q70" i="137"/>
  <c r="S70" i="137" s="1" a="1"/>
  <c r="S70" i="137" s="1"/>
  <c r="B75" i="138" s="1"/>
  <c r="R70" i="137"/>
  <c r="Q71" i="137"/>
  <c r="R71" i="137"/>
  <c r="Q72" i="137"/>
  <c r="S72" i="137" s="1" a="1"/>
  <c r="S72" i="137" s="1"/>
  <c r="B77" i="138" s="1"/>
  <c r="R72" i="137"/>
  <c r="Q73" i="137"/>
  <c r="R73" i="137"/>
  <c r="S73" i="137" a="1"/>
  <c r="S73" i="137"/>
  <c r="B78" i="138" s="1"/>
  <c r="Q74" i="137"/>
  <c r="S74" i="137" s="1" a="1"/>
  <c r="S74" i="137" s="1"/>
  <c r="B79" i="138" s="1"/>
  <c r="R74" i="137"/>
  <c r="Q75" i="137"/>
  <c r="R75" i="137"/>
  <c r="S75" i="137" a="1"/>
  <c r="S75" i="137" s="1"/>
  <c r="B80" i="138" s="1"/>
  <c r="Q76" i="137"/>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R81" i="137"/>
  <c r="S81" i="137" a="1"/>
  <c r="S81" i="137" s="1"/>
  <c r="B86" i="138" s="1"/>
  <c r="Q82" i="137"/>
  <c r="S82" i="137" s="1" a="1"/>
  <c r="S82" i="137" s="1"/>
  <c r="B87" i="138" s="1"/>
  <c r="R82" i="137"/>
  <c r="Q83" i="137"/>
  <c r="R83" i="137"/>
  <c r="S83" i="137" a="1"/>
  <c r="S83" i="137" s="1"/>
  <c r="B88" i="138" s="1"/>
  <c r="Q84" i="137"/>
  <c r="R84" i="137"/>
  <c r="Q85" i="137"/>
  <c r="S85" i="137" s="1" a="1"/>
  <c r="S85" i="137" s="1"/>
  <c r="B90" i="138" s="1"/>
  <c r="R85" i="137"/>
  <c r="Q86" i="137"/>
  <c r="S86" i="137" s="1" a="1"/>
  <c r="S86" i="137" s="1"/>
  <c r="B91" i="138" s="1"/>
  <c r="R86" i="137"/>
  <c r="Q87" i="137"/>
  <c r="R87" i="137"/>
  <c r="Q88" i="137"/>
  <c r="S88" i="137" s="1" a="1"/>
  <c r="S88" i="137" s="1"/>
  <c r="B93" i="138" s="1"/>
  <c r="R88" i="137"/>
  <c r="Q89" i="137"/>
  <c r="R89" i="137"/>
  <c r="S89" i="137" a="1"/>
  <c r="S89" i="137" s="1"/>
  <c r="B94" i="138" s="1"/>
  <c r="Q90" i="137"/>
  <c r="S90" i="137" s="1" a="1"/>
  <c r="S90" i="137" s="1"/>
  <c r="B95" i="138" s="1"/>
  <c r="R90" i="137"/>
  <c r="Q91" i="137"/>
  <c r="R91" i="137"/>
  <c r="S91" i="137" a="1"/>
  <c r="S91" i="137" s="1"/>
  <c r="B96" i="138" s="1"/>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R97" i="137"/>
  <c r="S97" i="137" a="1"/>
  <c r="S97" i="137" s="1"/>
  <c r="B102" i="138" s="1"/>
  <c r="Q98" i="137"/>
  <c r="S98" i="137" s="1" a="1"/>
  <c r="S98" i="137" s="1"/>
  <c r="B103" i="138" s="1"/>
  <c r="R98" i="137"/>
  <c r="Q99" i="137"/>
  <c r="R99" i="137"/>
  <c r="S99" i="137" a="1"/>
  <c r="S99" i="137" s="1"/>
  <c r="B104" i="138" s="1"/>
  <c r="Q100" i="137"/>
  <c r="R100" i="137"/>
  <c r="Q101" i="137"/>
  <c r="S101" i="137" s="1" a="1"/>
  <c r="S101" i="137" s="1"/>
  <c r="B106" i="138" s="1"/>
  <c r="R101" i="137"/>
  <c r="Q102" i="137"/>
  <c r="R102" i="137"/>
  <c r="S102" i="137" s="1" a="1"/>
  <c r="S102" i="137" s="1"/>
  <c r="B107" i="138" s="1"/>
  <c r="Q103" i="137"/>
  <c r="S103" i="137" s="1" a="1"/>
  <c r="S103" i="137" s="1"/>
  <c r="B108" i="138" s="1"/>
  <c r="R103" i="137"/>
  <c r="Q104" i="137"/>
  <c r="R104" i="137"/>
  <c r="S104" i="137" a="1"/>
  <c r="S104" i="137" s="1"/>
  <c r="B109" i="138" s="1"/>
  <c r="Q105" i="137"/>
  <c r="S105" i="137" s="1" a="1"/>
  <c r="S105" i="137" s="1"/>
  <c r="B110" i="138" s="1"/>
  <c r="R105" i="137"/>
  <c r="Q106" i="137"/>
  <c r="R106" i="137"/>
  <c r="S106" i="137" s="1" a="1"/>
  <c r="S106" i="137" s="1"/>
  <c r="B111" i="138" s="1"/>
  <c r="Q107" i="137"/>
  <c r="R107" i="137"/>
  <c r="Q108" i="137"/>
  <c r="R108" i="137"/>
  <c r="S108" i="137" a="1"/>
  <c r="S108" i="137" s="1"/>
  <c r="B113" i="138" s="1"/>
  <c r="Q109" i="137"/>
  <c r="R109" i="137"/>
  <c r="S109" i="137" s="1" a="1"/>
  <c r="S109" i="137" s="1"/>
  <c r="B114" i="138" s="1"/>
  <c r="Q110" i="137"/>
  <c r="S110" i="137" s="1" a="1"/>
  <c r="S110" i="137" s="1"/>
  <c r="B115" i="138" s="1"/>
  <c r="R110" i="137"/>
  <c r="Q111" i="137"/>
  <c r="R111" i="137"/>
  <c r="S111" i="137" a="1"/>
  <c r="S111" i="137" s="1"/>
  <c r="B116" i="138" s="1"/>
  <c r="Q112" i="137"/>
  <c r="S112" i="137" s="1" a="1"/>
  <c r="S112" i="137" s="1"/>
  <c r="B117" i="138" s="1"/>
  <c r="R112" i="137"/>
  <c r="Q113" i="137"/>
  <c r="R113" i="137"/>
  <c r="S113" i="137" s="1" a="1"/>
  <c r="S113" i="137" s="1"/>
  <c r="B118" i="138" s="1"/>
  <c r="Q114" i="137"/>
  <c r="S114" i="137" s="1" a="1"/>
  <c r="S114" i="137" s="1"/>
  <c r="B119" i="138" s="1"/>
  <c r="R114" i="137"/>
  <c r="Q115" i="137"/>
  <c r="R115" i="137"/>
  <c r="S115" i="137" a="1"/>
  <c r="S115" i="137" s="1"/>
  <c r="B120" i="138" s="1"/>
  <c r="Q116" i="137"/>
  <c r="R116" i="137"/>
  <c r="S116" i="137" s="1" a="1"/>
  <c r="S116" i="137" s="1"/>
  <c r="B121" i="138" s="1"/>
  <c r="Q117" i="137"/>
  <c r="S117" i="137" s="1" a="1"/>
  <c r="S117" i="137" s="1"/>
  <c r="B122" i="138" s="1"/>
  <c r="R117" i="137"/>
  <c r="Q118" i="137"/>
  <c r="R118" i="137"/>
  <c r="S118" i="137" a="1"/>
  <c r="S118" i="137" s="1"/>
  <c r="B123" i="138" s="1"/>
  <c r="Q119" i="137"/>
  <c r="S119" i="137" s="1" a="1"/>
  <c r="S119" i="137" s="1"/>
  <c r="B124" i="138" s="1"/>
  <c r="R119" i="137"/>
  <c r="Q120" i="137"/>
  <c r="S120" i="137" s="1" a="1"/>
  <c r="S120" i="137" s="1"/>
  <c r="B125" i="138" s="1"/>
  <c r="R120" i="137"/>
  <c r="Q121" i="137"/>
  <c r="S121" i="137" s="1" a="1"/>
  <c r="S121" i="137" s="1"/>
  <c r="B126" i="138" s="1"/>
  <c r="R121" i="137"/>
  <c r="Q122" i="137"/>
  <c r="R122" i="137"/>
  <c r="S122" i="137" s="1" a="1"/>
  <c r="S122" i="137" s="1"/>
  <c r="B127" i="138" s="1"/>
  <c r="Q123" i="137"/>
  <c r="R123" i="137"/>
  <c r="S123" i="137" s="1" a="1"/>
  <c r="S123" i="137" s="1"/>
  <c r="B128" i="138" s="1"/>
  <c r="Q124" i="137"/>
  <c r="R124" i="137"/>
  <c r="S124" i="137" a="1"/>
  <c r="S124" i="137" s="1"/>
  <c r="B129" i="138" s="1"/>
  <c r="Q125" i="137"/>
  <c r="R125" i="137"/>
  <c r="S125" i="137" s="1" a="1"/>
  <c r="S125" i="137" s="1"/>
  <c r="B130" i="138" s="1"/>
  <c r="Q126" i="137"/>
  <c r="S126" i="137" s="1" a="1"/>
  <c r="S126" i="137" s="1"/>
  <c r="B131" i="138" s="1"/>
  <c r="R126" i="137"/>
  <c r="Q127" i="137"/>
  <c r="S127" i="137" s="1" a="1"/>
  <c r="S127" i="137" s="1"/>
  <c r="B132" i="138" s="1"/>
  <c r="R127" i="137"/>
  <c r="Q128" i="137"/>
  <c r="S128" i="137" s="1" a="1"/>
  <c r="S128" i="137" s="1"/>
  <c r="B133" i="138" s="1"/>
  <c r="R128" i="137"/>
  <c r="Q129" i="137"/>
  <c r="R129" i="137"/>
  <c r="Q130" i="137"/>
  <c r="R130" i="137"/>
  <c r="Q131" i="137"/>
  <c r="R131" i="137"/>
  <c r="S131" i="137" a="1"/>
  <c r="S131" i="137" s="1"/>
  <c r="B136" i="138" s="1"/>
  <c r="Q132" i="137"/>
  <c r="R132" i="137"/>
  <c r="S132" i="137" s="1" a="1"/>
  <c r="S132" i="137" s="1"/>
  <c r="B137" i="138" s="1"/>
  <c r="Q133" i="137"/>
  <c r="S133" i="137" s="1" a="1"/>
  <c r="S133" i="137" s="1"/>
  <c r="B138" i="138" s="1"/>
  <c r="R133" i="137"/>
  <c r="Q134" i="137"/>
  <c r="R134" i="137"/>
  <c r="S134" i="137" s="1" a="1"/>
  <c r="S134" i="137" s="1"/>
  <c r="B139" i="138" s="1"/>
  <c r="Q135" i="137"/>
  <c r="S135" i="137" s="1" a="1"/>
  <c r="S135" i="137" s="1"/>
  <c r="B140" i="138" s="1"/>
  <c r="R135" i="137"/>
  <c r="Q136" i="137"/>
  <c r="R136" i="137"/>
  <c r="S136" i="137" a="1"/>
  <c r="S136" i="137" s="1"/>
  <c r="B141" i="138" s="1"/>
  <c r="Q137" i="137"/>
  <c r="R137" i="137"/>
  <c r="Q138" i="137"/>
  <c r="R138" i="137"/>
  <c r="S138" i="137" s="1" a="1"/>
  <c r="S138" i="137" s="1"/>
  <c r="B143" i="138" s="1"/>
  <c r="Q139" i="137"/>
  <c r="S139" i="137" s="1" a="1"/>
  <c r="S139" i="137" s="1"/>
  <c r="B144" i="138" s="1"/>
  <c r="R139" i="137"/>
  <c r="Q140" i="137"/>
  <c r="R140" i="137"/>
  <c r="S140" i="137" a="1"/>
  <c r="S140" i="137" s="1"/>
  <c r="B145" i="138" s="1"/>
  <c r="Q141" i="137"/>
  <c r="R141" i="137"/>
  <c r="S141" i="137" s="1" a="1"/>
  <c r="S141" i="137" s="1"/>
  <c r="B146" i="138" s="1"/>
  <c r="Q142" i="137"/>
  <c r="S142" i="137" s="1" a="1"/>
  <c r="S142" i="137" s="1"/>
  <c r="B147" i="138" s="1"/>
  <c r="R142" i="137"/>
  <c r="Q143" i="137"/>
  <c r="S143" i="137" s="1" a="1"/>
  <c r="S143" i="137" s="1"/>
  <c r="B148" i="138" s="1"/>
  <c r="R143" i="137"/>
  <c r="Q144" i="137"/>
  <c r="S144" i="137" s="1" a="1"/>
  <c r="S144" i="137" s="1"/>
  <c r="B149" i="138" s="1"/>
  <c r="R144" i="137"/>
  <c r="Q145" i="137"/>
  <c r="R145" i="137"/>
  <c r="Q146" i="137"/>
  <c r="S146" i="137" s="1" a="1"/>
  <c r="S146" i="137" s="1"/>
  <c r="B151" i="138" s="1"/>
  <c r="R146" i="137"/>
  <c r="Q147" i="137"/>
  <c r="R147" i="137"/>
  <c r="S147" i="137" a="1"/>
  <c r="S147" i="137" s="1"/>
  <c r="B152" i="138" s="1"/>
  <c r="Q148" i="137"/>
  <c r="R148" i="137"/>
  <c r="S148" i="137" s="1" a="1"/>
  <c r="S148" i="137" s="1"/>
  <c r="B153" i="138" s="1"/>
  <c r="Q149" i="137"/>
  <c r="S149" i="137" s="1" a="1"/>
  <c r="S149" i="137" s="1"/>
  <c r="B154" i="138" s="1"/>
  <c r="R149" i="137"/>
  <c r="Q150" i="137"/>
  <c r="R150" i="137"/>
  <c r="S150" i="137" s="1" a="1"/>
  <c r="S150" i="137" s="1"/>
  <c r="B155" i="138" s="1"/>
  <c r="Q151" i="137"/>
  <c r="S151" i="137" s="1" a="1"/>
  <c r="S151" i="137" s="1"/>
  <c r="B156" i="138" s="1"/>
  <c r="R151" i="137"/>
  <c r="Q152" i="137"/>
  <c r="R152" i="137"/>
  <c r="S152" i="137" a="1"/>
  <c r="S152" i="137" s="1"/>
  <c r="B157" i="138" s="1"/>
  <c r="Q153" i="137"/>
  <c r="S153" i="137" s="1" a="1"/>
  <c r="S153" i="137" s="1"/>
  <c r="B158" i="138" s="1"/>
  <c r="R153" i="137"/>
  <c r="Q154" i="137"/>
  <c r="R154" i="137"/>
  <c r="S154" i="137" s="1" a="1"/>
  <c r="S154" i="137" s="1"/>
  <c r="B159" i="138" s="1"/>
  <c r="Q155" i="137"/>
  <c r="S155" i="137" s="1" a="1"/>
  <c r="S155" i="137" s="1"/>
  <c r="B160" i="138" s="1"/>
  <c r="R155" i="137"/>
  <c r="Q156" i="137"/>
  <c r="R156" i="137"/>
  <c r="S156" i="137" a="1"/>
  <c r="S156" i="137" s="1"/>
  <c r="B161" i="138" s="1"/>
  <c r="Q157" i="137"/>
  <c r="R157" i="137"/>
  <c r="S157" i="137" s="1" a="1"/>
  <c r="S157" i="137" s="1"/>
  <c r="B162" i="138" s="1"/>
  <c r="Q158" i="137"/>
  <c r="S158" i="137" s="1" a="1"/>
  <c r="S158" i="137" s="1"/>
  <c r="B163" i="138" s="1"/>
  <c r="R158" i="137"/>
  <c r="Q159" i="137"/>
  <c r="S159" i="137" s="1" a="1"/>
  <c r="S159" i="137" s="1"/>
  <c r="B164" i="138" s="1"/>
  <c r="R159" i="137"/>
  <c r="Q160" i="137"/>
  <c r="S160" i="137" s="1" a="1"/>
  <c r="S160" i="137" s="1"/>
  <c r="B165" i="138" s="1"/>
  <c r="R160" i="137"/>
  <c r="Q161" i="137"/>
  <c r="R161" i="137"/>
  <c r="S161" i="137" s="1" a="1"/>
  <c r="S161" i="137" s="1"/>
  <c r="B166" i="138" s="1"/>
  <c r="Q162" i="137"/>
  <c r="S162" i="137" s="1" a="1"/>
  <c r="S162" i="137" s="1"/>
  <c r="B167" i="138" s="1"/>
  <c r="R162" i="137"/>
  <c r="Q163" i="137"/>
  <c r="R163" i="137"/>
  <c r="S163" i="137" a="1"/>
  <c r="S163" i="137" s="1"/>
  <c r="B168" i="138" s="1"/>
  <c r="Q164" i="137"/>
  <c r="R164" i="137"/>
  <c r="S164" i="137" s="1" a="1"/>
  <c r="S164" i="137" s="1"/>
  <c r="B169" i="138" s="1"/>
  <c r="Q165" i="137"/>
  <c r="S165" i="137" s="1" a="1"/>
  <c r="S165" i="137" s="1"/>
  <c r="B170" i="138" s="1"/>
  <c r="R165" i="137"/>
  <c r="Q166" i="137"/>
  <c r="R166" i="137"/>
  <c r="S166" i="137" s="1" a="1"/>
  <c r="S166" i="137" s="1"/>
  <c r="B171" i="138" s="1"/>
  <c r="Q167" i="137"/>
  <c r="S167" i="137" s="1" a="1"/>
  <c r="S167" i="137" s="1"/>
  <c r="B172" i="138" s="1"/>
  <c r="R167" i="137"/>
  <c r="Q168" i="137"/>
  <c r="R168" i="137"/>
  <c r="S168" i="137" a="1"/>
  <c r="S168" i="137" s="1"/>
  <c r="B173" i="138" s="1"/>
  <c r="Q169" i="137"/>
  <c r="R169" i="137"/>
  <c r="Q170" i="137"/>
  <c r="R170" i="137"/>
  <c r="S170" i="137" s="1" a="1"/>
  <c r="S170" i="137" s="1"/>
  <c r="B175" i="138" s="1"/>
  <c r="Q171" i="137"/>
  <c r="S171" i="137" s="1" a="1"/>
  <c r="S171" i="137" s="1"/>
  <c r="B176" i="138" s="1"/>
  <c r="R171" i="137"/>
  <c r="Q172" i="137"/>
  <c r="R172" i="137"/>
  <c r="S172" i="137" a="1"/>
  <c r="S172" i="137" s="1"/>
  <c r="B177" i="138" s="1"/>
  <c r="Q173" i="137"/>
  <c r="R173" i="137"/>
  <c r="S173" i="137" s="1" a="1"/>
  <c r="S173" i="137" s="1"/>
  <c r="B178" i="138" s="1"/>
  <c r="Q174" i="137"/>
  <c r="S174" i="137" s="1" a="1"/>
  <c r="S174" i="137" s="1"/>
  <c r="B179" i="138" s="1"/>
  <c r="R174" i="137"/>
  <c r="Q175" i="137"/>
  <c r="S175" i="137" s="1" a="1"/>
  <c r="S175" i="137" s="1"/>
  <c r="B180" i="138" s="1"/>
  <c r="R175" i="137"/>
  <c r="Q176" i="137"/>
  <c r="S176" i="137" s="1" a="1"/>
  <c r="S176" i="137" s="1"/>
  <c r="B181" i="138" s="1"/>
  <c r="R176" i="137"/>
  <c r="Q177" i="137"/>
  <c r="R177" i="137"/>
  <c r="Q178" i="137"/>
  <c r="S178" i="137" s="1" a="1"/>
  <c r="S178" i="137" s="1"/>
  <c r="B183" i="138" s="1"/>
  <c r="R178" i="137"/>
  <c r="Q179" i="137"/>
  <c r="R179" i="137"/>
  <c r="S179" i="137" a="1"/>
  <c r="S179" i="137" s="1"/>
  <c r="B184" i="138" s="1"/>
  <c r="Q180" i="137"/>
  <c r="R180" i="137"/>
  <c r="S180" i="137" s="1" a="1"/>
  <c r="S180" i="137" s="1"/>
  <c r="B185" i="138" s="1"/>
  <c r="Q181" i="137"/>
  <c r="S181" i="137" s="1" a="1"/>
  <c r="S181" i="137" s="1"/>
  <c r="B186" i="138" s="1"/>
  <c r="R181" i="137"/>
  <c r="Q182" i="137"/>
  <c r="R182" i="137"/>
  <c r="S182" i="137" s="1" a="1"/>
  <c r="S182" i="137" s="1"/>
  <c r="B187" i="138" s="1"/>
  <c r="Q183" i="137"/>
  <c r="S183" i="137" s="1" a="1"/>
  <c r="S183" i="137" s="1"/>
  <c r="B188" i="138" s="1"/>
  <c r="R183" i="137"/>
  <c r="Q184" i="137"/>
  <c r="R184" i="137"/>
  <c r="S184" i="137" a="1"/>
  <c r="S184" i="137" s="1"/>
  <c r="B189" i="138" s="1"/>
  <c r="Q185" i="137"/>
  <c r="R185" i="137"/>
  <c r="Q186" i="137"/>
  <c r="R186" i="137"/>
  <c r="Q187" i="137"/>
  <c r="S187" i="137" s="1" a="1"/>
  <c r="S187" i="137" s="1"/>
  <c r="B192" i="138" s="1"/>
  <c r="R187" i="137"/>
  <c r="Q188" i="137"/>
  <c r="S188" i="137" s="1" a="1"/>
  <c r="S188" i="137" s="1"/>
  <c r="B193" i="138" s="1"/>
  <c r="R188" i="137"/>
  <c r="Q189" i="137"/>
  <c r="R189" i="137"/>
  <c r="Q190" i="137"/>
  <c r="R190" i="137"/>
  <c r="Q191" i="137"/>
  <c r="S191" i="137" s="1" a="1"/>
  <c r="S191" i="137" s="1"/>
  <c r="B196" i="138" s="1"/>
  <c r="R191" i="137"/>
  <c r="Q192" i="137"/>
  <c r="S192" i="137" s="1" a="1"/>
  <c r="S192" i="137" s="1"/>
  <c r="B197" i="138" s="1"/>
  <c r="R192" i="137"/>
  <c r="Q193" i="137"/>
  <c r="R193" i="137"/>
  <c r="Q194" i="137"/>
  <c r="R194" i="137"/>
  <c r="Q195" i="137"/>
  <c r="S195" i="137" s="1" a="1"/>
  <c r="S195" i="137" s="1"/>
  <c r="B200" i="138" s="1"/>
  <c r="R195" i="137"/>
  <c r="Q196" i="137"/>
  <c r="S196" i="137" s="1" a="1"/>
  <c r="S196" i="137" s="1"/>
  <c r="B201" i="138" s="1"/>
  <c r="R196" i="137"/>
  <c r="Q197" i="137"/>
  <c r="R197" i="137"/>
  <c r="Q198" i="137"/>
  <c r="S198" i="137" s="1" a="1"/>
  <c r="S198" i="137" s="1"/>
  <c r="B203" i="138" s="1"/>
  <c r="R198" i="137"/>
  <c r="Q199" i="137"/>
  <c r="S199" i="137" s="1" a="1"/>
  <c r="S199" i="137" s="1"/>
  <c r="B204" i="138" s="1"/>
  <c r="R199" i="137"/>
  <c r="Q200" i="137"/>
  <c r="S200" i="137" s="1" a="1"/>
  <c r="R200" i="137"/>
  <c r="S200" i="137"/>
  <c r="B205" i="138" s="1"/>
  <c r="Q201" i="137"/>
  <c r="S201" i="137" s="1" a="1"/>
  <c r="S201" i="137" s="1"/>
  <c r="B206" i="138" s="1"/>
  <c r="R201" i="137"/>
  <c r="Q202" i="137"/>
  <c r="R202" i="137"/>
  <c r="Q203" i="137"/>
  <c r="S203" i="137" s="1" a="1"/>
  <c r="S203" i="137" s="1"/>
  <c r="B208" i="138" s="1"/>
  <c r="R203" i="137"/>
  <c r="Q204" i="137"/>
  <c r="S204" i="137" s="1" a="1"/>
  <c r="S204" i="137" s="1"/>
  <c r="B209" i="138" s="1"/>
  <c r="R204" i="137"/>
  <c r="Q205" i="137"/>
  <c r="R205" i="137"/>
  <c r="Q206" i="137"/>
  <c r="R206" i="137"/>
  <c r="Q207" i="137"/>
  <c r="S207" i="137" s="1" a="1"/>
  <c r="S207" i="137" s="1"/>
  <c r="B212" i="138" s="1"/>
  <c r="R207" i="137"/>
  <c r="Q208" i="137"/>
  <c r="S208" i="137" s="1" a="1"/>
  <c r="S208" i="137" s="1"/>
  <c r="B213" i="138" s="1"/>
  <c r="R208" i="137"/>
  <c r="Q209" i="137"/>
  <c r="R209" i="137"/>
  <c r="Q210" i="137"/>
  <c r="R210" i="137"/>
  <c r="Q211" i="137"/>
  <c r="S211" i="137" s="1" a="1"/>
  <c r="S211" i="137" s="1"/>
  <c r="B216" i="138" s="1"/>
  <c r="R211" i="137"/>
  <c r="Q212" i="137"/>
  <c r="S212" i="137" s="1" a="1"/>
  <c r="S212" i="137" s="1"/>
  <c r="B217" i="138" s="1"/>
  <c r="R212" i="137"/>
  <c r="Q213" i="137"/>
  <c r="R213" i="137"/>
  <c r="Q214" i="137"/>
  <c r="S214" i="137" s="1" a="1"/>
  <c r="S214" i="137" s="1"/>
  <c r="B219" i="138" s="1"/>
  <c r="R214" i="137"/>
  <c r="Q215" i="137"/>
  <c r="S215" i="137" s="1" a="1"/>
  <c r="S215" i="137" s="1"/>
  <c r="B220" i="138" s="1"/>
  <c r="R215" i="137"/>
  <c r="Q216" i="137"/>
  <c r="S216" i="137" s="1" a="1"/>
  <c r="S216" i="137" s="1"/>
  <c r="B221" i="138" s="1"/>
  <c r="R216" i="137"/>
  <c r="Q217" i="137"/>
  <c r="S217" i="137" s="1" a="1"/>
  <c r="S217" i="137" s="1"/>
  <c r="B222" i="138" s="1"/>
  <c r="R217" i="137"/>
  <c r="Q218" i="137"/>
  <c r="R218" i="137"/>
  <c r="Q219" i="137"/>
  <c r="S219" i="137" s="1" a="1"/>
  <c r="S219" i="137" s="1"/>
  <c r="B224" i="138" s="1"/>
  <c r="R219" i="137"/>
  <c r="Q220" i="137"/>
  <c r="S220" i="137" s="1" a="1"/>
  <c r="S220" i="137" s="1"/>
  <c r="B225" i="138" s="1"/>
  <c r="R220" i="137"/>
  <c r="Q221" i="137"/>
  <c r="R221" i="137"/>
  <c r="Q222" i="137"/>
  <c r="R222" i="137"/>
  <c r="Q223" i="137"/>
  <c r="S223" i="137" s="1" a="1"/>
  <c r="S223" i="137" s="1"/>
  <c r="B228" i="138" s="1"/>
  <c r="R223" i="137"/>
  <c r="Q224" i="137"/>
  <c r="S224" i="137" s="1" a="1"/>
  <c r="R224" i="137"/>
  <c r="S224" i="137"/>
  <c r="B229" i="138" s="1"/>
  <c r="Q225" i="137"/>
  <c r="R225" i="137"/>
  <c r="Q226" i="137"/>
  <c r="R226" i="137"/>
  <c r="Q227" i="137"/>
  <c r="S227" i="137" s="1" a="1"/>
  <c r="S227" i="137" s="1"/>
  <c r="B232" i="138" s="1"/>
  <c r="R227" i="137"/>
  <c r="Q228" i="137"/>
  <c r="S228" i="137" s="1" a="1"/>
  <c r="S228" i="137" s="1"/>
  <c r="B233" i="138" s="1"/>
  <c r="R228" i="137"/>
  <c r="Q229" i="137"/>
  <c r="R229" i="137"/>
  <c r="Q230" i="137"/>
  <c r="S230" i="137" s="1" a="1"/>
  <c r="S230" i="137" s="1"/>
  <c r="B235" i="138" s="1"/>
  <c r="R230" i="137"/>
  <c r="Q231" i="137"/>
  <c r="S231" i="137" s="1" a="1"/>
  <c r="S231" i="137" s="1"/>
  <c r="B236" i="138" s="1"/>
  <c r="R231" i="137"/>
  <c r="Q232" i="137"/>
  <c r="S232" i="137" s="1" a="1"/>
  <c r="S232" i="137" s="1"/>
  <c r="B237" i="138" s="1"/>
  <c r="R232" i="137"/>
  <c r="Q233" i="137"/>
  <c r="S233" i="137" s="1" a="1"/>
  <c r="S233" i="137" s="1"/>
  <c r="B238" i="138" s="1"/>
  <c r="R233" i="137"/>
  <c r="Q234" i="137"/>
  <c r="R234" i="137"/>
  <c r="Q235" i="137"/>
  <c r="S235" i="137" s="1" a="1"/>
  <c r="S235" i="137" s="1"/>
  <c r="B240" i="138" s="1"/>
  <c r="R235" i="137"/>
  <c r="Q236" i="137"/>
  <c r="S236" i="137" s="1" a="1"/>
  <c r="S236" i="137" s="1"/>
  <c r="B241" i="138" s="1"/>
  <c r="R236" i="137"/>
  <c r="Q237" i="137"/>
  <c r="R237" i="137"/>
  <c r="Q238" i="137"/>
  <c r="R238" i="137"/>
  <c r="S238" i="137" s="1" a="1"/>
  <c r="S238" i="137" s="1"/>
  <c r="B243" i="138" s="1"/>
  <c r="Q239" i="137"/>
  <c r="S239" i="137" s="1" a="1"/>
  <c r="S239" i="137" s="1"/>
  <c r="B244" i="138" s="1"/>
  <c r="R239" i="137"/>
  <c r="Q240" i="137"/>
  <c r="S240" i="137" s="1" a="1"/>
  <c r="S240" i="137" s="1"/>
  <c r="B245" i="138" s="1"/>
  <c r="R240" i="137"/>
  <c r="Q241" i="137"/>
  <c r="R241" i="137"/>
  <c r="Q242" i="137"/>
  <c r="R242" i="137"/>
  <c r="Q243" i="137"/>
  <c r="S243" i="137" s="1" a="1"/>
  <c r="S243" i="137" s="1"/>
  <c r="B248" i="138" s="1"/>
  <c r="R243" i="137"/>
  <c r="Q244" i="137"/>
  <c r="S244" i="137" s="1" a="1"/>
  <c r="S244" i="137" s="1"/>
  <c r="B249" i="138" s="1"/>
  <c r="R244" i="137"/>
  <c r="Q245" i="137"/>
  <c r="R245" i="137"/>
  <c r="Q246" i="137"/>
  <c r="S246" i="137" s="1" a="1"/>
  <c r="S246" i="137" s="1"/>
  <c r="B251" i="138" s="1"/>
  <c r="R246" i="137"/>
  <c r="Q247" i="137"/>
  <c r="S247" i="137" s="1" a="1"/>
  <c r="S247" i="137" s="1"/>
  <c r="B252" i="138" s="1"/>
  <c r="R247" i="137"/>
  <c r="Q248" i="137"/>
  <c r="S248" i="137" s="1" a="1"/>
  <c r="S248" i="137" s="1"/>
  <c r="B253" i="138" s="1"/>
  <c r="R248" i="137"/>
  <c r="Q249" i="137"/>
  <c r="S249" i="137" s="1" a="1"/>
  <c r="S249" i="137" s="1"/>
  <c r="B254" i="138" s="1"/>
  <c r="R249" i="137"/>
  <c r="Q250" i="137"/>
  <c r="R250" i="137"/>
  <c r="Q251" i="137"/>
  <c r="S251" i="137" s="1" a="1"/>
  <c r="S251" i="137" s="1"/>
  <c r="B256" i="138" s="1"/>
  <c r="R251" i="137"/>
  <c r="Q252" i="137"/>
  <c r="S252" i="137" s="1" a="1"/>
  <c r="S252" i="137" s="1"/>
  <c r="B257" i="138" s="1"/>
  <c r="R252" i="137"/>
  <c r="Q253" i="137"/>
  <c r="R253" i="137"/>
  <c r="Q254" i="137"/>
  <c r="R254" i="137"/>
  <c r="Q255" i="137"/>
  <c r="S255" i="137" s="1" a="1"/>
  <c r="S255" i="137" s="1"/>
  <c r="B260" i="138" s="1"/>
  <c r="R255" i="137"/>
  <c r="Q256" i="137"/>
  <c r="S256" i="137" s="1" a="1"/>
  <c r="S256" i="137" s="1"/>
  <c r="B261" i="138" s="1"/>
  <c r="R256" i="137"/>
  <c r="Q257" i="137"/>
  <c r="R257" i="137"/>
  <c r="Q258" i="137"/>
  <c r="R258" i="137"/>
  <c r="Q259" i="137"/>
  <c r="S259" i="137" s="1" a="1"/>
  <c r="S259" i="137" s="1"/>
  <c r="B264" i="138" s="1"/>
  <c r="R259" i="137"/>
  <c r="Q260" i="137"/>
  <c r="S260" i="137" s="1" a="1"/>
  <c r="S260" i="137" s="1"/>
  <c r="B265" i="138" s="1"/>
  <c r="R260" i="137"/>
  <c r="Q261" i="137"/>
  <c r="R261" i="137"/>
  <c r="Q262" i="137"/>
  <c r="S262" i="137" s="1" a="1"/>
  <c r="S262" i="137" s="1"/>
  <c r="B267" i="138" s="1"/>
  <c r="R262" i="137"/>
  <c r="Q263" i="137"/>
  <c r="S263" i="137" s="1" a="1"/>
  <c r="S263" i="137" s="1"/>
  <c r="B268" i="138" s="1"/>
  <c r="R263" i="137"/>
  <c r="Q264" i="137"/>
  <c r="S264" i="137" s="1" a="1"/>
  <c r="R264" i="137"/>
  <c r="S264" i="137"/>
  <c r="B269" i="138" s="1"/>
  <c r="Q265" i="137"/>
  <c r="S265" i="137" s="1" a="1"/>
  <c r="S265" i="137" s="1"/>
  <c r="B270" i="138" s="1"/>
  <c r="R265" i="137"/>
  <c r="Q266" i="137"/>
  <c r="R266" i="137"/>
  <c r="Q267" i="137"/>
  <c r="S267" i="137" s="1" a="1"/>
  <c r="S267" i="137" s="1"/>
  <c r="B272" i="138" s="1"/>
  <c r="R267" i="137"/>
  <c r="Q268" i="137"/>
  <c r="S268" i="137" s="1" a="1"/>
  <c r="S268" i="137" s="1"/>
  <c r="B273" i="138" s="1"/>
  <c r="R268" i="137"/>
  <c r="Q269" i="137"/>
  <c r="R269" i="137"/>
  <c r="Q270" i="137"/>
  <c r="R270" i="137"/>
  <c r="Q271" i="137"/>
  <c r="S271" i="137" s="1" a="1"/>
  <c r="S271" i="137" s="1"/>
  <c r="B276" i="138" s="1"/>
  <c r="R271" i="137"/>
  <c r="Q272" i="137"/>
  <c r="S272" i="137" s="1" a="1"/>
  <c r="R272" i="137"/>
  <c r="S272" i="137"/>
  <c r="B277" i="138" s="1"/>
  <c r="Q273" i="137"/>
  <c r="R273" i="137"/>
  <c r="Q274" i="137"/>
  <c r="R274" i="137"/>
  <c r="Q275" i="137"/>
  <c r="S275" i="137" s="1" a="1"/>
  <c r="S275" i="137" s="1"/>
  <c r="B280" i="138" s="1"/>
  <c r="R275" i="137"/>
  <c r="Q276" i="137"/>
  <c r="S276" i="137" s="1" a="1"/>
  <c r="S276" i="137" s="1"/>
  <c r="B281" i="138" s="1"/>
  <c r="R276" i="137"/>
  <c r="Q277" i="137"/>
  <c r="R277" i="137"/>
  <c r="Q278" i="137"/>
  <c r="S278" i="137" s="1" a="1"/>
  <c r="S278" i="137" s="1"/>
  <c r="B283" i="138" s="1"/>
  <c r="R278" i="137"/>
  <c r="Q279" i="137"/>
  <c r="S279" i="137" s="1" a="1"/>
  <c r="S279" i="137" s="1"/>
  <c r="B284" i="138" s="1"/>
  <c r="R279" i="137"/>
  <c r="Q280" i="137"/>
  <c r="S280" i="137" s="1" a="1"/>
  <c r="S280" i="137" s="1"/>
  <c r="B285" i="138" s="1"/>
  <c r="R280" i="137"/>
  <c r="Q281" i="137"/>
  <c r="S281" i="137" s="1" a="1"/>
  <c r="S281" i="137" s="1"/>
  <c r="B286" i="138" s="1"/>
  <c r="R281" i="137"/>
  <c r="Q282" i="137"/>
  <c r="R282" i="137"/>
  <c r="Q283" i="137"/>
  <c r="S283" i="137" s="1" a="1"/>
  <c r="S283" i="137" s="1"/>
  <c r="B288" i="138" s="1"/>
  <c r="R283" i="137"/>
  <c r="Q284" i="137"/>
  <c r="S284" i="137" s="1" a="1"/>
  <c r="S284" i="137" s="1"/>
  <c r="B289" i="138" s="1"/>
  <c r="R284" i="137"/>
  <c r="Q285" i="137"/>
  <c r="R285" i="137"/>
  <c r="Q286" i="137"/>
  <c r="R286" i="137"/>
  <c r="Q287" i="137"/>
  <c r="S287" i="137" s="1" a="1"/>
  <c r="S287" i="137" s="1"/>
  <c r="B292" i="138" s="1"/>
  <c r="R287" i="137"/>
  <c r="Q288" i="137"/>
  <c r="S288" i="137" s="1" a="1"/>
  <c r="R288" i="137"/>
  <c r="S288" i="137"/>
  <c r="B293" i="138" s="1"/>
  <c r="Q289" i="137"/>
  <c r="R289" i="137"/>
  <c r="Q290" i="137"/>
  <c r="R290" i="137"/>
  <c r="Q291" i="137"/>
  <c r="S291" i="137" s="1" a="1"/>
  <c r="S291" i="137" s="1"/>
  <c r="B296" i="138" s="1"/>
  <c r="R291" i="137"/>
  <c r="Q292" i="137"/>
  <c r="S292" i="137" s="1" a="1"/>
  <c r="S292" i="137" s="1"/>
  <c r="B297" i="138" s="1"/>
  <c r="R292" i="137"/>
  <c r="Q293" i="137"/>
  <c r="R293" i="137"/>
  <c r="Q294" i="137"/>
  <c r="S294" i="137" s="1" a="1"/>
  <c r="S294" i="137" s="1"/>
  <c r="B299" i="138" s="1"/>
  <c r="R294" i="137"/>
  <c r="Q295" i="137"/>
  <c r="S295" i="137" s="1" a="1"/>
  <c r="S295" i="137" s="1"/>
  <c r="B300" i="138" s="1"/>
  <c r="R295" i="137"/>
  <c r="Q296" i="137"/>
  <c r="S296" i="137" s="1" a="1"/>
  <c r="S296" i="137" s="1"/>
  <c r="B301" i="138" s="1"/>
  <c r="R296" i="137"/>
  <c r="Q297" i="137"/>
  <c r="S297" i="137" s="1" a="1"/>
  <c r="S297" i="137" s="1"/>
  <c r="B302" i="138" s="1"/>
  <c r="R297" i="137"/>
  <c r="Q298" i="137"/>
  <c r="R298" i="137"/>
  <c r="Q299" i="137"/>
  <c r="S299" i="137" s="1" a="1"/>
  <c r="S299" i="137" s="1"/>
  <c r="B304" i="138" s="1"/>
  <c r="R299" i="137"/>
  <c r="Q300" i="137"/>
  <c r="S300" i="137" s="1" a="1"/>
  <c r="S300" i="137" s="1"/>
  <c r="B305" i="138" s="1"/>
  <c r="R300" i="137"/>
  <c r="Q301" i="137"/>
  <c r="R301" i="137"/>
  <c r="Q302" i="137"/>
  <c r="R302" i="137"/>
  <c r="Q303" i="137"/>
  <c r="S303" i="137" s="1" a="1"/>
  <c r="S303" i="137" s="1"/>
  <c r="B308" i="138" s="1"/>
  <c r="R303" i="137"/>
  <c r="Q304" i="137"/>
  <c r="S304" i="137" s="1" a="1"/>
  <c r="S304" i="137" s="1"/>
  <c r="B309" i="138" s="1"/>
  <c r="R304" i="137"/>
  <c r="Q305" i="137"/>
  <c r="S305" i="137" s="1" a="1"/>
  <c r="S305" i="137" s="1"/>
  <c r="B310" i="138" s="1"/>
  <c r="R305" i="137"/>
  <c r="Q306" i="137"/>
  <c r="S306" i="137" s="1" a="1"/>
  <c r="S306" i="137" s="1"/>
  <c r="R306" i="137"/>
  <c r="Q307" i="137"/>
  <c r="R307" i="137"/>
  <c r="S307" i="137" s="1" a="1"/>
  <c r="S307" i="137" s="1"/>
  <c r="Q308" i="137"/>
  <c r="R308" i="137"/>
  <c r="S308" i="137" a="1"/>
  <c r="S308" i="137" s="1"/>
  <c r="Q309" i="137"/>
  <c r="R309" i="137"/>
  <c r="S309" i="137" a="1"/>
  <c r="S309" i="137" s="1"/>
  <c r="Q310" i="137"/>
  <c r="S310" i="137" s="1" a="1"/>
  <c r="S310" i="137" s="1"/>
  <c r="R310" i="137"/>
  <c r="Q311" i="137"/>
  <c r="S311" i="137" s="1" a="1"/>
  <c r="S311" i="137" s="1"/>
  <c r="R311" i="137"/>
  <c r="Q312" i="137"/>
  <c r="R312" i="137"/>
  <c r="S312" i="137" a="1"/>
  <c r="S312" i="137" s="1"/>
  <c r="Q313" i="137"/>
  <c r="S313" i="137" s="1" a="1"/>
  <c r="S313" i="137" s="1"/>
  <c r="R313" i="137"/>
  <c r="Q314" i="137"/>
  <c r="R314" i="137"/>
  <c r="S314" i="137" a="1"/>
  <c r="S314" i="137" s="1"/>
  <c r="Q315" i="137"/>
  <c r="S315" i="137" s="1" a="1"/>
  <c r="S315" i="137" s="1"/>
  <c r="R315" i="137"/>
  <c r="Q316" i="137"/>
  <c r="R316" i="137"/>
  <c r="S316" i="137" a="1"/>
  <c r="S316" i="137" s="1"/>
  <c r="Q317" i="137"/>
  <c r="S317" i="137" s="1" a="1"/>
  <c r="S317" i="137" s="1"/>
  <c r="R317" i="137"/>
  <c r="Q318" i="137"/>
  <c r="R318" i="137"/>
  <c r="S318" i="137" a="1"/>
  <c r="S318" i="137" s="1"/>
  <c r="Q319" i="137"/>
  <c r="S319" i="137" s="1" a="1"/>
  <c r="S319" i="137" s="1"/>
  <c r="R319" i="137"/>
  <c r="Q320" i="137"/>
  <c r="R320" i="137"/>
  <c r="S320" i="137" a="1"/>
  <c r="S320" i="137" s="1"/>
  <c r="Q321" i="137"/>
  <c r="S321" i="137" s="1" a="1"/>
  <c r="S321" i="137" s="1"/>
  <c r="R321" i="137"/>
  <c r="Q322" i="137"/>
  <c r="R322" i="137"/>
  <c r="S322" i="137" a="1"/>
  <c r="S322" i="137" s="1"/>
  <c r="Q323" i="137"/>
  <c r="S323" i="137" s="1" a="1"/>
  <c r="S323" i="137" s="1"/>
  <c r="R323" i="137"/>
  <c r="Q324" i="137"/>
  <c r="R324" i="137"/>
  <c r="S324" i="137" a="1"/>
  <c r="S324" i="137" s="1"/>
  <c r="Q325" i="137"/>
  <c r="S325" i="137" s="1" a="1"/>
  <c r="S325" i="137" s="1"/>
  <c r="R325" i="137"/>
  <c r="Q326" i="137"/>
  <c r="R326" i="137"/>
  <c r="S326" i="137" a="1"/>
  <c r="S326" i="137" s="1"/>
  <c r="Q327" i="137"/>
  <c r="S327" i="137" s="1" a="1"/>
  <c r="S327" i="137" s="1"/>
  <c r="R327" i="137"/>
  <c r="Q328" i="137"/>
  <c r="R328" i="137"/>
  <c r="S328" i="137" a="1"/>
  <c r="S328" i="137" s="1"/>
  <c r="Q329" i="137"/>
  <c r="S329" i="137" s="1" a="1"/>
  <c r="S329" i="137" s="1"/>
  <c r="R329" i="137"/>
  <c r="Q330" i="137"/>
  <c r="R330" i="137"/>
  <c r="S330" i="137" a="1"/>
  <c r="S330" i="137" s="1"/>
  <c r="Q331" i="137"/>
  <c r="S331" i="137" s="1" a="1"/>
  <c r="S331" i="137" s="1"/>
  <c r="R331" i="137"/>
  <c r="Q332" i="137"/>
  <c r="R332" i="137"/>
  <c r="S332" i="137" a="1"/>
  <c r="S332" i="137" s="1"/>
  <c r="Q333" i="137"/>
  <c r="S333" i="137" s="1" a="1"/>
  <c r="S333" i="137" s="1"/>
  <c r="R333" i="137"/>
  <c r="Q334" i="137"/>
  <c r="R334" i="137"/>
  <c r="S334" i="137" a="1"/>
  <c r="S334" i="137" s="1"/>
  <c r="Q335" i="137"/>
  <c r="S335" i="137" s="1" a="1"/>
  <c r="S335" i="137" s="1"/>
  <c r="R335" i="137"/>
  <c r="Q336" i="137"/>
  <c r="R336" i="137"/>
  <c r="S336" i="137" a="1"/>
  <c r="S336" i="137" s="1"/>
  <c r="Q337" i="137"/>
  <c r="S337" i="137" s="1" a="1"/>
  <c r="S337" i="137" s="1"/>
  <c r="R337" i="137"/>
  <c r="Q338" i="137"/>
  <c r="R338" i="137"/>
  <c r="S338" i="137" a="1"/>
  <c r="S338" i="137" s="1"/>
  <c r="Q339" i="137"/>
  <c r="S339" i="137" s="1" a="1"/>
  <c r="S339" i="137" s="1"/>
  <c r="R339" i="137"/>
  <c r="Q340" i="137"/>
  <c r="R340" i="137"/>
  <c r="S340" i="137" a="1"/>
  <c r="S340" i="137" s="1"/>
  <c r="Q341" i="137"/>
  <c r="S341" i="137" s="1" a="1"/>
  <c r="S341" i="137" s="1"/>
  <c r="R341" i="137"/>
  <c r="Q342" i="137"/>
  <c r="R342" i="137"/>
  <c r="S342" i="137" a="1"/>
  <c r="S342" i="137" s="1"/>
  <c r="Q343" i="137"/>
  <c r="S343" i="137" s="1" a="1"/>
  <c r="S343" i="137" s="1"/>
  <c r="R343" i="137"/>
  <c r="Q344" i="137"/>
  <c r="R344" i="137"/>
  <c r="S344" i="137" a="1"/>
  <c r="S344" i="137" s="1"/>
  <c r="Q345" i="137"/>
  <c r="S345" i="137" s="1" a="1"/>
  <c r="S345" i="137" s="1"/>
  <c r="R345" i="137"/>
  <c r="Q346" i="137"/>
  <c r="R346" i="137"/>
  <c r="S346" i="137" a="1"/>
  <c r="S346" i="137" s="1"/>
  <c r="Q347" i="137"/>
  <c r="S347" i="137" s="1" a="1"/>
  <c r="S347" i="137" s="1"/>
  <c r="R347" i="137"/>
  <c r="Q348" i="137"/>
  <c r="R348" i="137"/>
  <c r="S348" i="137" a="1"/>
  <c r="S348" i="137" s="1"/>
  <c r="Q349" i="137"/>
  <c r="S349" i="137" s="1" a="1"/>
  <c r="S349" i="137" s="1"/>
  <c r="R349" i="137"/>
  <c r="Q350" i="137"/>
  <c r="R350" i="137"/>
  <c r="S350" i="137" a="1"/>
  <c r="S350" i="137" s="1"/>
  <c r="Q351" i="137"/>
  <c r="S351" i="137" s="1" a="1"/>
  <c r="S351" i="137" s="1"/>
  <c r="R351" i="137"/>
  <c r="Q352" i="137"/>
  <c r="R352" i="137"/>
  <c r="S352" i="137" a="1"/>
  <c r="S352" i="137" s="1"/>
  <c r="Q353" i="137"/>
  <c r="S353" i="137" s="1" a="1"/>
  <c r="S353" i="137" s="1"/>
  <c r="R353" i="137"/>
  <c r="Q354" i="137"/>
  <c r="R354" i="137"/>
  <c r="S354" i="137" a="1"/>
  <c r="S354" i="137" s="1"/>
  <c r="Q355" i="137"/>
  <c r="S355" i="137" s="1" a="1"/>
  <c r="S355" i="137" s="1"/>
  <c r="R355" i="137"/>
  <c r="Q356" i="137"/>
  <c r="R356" i="137"/>
  <c r="S356" i="137" a="1"/>
  <c r="S356" i="137" s="1"/>
  <c r="Q357" i="137"/>
  <c r="S357" i="137" s="1" a="1"/>
  <c r="S357" i="137" s="1"/>
  <c r="R357" i="137"/>
  <c r="Q358" i="137"/>
  <c r="R358" i="137"/>
  <c r="S358" i="137" a="1"/>
  <c r="S358" i="137" s="1"/>
  <c r="Q359" i="137"/>
  <c r="S359" i="137" s="1" a="1"/>
  <c r="S359" i="137" s="1"/>
  <c r="R359" i="137"/>
  <c r="Q360" i="137"/>
  <c r="R360" i="137"/>
  <c r="S360" i="137" a="1"/>
  <c r="S360" i="137" s="1"/>
  <c r="Q361" i="137"/>
  <c r="S361" i="137" s="1" a="1"/>
  <c r="S361" i="137" s="1"/>
  <c r="R361" i="137"/>
  <c r="Q362" i="137"/>
  <c r="R362" i="137"/>
  <c r="S362" i="137" a="1"/>
  <c r="S362" i="137" s="1"/>
  <c r="Q363" i="137"/>
  <c r="S363" i="137" s="1" a="1"/>
  <c r="S363" i="137" s="1"/>
  <c r="R363" i="137"/>
  <c r="Q364" i="137"/>
  <c r="R364" i="137"/>
  <c r="S364" i="137" a="1"/>
  <c r="S364" i="137" s="1"/>
  <c r="Q365" i="137"/>
  <c r="S365" i="137" s="1" a="1"/>
  <c r="S365" i="137" s="1"/>
  <c r="R365" i="137"/>
  <c r="Q366" i="137"/>
  <c r="R366" i="137"/>
  <c r="S366" i="137" a="1"/>
  <c r="S366" i="137" s="1"/>
  <c r="Q367" i="137"/>
  <c r="S367" i="137" s="1" a="1"/>
  <c r="S367" i="137" s="1"/>
  <c r="R367" i="137"/>
  <c r="Q368" i="137"/>
  <c r="R368" i="137"/>
  <c r="S368" i="137" a="1"/>
  <c r="S368" i="137" s="1"/>
  <c r="Q369" i="137"/>
  <c r="S369" i="137" s="1" a="1"/>
  <c r="S369" i="137" s="1"/>
  <c r="R369" i="137"/>
  <c r="Q370" i="137"/>
  <c r="R370" i="137"/>
  <c r="S370" i="137" a="1"/>
  <c r="S370" i="137" s="1"/>
  <c r="Q371" i="137"/>
  <c r="S371" i="137" s="1" a="1"/>
  <c r="S371" i="137" s="1"/>
  <c r="R371" i="137"/>
  <c r="Q372" i="137"/>
  <c r="R372" i="137"/>
  <c r="S372" i="137" a="1"/>
  <c r="S372" i="137" s="1"/>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5" i="197" l="1" a="1"/>
  <c r="S15" i="197" s="1"/>
  <c r="I15" i="197"/>
  <c r="I15" i="196"/>
  <c r="S15" i="196" s="1" a="1"/>
  <c r="S15" i="196" s="1"/>
  <c r="S185" i="137" a="1"/>
  <c r="S185" i="137" s="1"/>
  <c r="B190" i="138" s="1"/>
  <c r="S293" i="137" a="1"/>
  <c r="S293" i="137" s="1"/>
  <c r="B298" i="138" s="1"/>
  <c r="S290" i="137" a="1"/>
  <c r="S290" i="137" s="1"/>
  <c r="B295" i="138" s="1"/>
  <c r="S277" i="137" a="1"/>
  <c r="S277" i="137" s="1"/>
  <c r="B282" i="138" s="1"/>
  <c r="S274" i="137" a="1"/>
  <c r="S274" i="137" s="1"/>
  <c r="B279" i="138" s="1"/>
  <c r="S261" i="137" a="1"/>
  <c r="S261" i="137" s="1"/>
  <c r="B266" i="138" s="1"/>
  <c r="S258" i="137" a="1"/>
  <c r="S258" i="137" s="1"/>
  <c r="B263" i="138" s="1"/>
  <c r="S245" i="137" a="1"/>
  <c r="S245" i="137" s="1"/>
  <c r="B250" i="138" s="1"/>
  <c r="S242" i="137" a="1"/>
  <c r="S242" i="137" s="1"/>
  <c r="B247" i="138" s="1"/>
  <c r="S229" i="137" a="1"/>
  <c r="S229" i="137" s="1"/>
  <c r="B234" i="138" s="1"/>
  <c r="S226" i="137" a="1"/>
  <c r="S226" i="137" s="1"/>
  <c r="B231" i="138" s="1"/>
  <c r="S213" i="137" a="1"/>
  <c r="S213" i="137" s="1"/>
  <c r="B218" i="138" s="1"/>
  <c r="S210" i="137" a="1"/>
  <c r="S210" i="137" s="1"/>
  <c r="B215" i="138" s="1"/>
  <c r="S197" i="137" a="1"/>
  <c r="S197" i="137" s="1"/>
  <c r="B202" i="138" s="1"/>
  <c r="S194" i="137" a="1"/>
  <c r="S194" i="137" s="1"/>
  <c r="B199" i="138" s="1"/>
  <c r="S129" i="137" a="1"/>
  <c r="S129" i="137" s="1"/>
  <c r="B134" i="138" s="1"/>
  <c r="S68" i="137" a="1"/>
  <c r="S68" i="137" s="1"/>
  <c r="B73" i="138" s="1"/>
  <c r="S55" i="137" a="1"/>
  <c r="S55" i="137" s="1"/>
  <c r="B60" i="138" s="1"/>
  <c r="S302" i="137" a="1"/>
  <c r="S302" i="137" s="1"/>
  <c r="B307" i="138" s="1"/>
  <c r="S289" i="137" a="1"/>
  <c r="S289" i="137" s="1"/>
  <c r="B294" i="138" s="1"/>
  <c r="S286" i="137" a="1"/>
  <c r="S286" i="137" s="1"/>
  <c r="B291" i="138" s="1"/>
  <c r="S273" i="137" a="1"/>
  <c r="S273" i="137" s="1"/>
  <c r="B278" i="138" s="1"/>
  <c r="S270" i="137" a="1"/>
  <c r="S270" i="137" s="1"/>
  <c r="B275" i="138" s="1"/>
  <c r="S257" i="137" a="1"/>
  <c r="S257" i="137" s="1"/>
  <c r="B262" i="138" s="1"/>
  <c r="S254" i="137" a="1"/>
  <c r="S254" i="137" s="1"/>
  <c r="B259" i="138" s="1"/>
  <c r="S241" i="137" a="1"/>
  <c r="S241" i="137" s="1"/>
  <c r="B246" i="138" s="1"/>
  <c r="S225" i="137" a="1"/>
  <c r="S225" i="137" s="1"/>
  <c r="B230" i="138" s="1"/>
  <c r="S222" i="137" a="1"/>
  <c r="S222" i="137" s="1"/>
  <c r="B227" i="138" s="1"/>
  <c r="S209" i="137" a="1"/>
  <c r="S209" i="137" s="1"/>
  <c r="B214" i="138" s="1"/>
  <c r="S206" i="137" a="1"/>
  <c r="S206" i="137" s="1"/>
  <c r="B211" i="138" s="1"/>
  <c r="S193" i="137" a="1"/>
  <c r="S193" i="137" s="1"/>
  <c r="B198" i="138" s="1"/>
  <c r="S190" i="137" a="1"/>
  <c r="S190" i="137" s="1"/>
  <c r="B195" i="138" s="1"/>
  <c r="S169" i="137" a="1"/>
  <c r="S169" i="137" s="1"/>
  <c r="B174" i="138" s="1"/>
  <c r="S137" i="137" a="1"/>
  <c r="S137" i="137" s="1"/>
  <c r="B142" i="138" s="1"/>
  <c r="S84" i="137" a="1"/>
  <c r="S84" i="137" s="1"/>
  <c r="B89" i="138" s="1"/>
  <c r="S71" i="137" a="1"/>
  <c r="S71" i="137" s="1"/>
  <c r="B76" i="138" s="1"/>
  <c r="S301" i="137" a="1"/>
  <c r="S301" i="137" s="1"/>
  <c r="B306" i="138" s="1"/>
  <c r="S298" i="137" a="1"/>
  <c r="S298" i="137" s="1"/>
  <c r="B303" i="138" s="1"/>
  <c r="S285" i="137" a="1"/>
  <c r="S285" i="137" s="1"/>
  <c r="B290" i="138" s="1"/>
  <c r="S282" i="137" a="1"/>
  <c r="S282" i="137" s="1"/>
  <c r="B287" i="138" s="1"/>
  <c r="S269" i="137" a="1"/>
  <c r="S269" i="137" s="1"/>
  <c r="B274" i="138" s="1"/>
  <c r="S266" i="137" a="1"/>
  <c r="S266" i="137" s="1"/>
  <c r="B271" i="138" s="1"/>
  <c r="S253" i="137" a="1"/>
  <c r="S253" i="137" s="1"/>
  <c r="B258" i="138" s="1"/>
  <c r="S250" i="137" a="1"/>
  <c r="S250" i="137" s="1"/>
  <c r="B255" i="138" s="1"/>
  <c r="S237" i="137" a="1"/>
  <c r="S237" i="137" s="1"/>
  <c r="B242" i="138" s="1"/>
  <c r="S234" i="137" a="1"/>
  <c r="S234" i="137" s="1"/>
  <c r="B239" i="138" s="1"/>
  <c r="S221" i="137" a="1"/>
  <c r="S221" i="137" s="1"/>
  <c r="B226" i="138" s="1"/>
  <c r="S218" i="137" a="1"/>
  <c r="S218" i="137" s="1"/>
  <c r="B223" i="138" s="1"/>
  <c r="S205" i="137" a="1"/>
  <c r="S205" i="137" s="1"/>
  <c r="B210" i="138" s="1"/>
  <c r="S202" i="137" a="1"/>
  <c r="S202" i="137" s="1"/>
  <c r="B207" i="138" s="1"/>
  <c r="S189" i="137" a="1"/>
  <c r="S189" i="137" s="1"/>
  <c r="B194" i="138" s="1"/>
  <c r="S186" i="137" a="1"/>
  <c r="S186" i="137" s="1"/>
  <c r="B191" i="138" s="1"/>
  <c r="S177" i="137" a="1"/>
  <c r="S177" i="137" s="1"/>
  <c r="B182" i="138" s="1"/>
  <c r="S145" i="137" a="1"/>
  <c r="S145" i="137" s="1"/>
  <c r="B150" i="138" s="1"/>
  <c r="S107" i="137" a="1"/>
  <c r="S107" i="137" s="1"/>
  <c r="B112" i="138" s="1"/>
  <c r="S100" i="137" a="1"/>
  <c r="S100" i="137" s="1"/>
  <c r="B105" i="138" s="1"/>
  <c r="S87" i="137" a="1"/>
  <c r="S87" i="137" s="1"/>
  <c r="B92" i="138" s="1"/>
  <c r="S130" i="137" a="1"/>
  <c r="S130" i="137" s="1"/>
  <c r="B135" i="138" s="1"/>
  <c r="S76" i="137" a="1"/>
  <c r="S76" i="137" s="1"/>
  <c r="B81" i="138" s="1"/>
  <c r="S63" i="137" a="1"/>
  <c r="S63" i="137" s="1"/>
  <c r="B68" i="138"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8" i="175"/>
  <c r="B18" i="175"/>
  <c r="C17" i="175"/>
  <c r="B17" i="175"/>
  <c r="C16" i="175"/>
  <c r="B16" i="175"/>
  <c r="C15" i="175"/>
  <c r="J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15" i="175" s="1" a="1"/>
  <c r="S15" i="175" s="1"/>
  <c r="B89" i="158" s="1"/>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<sst xmlns="http://schemas.openxmlformats.org/spreadsheetml/2006/main" count="3157" uniqueCount="1328">
  <si>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</si>
  <si>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</si>
  <si>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</si>
  <si>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</si>
  <si>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</si>
  <si>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</si>
  <si>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</si>
  <si>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</si>
  <si>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</si>
  <si>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</si>
  <si>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</si>
  <si>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</si>
  <si>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</si>
  <si>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</si>
  <si>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</si>
  <si>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</si>
  <si>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</si>
  <si>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</si>
  <si>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</si>
  <si>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</si>
  <si>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</si>
  <si>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</si>
  <si>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</si>
  <si>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</si>
  <si>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</si>
  <si>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</si>
  <si>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</si>
  <si>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</si>
  <si>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</si>
  <si>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</si>
  <si>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</si>
  <si>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</si>
  <si>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</si>
  <si>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</si>
  <si>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</si>
  <si>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</si>
  <si>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</si>
  <si>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</si>
  <si>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</si>
  <si>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</si>
  <si>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</si>
  <si>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</si>
  <si>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</si>
  <si>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</si>
  <si>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</si>
  <si>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</si>
  <si>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</si>
  <si>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</si>
  <si>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</si>
  <si>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</si>
  <si>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</si>
  <si>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</si>
  <si>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</si>
  <si>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</si>
  <si>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</si>
  <si>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</si>
  <si>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</si>
  <si>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</si>
  <si>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</si>
  <si>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</si>
  <si>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</si>
  <si>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</si>
  <si>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</si>
  <si>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</si>
  <si>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</si>
  <si>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</si>
  <si>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</si>
  <si>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</si>
  <si>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</si>
  <si>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</si>
  <si>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</si>
  <si>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</si>
  <si>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</si>
  <si>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</si>
  <si>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</si>
  <si>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</si>
  <si>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</si>
  <si>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</si>
  <si>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</si>
  <si>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</si>
  <si>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</si>
  <si>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</si>
  <si>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</si>
  <si>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</si>
  <si>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</si>
  <si>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</si>
  <si>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</si>
  <si>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</si>
  <si>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</si>
  <si>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</si>
  <si>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</si>
  <si>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</si>
  <si>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</si>
  <si>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</si>
  <si>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</si>
  <si>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</si>
  <si>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</si>
  <si>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</si>
  <si>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</si>
  <si>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</si>
  <si>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</si>
  <si>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</si>
  <si>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</si>
  <si>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</si>
  <si>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</si>
  <si>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</si>
  <si>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</si>
  <si>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</si>
  <si>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</si>
  <si>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</si>
  <si>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</si>
  <si>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</si>
  <si>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</si>
  <si>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</si>
  <si>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</si>
  <si>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</si>
  <si>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</si>
  <si>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</si>
  <si>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</si>
  <si>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</si>
  <si>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</si>
  <si>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</si>
  <si>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</si>
  <si>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</si>
  <si>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</si>
  <si>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</si>
  <si>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</si>
  <si>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</si>
  <si>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</si>
  <si>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</si>
  <si>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</si>
  <si>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</si>
  <si>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</si>
  <si>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</si>
  <si>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</si>
  <si>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</si>
  <si>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</si>
  <si>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</si>
  <si>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</si>
  <si>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</si>
  <si>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</si>
  <si>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</si>
  <si>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</si>
  <si>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</si>
  <si>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</si>
  <si>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</si>
  <si>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</si>
  <si>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</si>
  <si>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</si>
  <si>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</si>
  <si>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</si>
  <si>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</si>
  <si>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</si>
  <si>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</si>
  <si>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</si>
  <si>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</si>
  <si>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</si>
  <si>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</si>
  <si>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</si>
  <si>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</si>
  <si>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</si>
  <si>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</si>
  <si>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</si>
  <si>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</si>
  <si>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</si>
  <si>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</si>
  <si>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</si>
  <si>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</si>
  <si>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</si>
  <si>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</si>
  <si>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</si>
  <si>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</si>
  <si>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</si>
  <si>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</si>
  <si>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</si>
  <si>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</si>
  <si>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</si>
  <si>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</si>
  <si>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</si>
  <si>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</si>
  <si>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</si>
  <si>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</si>
  <si>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</si>
  <si>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</si>
  <si>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</si>
  <si>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</si>
  <si>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</si>
  <si>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</si>
  <si>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</si>
  <si>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</si>
  <si>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</si>
  <si>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</si>
  <si>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</si>
  <si>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</si>
  <si>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</si>
  <si>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</si>
  <si>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</si>
  <si>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</si>
  <si>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</si>
  <si>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</si>
  <si>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</si>
  <si>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</si>
  <si>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</si>
  <si>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</si>
  <si>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</si>
  <si>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</si>
  <si>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</si>
  <si>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</si>
  <si>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</si>
  <si>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</si>
  <si>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</si>
  <si>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</si>
  <si>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</si>
  <si>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</si>
  <si>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</si>
  <si>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</si>
  <si>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</si>
  <si>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</si>
  <si>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</si>
  <si>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</si>
  <si>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</si>
  <si>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</si>
  <si>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</si>
  <si>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</si>
  <si>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</si>
  <si>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</si>
  <si>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</si>
  <si>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</si>
  <si>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</si>
  <si>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</si>
  <si>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</si>
  <si>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</si>
  <si>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</si>
  <si>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</si>
  <si>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</si>
  <si>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</si>
  <si>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</si>
  <si>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</si>
  <si>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</si>
  <si>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</si>
  <si>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</si>
  <si>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</si>
  <si>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</si>
  <si>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</si>
  <si>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</si>
  <si>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</si>
  <si>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</si>
  <si>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</si>
  <si>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</si>
  <si>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</si>
  <si>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</si>
  <si>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</si>
  <si>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</si>
  <si>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</si>
  <si>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</si>
  <si>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</si>
  <si>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</si>
  <si>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</si>
  <si>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</si>
  <si>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</si>
  <si>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</si>
  <si>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</si>
  <si>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</si>
  <si>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</si>
  <si>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</si>
  <si>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</si>
  <si>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</si>
  <si>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</si>
  <si>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</si>
  <si>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</si>
  <si>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</si>
  <si>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</si>
  <si>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</si>
  <si>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</si>
  <si>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</si>
  <si>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</si>
  <si>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</si>
  <si>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</si>
  <si>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</si>
  <si>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</si>
  <si>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</si>
  <si>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</si>
  <si>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</si>
  <si>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</si>
  <si>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</si>
  <si>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</si>
  <si>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</si>
  <si>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</si>
  <si>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</si>
  <si>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</si>
  <si>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</si>
  <si>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</si>
  <si>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</si>
  <si>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</si>
  <si>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</si>
  <si>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</si>
  <si>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</si>
  <si>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</si>
  <si>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</si>
  <si>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</si>
  <si>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</si>
  <si>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</si>
  <si>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</si>
  <si>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</si>
  <si>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</si>
  <si>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</si>
  <si>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</si>
  <si>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</si>
  <si>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</si>
  <si>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</si>
  <si>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</si>
  <si>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</si>
  <si>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</si>
  <si>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</si>
  <si>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</si>
  <si>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</si>
  <si>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</si>
  <si>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</si>
  <si>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</si>
  <si>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</si>
  <si>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</si>
  <si>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</si>
  <si>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</si>
  <si>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</si>
  <si>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</si>
  <si>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</si>
  <si>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</si>
  <si>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</si>
  <si>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</si>
  <si>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</si>
  <si>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</si>
  <si>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</si>
  <si>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</si>
  <si>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</si>
  <si>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</si>
  <si>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</si>
  <si>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</si>
  <si>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</si>
  <si>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</si>
  <si>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</si>
  <si>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</si>
  <si>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</si>
  <si>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</si>
  <si>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</si>
  <si>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</si>
  <si>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</si>
  <si>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</si>
  <si>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</si>
  <si>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</si>
  <si>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</si>
  <si>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</si>
  <si>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</si>
  <si>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</si>
  <si>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</si>
  <si>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</si>
  <si>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</si>
  <si>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</si>
  <si>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</si>
  <si>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</si>
  <si>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</si>
  <si>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</si>
  <si>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</si>
  <si>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</si>
  <si>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</si>
  <si>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</si>
  <si>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</si>
  <si>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</si>
  <si>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</si>
  <si>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</si>
  <si>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</si>
  <si>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</si>
  <si>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</si>
  <si>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</si>
  <si>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</si>
  <si>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</si>
  <si>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</si>
  <si>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</si>
  <si>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</si>
  <si>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</si>
  <si>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</si>
  <si>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</si>
  <si>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</si>
  <si>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</si>
  <si>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</si>
  <si>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</si>
  <si>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</si>
  <si>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</si>
  <si>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</si>
  <si>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</si>
  <si>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</si>
  <si>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</si>
  <si>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</si>
  <si>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</si>
  <si>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</si>
  <si>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</si>
  <si>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</si>
  <si>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</si>
  <si>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</si>
  <si>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</si>
  <si>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</si>
  <si>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</si>
  <si>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</si>
  <si>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</si>
  <si>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</si>
  <si>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</si>
  <si>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</si>
  <si>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</si>
  <si>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</si>
  <si>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</si>
  <si>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</si>
  <si>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</si>
  <si>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</si>
  <si>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</si>
  <si>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</si>
  <si>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</si>
  <si>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</si>
  <si>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</si>
  <si>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</si>
  <si>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</si>
  <si>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</si>
  <si>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</si>
  <si>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</si>
  <si>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</si>
  <si>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</si>
  <si>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</si>
  <si>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</si>
  <si>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</si>
  <si>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</si>
  <si>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</si>
  <si>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</si>
  <si>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</si>
  <si>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</si>
  <si>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</si>
  <si>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</si>
  <si>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</si>
  <si>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</si>
  <si>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</si>
  <si>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</si>
  <si>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</si>
  <si>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</si>
  <si>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</si>
  <si>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</si>
  <si>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</si>
  <si>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</si>
  <si>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</si>
  <si>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</si>
  <si>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</si>
  <si>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</si>
  <si>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</si>
  <si>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</si>
  <si>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</si>
  <si>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</si>
  <si>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</si>
  <si>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</si>
  <si>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</si>
  <si>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</si>
  <si>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</si>
  <si>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</si>
  <si>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</si>
  <si>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</si>
  <si>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</si>
  <si>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</si>
  <si>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</si>
  <si>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</si>
  <si>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</si>
  <si>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</si>
  <si>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</si>
  <si>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</si>
  <si>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</si>
  <si>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</si>
  <si>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</si>
  <si>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</si>
  <si>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</si>
  <si>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</si>
  <si>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</si>
  <si>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</si>
  <si>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</si>
  <si>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</si>
  <si>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</si>
  <si>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</si>
  <si>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</si>
  <si>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</si>
  <si>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</si>
  <si>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</si>
  <si>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</si>
  <si>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</si>
  <si>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</si>
  <si>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</si>
  <si>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</si>
  <si>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</si>
  <si>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</si>
  <si>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</si>
  <si>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</si>
  <si>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</si>
  <si>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</si>
  <si>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</si>
  <si>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</si>
  <si>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</si>
  <si>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</si>
  <si>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</si>
  <si>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</si>
  <si>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</si>
  <si>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</si>
  <si>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</si>
  <si>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</si>
  <si>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</si>
  <si>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</si>
  <si>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</si>
  <si>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</si>
  <si>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</si>
  <si>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</si>
  <si>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</si>
  <si>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</si>
  <si>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</si>
  <si>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</si>
  <si>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</si>
  <si>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</si>
  <si>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</si>
  <si>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</si>
  <si>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</si>
  <si>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</si>
  <si>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</si>
  <si>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</si>
  <si>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</si>
  <si>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</si>
  <si>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</si>
  <si>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</si>
  <si>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</si>
  <si>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</si>
  <si>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</si>
  <si>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</si>
  <si>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</si>
  <si>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</si>
  <si>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</si>
  <si>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</si>
  <si>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</si>
  <si>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</si>
  <si>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</si>
  <si>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</si>
  <si>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</si>
  <si>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</si>
  <si>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</si>
  <si>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</si>
  <si>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</si>
  <si>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</si>
  <si>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</si>
  <si>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</si>
  <si>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</si>
  <si>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</si>
  <si>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</si>
  <si>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</si>
  <si>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</si>
  <si>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</si>
  <si>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</si>
  <si>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</si>
  <si>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</si>
  <si>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</si>
  <si>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</si>
  <si>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</si>
  <si>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</si>
  <si>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</si>
  <si>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</si>
  <si>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</si>
  <si>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</si>
  <si>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</si>
  <si>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</si>
  <si>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</si>
  <si>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</si>
  <si>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</si>
  <si>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</si>
  <si>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</si>
  <si>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</si>
  <si>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</si>
  <si>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</si>
  <si>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</si>
  <si>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</si>
  <si>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</si>
  <si>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</si>
  <si>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</si>
  <si>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</si>
  <si>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</si>
  <si>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</si>
  <si>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</si>
  <si>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</si>
  <si>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</si>
  <si>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</si>
  <si>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</si>
  <si>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</si>
  <si>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</si>
  <si>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</si>
  <si>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</si>
  <si>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</si>
  <si>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</si>
  <si>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</si>
  <si>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</si>
  <si>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</si>
  <si>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</si>
  <si>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</si>
  <si>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</si>
  <si>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</si>
  <si>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</si>
  <si>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</si>
  <si>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</si>
  <si>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</si>
  <si>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</si>
  <si>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</si>
  <si>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</si>
  <si>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</si>
  <si>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</si>
  <si>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</si>
  <si>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</si>
  <si>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</si>
  <si>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</si>
  <si>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</si>
  <si>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</si>
  <si>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</si>
  <si>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</si>
  <si>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</si>
  <si>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</si>
  <si>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</si>
  <si>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</si>
  <si>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</si>
  <si>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</si>
  <si>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</si>
  <si>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</si>
  <si>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</si>
  <si>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</si>
  <si>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</si>
  <si>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</si>
  <si>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</si>
  <si>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</si>
  <si>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</si>
  <si>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</si>
  <si>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</si>
  <si>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</si>
  <si>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</si>
  <si>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</si>
  <si>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</si>
  <si>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</si>
  <si>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</si>
  <si>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</si>
  <si>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</si>
  <si>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</si>
  <si>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</si>
  <si>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</si>
  <si>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</si>
  <si>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</si>
  <si>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</si>
  <si>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</si>
  <si>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</si>
  <si>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</si>
  <si>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</si>
  <si>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</si>
  <si>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</si>
  <si>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</si>
  <si>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</si>
  <si>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</si>
  <si>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</si>
  <si>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</si>
  <si>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</si>
  <si>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</si>
  <si>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</si>
  <si>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</si>
  <si>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</si>
  <si>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</si>
  <si>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</si>
  <si>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</si>
  <si>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</si>
  <si>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</si>
  <si>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</si>
  <si>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</si>
  <si>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</si>
  <si>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</si>
  <si>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</si>
  <si>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</si>
  <si>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</si>
  <si>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</si>
  <si>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</si>
  <si>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</si>
  <si>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</si>
  <si>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</si>
  <si>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</si>
  <si>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</si>
  <si>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</si>
  <si>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</si>
  <si>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</si>
  <si>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</si>
  <si>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</si>
  <si>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</si>
  <si>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</si>
  <si>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</si>
  <si>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</si>
  <si>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</si>
  <si>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</si>
  <si>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</si>
  <si>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</si>
  <si>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</si>
  <si>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</si>
  <si>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</si>
  <si>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</si>
  <si>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</si>
  <si>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</si>
  <si>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</si>
  <si>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</si>
  <si>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</si>
  <si>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</si>
  <si>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</si>
  <si>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</si>
  <si>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</si>
  <si>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</si>
  <si>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</si>
  <si>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</si>
  <si>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</si>
  <si>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</si>
  <si>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</si>
  <si>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</si>
  <si>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</si>
  <si>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</si>
  <si>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</si>
  <si>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</si>
  <si>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</si>
  <si>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</si>
  <si>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</si>
  <si>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</si>
  <si>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</si>
  <si>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</si>
  <si>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</si>
  <si>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</si>
  <si>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</si>
  <si>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</si>
  <si>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</si>
  <si>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</si>
  <si>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</si>
  <si>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</si>
  <si>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</si>
  <si>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</si>
  <si>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</si>
  <si>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</si>
  <si>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</si>
  <si>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</si>
  <si>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</si>
  <si>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</si>
  <si>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</si>
  <si>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</si>
  <si>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</si>
  <si>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</si>
  <si>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</si>
  <si>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</si>
  <si>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</si>
  <si>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</si>
  <si>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</si>
  <si>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</si>
  <si>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</si>
  <si>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</si>
  <si>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</si>
  <si>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</si>
  <si>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</si>
  <si>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</si>
  <si>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</si>
  <si>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</si>
  <si>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</si>
  <si>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</si>
  <si>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</si>
  <si>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</si>
  <si>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</si>
  <si>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</si>
  <si>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</si>
  <si>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</si>
  <si>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</si>
  <si>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</si>
  <si>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</si>
  <si>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</si>
  <si>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</si>
  <si>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</si>
  <si>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</si>
  <si>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</si>
  <si>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</si>
  <si>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</si>
  <si>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</si>
  <si>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</si>
  <si>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</si>
  <si>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</si>
  <si>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</si>
  <si>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</si>
  <si>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</si>
  <si>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</si>
  <si>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</si>
  <si>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</si>
  <si>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</si>
  <si>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</si>
  <si>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</si>
  <si>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</si>
  <si>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</si>
  <si>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</si>
  <si>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</si>
  <si>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</si>
  <si>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</si>
  <si>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</si>
  <si>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</si>
  <si>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</si>
  <si>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</si>
  <si>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</si>
  <si>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</si>
  <si>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</si>
  <si>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</si>
  <si>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</si>
  <si>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</si>
  <si>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</si>
  <si>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</si>
  <si>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</si>
  <si>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</si>
  <si>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</si>
  <si>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</si>
  <si>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</si>
  <si>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</si>
  <si>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</si>
  <si>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</si>
  <si>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</si>
  <si>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</si>
  <si>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</si>
  <si>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</si>
  <si>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</si>
  <si>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</si>
  <si>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</si>
  <si>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</si>
  <si>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</si>
  <si>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</si>
  <si>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</si>
  <si>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</si>
  <si>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</si>
  <si>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</si>
  <si>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</si>
  <si>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</si>
  <si>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</si>
  <si>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</si>
  <si>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</si>
  <si>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</si>
  <si>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</si>
  <si>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</si>
  <si>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</si>
  <si>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</si>
  <si>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</si>
  <si>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</si>
  <si>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</si>
  <si>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</si>
  <si>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</si>
  <si>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</si>
  <si>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</si>
  <si>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</si>
  <si>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</si>
  <si>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</si>
  <si>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</si>
  <si>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</si>
  <si>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</si>
  <si>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</si>
  <si>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</si>
  <si>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</si>
  <si>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</si>
  <si>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</si>
  <si>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</si>
  <si>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</si>
  <si>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</si>
  <si>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</si>
  <si>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</si>
  <si>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</si>
  <si>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</si>
  <si>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</si>
  <si>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</si>
  <si>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</si>
  <si>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</si>
  <si>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</si>
  <si>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</si>
  <si>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</si>
  <si>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</si>
  <si>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</si>
  <si>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</si>
  <si>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</si>
  <si>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</si>
  <si>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</si>
  <si>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</si>
  <si>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</si>
  <si>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</si>
  <si>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</si>
  <si>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</si>
  <si>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</si>
  <si>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</si>
  <si>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</si>
  <si>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</si>
  <si>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</si>
  <si>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</si>
  <si>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</si>
  <si>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</si>
  <si>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</si>
  <si>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</si>
  <si>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</si>
  <si>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</si>
  <si>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</si>
  <si>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</si>
  <si>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</si>
  <si>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</si>
  <si>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</si>
  <si>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</si>
  <si>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</si>
  <si>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</si>
  <si>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</si>
  <si>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</si>
  <si>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</si>
  <si>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</si>
  <si>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</si>
  <si>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</si>
  <si>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</si>
  <si>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</si>
  <si>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</si>
  <si>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</si>
  <si>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</si>
  <si>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</si>
  <si>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</si>
  <si>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</si>
  <si>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</si>
  <si>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</si>
  <si>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</si>
  <si>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</si>
  <si>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</si>
  <si>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</si>
  <si>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</si>
  <si>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</si>
  <si>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</si>
  <si>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</si>
  <si>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</si>
  <si>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</si>
  <si>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</si>
  <si>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</si>
  <si>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</si>
  <si>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</si>
  <si>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</si>
  <si>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</si>
  <si>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</si>
  <si>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</si>
  <si>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</si>
  <si>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</si>
  <si>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</si>
  <si>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</si>
  <si>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</si>
  <si>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</si>
  <si>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</si>
  <si>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</si>
  <si>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</si>
  <si>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</si>
  <si>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</si>
  <si>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</si>
  <si>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</si>
  <si>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</si>
  <si>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</si>
  <si>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</si>
  <si>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</si>
  <si>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</si>
  <si>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</si>
  <si>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</si>
  <si>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</si>
  <si>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</si>
  <si>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</si>
  <si>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</si>
  <si>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</si>
  <si>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</si>
  <si>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</si>
  <si>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</si>
  <si>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</si>
  <si>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</si>
  <si>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</si>
  <si>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</si>
  <si>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</si>
  <si>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</si>
  <si>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</si>
  <si>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</si>
  <si>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</si>
  <si>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</si>
  <si>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</si>
  <si>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</si>
  <si>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</si>
  <si>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</si>
  <si>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</si>
  <si>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</si>
  <si>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</si>
  <si>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</si>
  <si>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</si>
  <si>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</si>
  <si>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</si>
  <si>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</si>
  <si>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</si>
  <si>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</si>
  <si>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</si>
  <si>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</si>
  <si>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</si>
  <si>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</si>
  <si>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</si>
  <si>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</si>
  <si>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</si>
  <si>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</si>
  <si>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</si>
  <si>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</si>
  <si>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</si>
  <si>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</si>
  <si>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</si>
  <si>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</si>
  <si>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</si>
  <si>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</si>
  <si>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</si>
  <si>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</si>
  <si>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</si>
  <si>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</si>
  <si>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</si>
  <si>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</si>
  <si>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</si>
  <si>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</si>
  <si>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</si>
  <si>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</si>
  <si>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</si>
  <si>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</si>
  <si>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</si>
  <si>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</si>
  <si>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</si>
  <si>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</si>
  <si>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</si>
  <si>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</si>
  <si>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</si>
  <si>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</si>
  <si>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</si>
  <si>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</si>
  <si>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</si>
  <si>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</si>
  <si>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</si>
  <si>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</si>
  <si>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</si>
  <si>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</si>
  <si>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</si>
  <si>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</si>
  <si>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</si>
  <si>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</si>
  <si>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</si>
  <si>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</si>
  <si>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</si>
  <si>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</si>
  <si>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</si>
  <si>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</si>
  <si>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</si>
  <si>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</si>
  <si>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</si>
  <si>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</si>
  <si>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</si>
  <si>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</si>
  <si>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</si>
  <si>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</si>
  <si>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</si>
  <si>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</si>
  <si>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</si>
  <si>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</si>
  <si>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</si>
  <si>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</si>
  <si>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</si>
  <si>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</si>
  <si>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</si>
  <si>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</si>
  <si>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</si>
  <si>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</si>
  <si>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</si>
  <si>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</si>
  <si>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</si>
  <si>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</si>
  <si>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</si>
  <si>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</si>
  <si>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</si>
  <si>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</si>
  <si>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</si>
  <si>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</si>
  <si>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</si>
  <si>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</si>
  <si>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</si>
  <si>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</si>
  <si>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</si>
  <si>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</si>
  <si>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</si>
  <si>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</si>
  <si>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</si>
  <si>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</si>
  <si>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</si>
  <si>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</si>
  <si>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</si>
  <si>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</si>
  <si>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</si>
  <si>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</si>
  <si>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</si>
  <si>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</si>
  <si>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</si>
  <si>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</si>
  <si>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</si>
  <si>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</si>
  <si>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</si>
  <si>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</si>
  <si>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</si>
  <si>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</si>
  <si>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</si>
  <si>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</si>
  <si>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</si>
  <si>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</si>
  <si>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</si>
  <si>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</si>
  <si>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</si>
  <si>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</si>
  <si>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</si>
  <si>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</si>
  <si>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</si>
  <si>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</si>
  <si>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</si>
  <si>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</si>
  <si>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</si>
  <si>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</si>
  <si>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</si>
  <si>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</si>
  <si>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</si>
  <si>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</si>
  <si>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</si>
  <si>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</si>
  <si>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</si>
  <si>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</si>
  <si>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</si>
  <si>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</si>
  <si>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</si>
  <si>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</si>
  <si>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</si>
  <si>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</si>
  <si>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</si>
  <si>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</si>
  <si>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</si>
  <si>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</si>
  <si>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</si>
  <si>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</si>
  <si>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</si>
  <si>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</si>
  <si>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</si>
  <si>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</si>
  <si>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</si>
  <si>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</si>
  <si>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</si>
  <si>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</si>
  <si>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</si>
  <si>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</si>
  <si>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</si>
  <si>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</si>
  <si>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</si>
  <si>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</si>
  <si>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</si>
  <si>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</si>
  <si>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</si>
  <si>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</si>
  <si>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</si>
  <si>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</si>
  <si>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</si>
  <si>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</si>
  <si>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</si>
  <si>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</si>
  <si>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</si>
  <si>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</si>
  <si>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</si>
  <si>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</si>
  <si>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</si>
  <si>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</si>
  <si>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</si>
  <si>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</si>
  <si>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</si>
  <si>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</si>
  <si>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</si>
  <si>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</si>
  <si>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</si>
  <si>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</si>
  <si>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</si>
  <si>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</si>
  <si>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</si>
  <si>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</si>
  <si>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</si>
  <si>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</si>
  <si>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</si>
  <si>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</si>
  <si>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</si>
  <si>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</si>
  <si>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</si>
  <si>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</si>
  <si>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</si>
  <si>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</si>
  <si>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</si>
  <si>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</si>
  <si>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</si>
  <si>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</si>
  <si>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</si>
  <si>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</si>
  <si>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</si>
  <si>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</si>
  <si>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</si>
  <si>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</si>
  <si>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</si>
  <si>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</si>
  <si>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</si>
  <si>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</si>
  <si>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</si>
  <si>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</si>
  <si>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</si>
  <si>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</si>
  <si>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</si>
  <si>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</si>
  <si>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</si>
  <si>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</si>
  <si>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</si>
  <si>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</si>
  <si>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</si>
  <si>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</si>
  <si>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</si>
  <si>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</si>
  <si>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</si>
  <si>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</si>
  <si>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</si>
  <si>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</si>
  <si>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</si>
  <si>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</si>
  <si>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</si>
  <si>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</si>
  <si>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</si>
  <si>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</si>
  <si>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</si>
  <si>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</si>
  <si>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</si>
  <si>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</si>
  <si>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</si>
  <si>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</si>
  <si>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</si>
  <si>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</si>
  <si>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</si>
  <si>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</si>
  <si>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</si>
  <si>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</si>
  <si>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</si>
  <si>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</si>
  <si>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</si>
  <si>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</si>
  <si>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</si>
  <si>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</si>
  <si>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</si>
  <si>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</si>
  <si>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</si>
  <si>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</si>
  <si>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</si>
  <si>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</si>
  <si>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</si>
  <si>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</si>
  <si>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</si>
  <si>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</si>
  <si>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</si>
  <si>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</si>
  <si>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</si>
  <si>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</si>
  <si>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</si>
  <si>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</si>
  <si>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</si>
  <si>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</si>
  <si>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</si>
  <si>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</si>
  <si>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</si>
  <si>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</si>
  <si>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</si>
  <si>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</si>
  <si>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</si>
  <si>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</si>
  <si>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</si>
  <si>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</si>
  <si>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</si>
  <si>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</si>
  <si>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</si>
  <si>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</si>
  <si>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</si>
  <si>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</si>
  <si>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</si>
  <si>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</si>
  <si>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</si>
  <si>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</si>
  <si>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</si>
  <si>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</si>
  <si>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</si>
  <si>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</si>
  <si>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</si>
  <si>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</si>
  <si>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</si>
  <si>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</si>
  <si>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</si>
  <si>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</si>
  <si>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</si>
  <si>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</si>
  <si>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</si>
  <si>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</si>
  <si>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</si>
  <si>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</si>
  <si>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</si>
  <si>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</si>
  <si>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</si>
  <si>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</si>
  <si>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</si>
  <si>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</si>
  <si>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</si>
  <si>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</si>
  <si>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</si>
  <si>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</si>
  <si>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</si>
  <si>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</si>
  <si>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</si>
  <si>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</si>
  <si>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</si>
  <si>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</si>
  <si>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</si>
  <si>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</si>
  <si>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</si>
  <si>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</si>
  <si>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</si>
  <si>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</si>
  <si>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</si>
  <si>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</si>
  <si>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</si>
  <si>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</si>
  <si>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</si>
  <si>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</si>
  <si>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</si>
  <si>
    <t>this map adopts  the definition given in 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</si>
</sst>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B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D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1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3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5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7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9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B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F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3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E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0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3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7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9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B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E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2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6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6.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1005</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1002</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1211</v>
      </c>
      <c r="E58" s="94" t="s">
        <v>1209</v>
      </c>
    </row>
    <row r="59" spans="1:5" ht="30.25" thickBot="1" x14ac:dyDescent="0.9">
      <c r="B59" s="115" t="s">
        <v>741</v>
      </c>
      <c r="C59" s="116" t="s">
        <v>675</v>
      </c>
      <c r="D59" s="94" t="s">
        <v>676</v>
      </c>
      <c r="E59" s="94" t="s">
        <v>94</v>
      </c>
    </row>
    <row r="60" spans="1:5" ht="30.25" thickBot="1" x14ac:dyDescent="0.9">
      <c r="B60" s="115" t="s">
        <v>742</v>
      </c>
      <c r="C60" s="116" t="s">
        <v>677</v>
      </c>
      <c r="D60" s="94" t="s">
        <v>1210</v>
      </c>
      <c r="E60" s="94" t="s">
        <v>1209</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1006</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4" t="s">
        <v>39</v>
      </c>
      <c r="C3" s="145"/>
      <c r="D3" s="34" t="s">
        <v>40</v>
      </c>
      <c r="E3" s="34" t="s">
        <v>41</v>
      </c>
    </row>
    <row r="4" spans="2:5" ht="16.75" thickBot="1" x14ac:dyDescent="0.9">
      <c r="B4" s="146" t="s">
        <v>318</v>
      </c>
      <c r="C4" s="147"/>
      <c r="D4" s="147"/>
      <c r="E4" s="148"/>
    </row>
    <row r="5" spans="2:5" ht="16.75" thickBot="1" x14ac:dyDescent="0.9">
      <c r="B5" s="149" t="s">
        <v>117</v>
      </c>
      <c r="C5" s="150"/>
      <c r="D5" s="147"/>
      <c r="E5" s="14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1" t="s">
        <v>324</v>
      </c>
      <c r="C12" s="152"/>
      <c r="D12" s="153"/>
      <c r="E12" s="154"/>
    </row>
    <row r="13" spans="2:5" ht="16.75" thickBot="1" x14ac:dyDescent="0.9">
      <c r="B13" s="155" t="s">
        <v>325</v>
      </c>
      <c r="C13" s="156"/>
      <c r="D13" s="157"/>
      <c r="E13" s="158"/>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1" t="s">
        <v>350</v>
      </c>
      <c r="C23" s="152"/>
      <c r="D23" s="153"/>
      <c r="E23" s="154"/>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1" t="s">
        <v>370</v>
      </c>
      <c r="C31" s="152"/>
      <c r="D31" s="153"/>
      <c r="E31" s="154"/>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60" t="s">
        <v>381</v>
      </c>
      <c r="C35" s="160" t="s">
        <v>44</v>
      </c>
      <c r="D35" s="40" t="s">
        <v>382</v>
      </c>
      <c r="E35" s="162"/>
    </row>
    <row r="36" spans="1:8" ht="15.5" thickBot="1" x14ac:dyDescent="0.9">
      <c r="B36" s="161"/>
      <c r="C36" s="161"/>
      <c r="D36" s="76" t="s">
        <v>383</v>
      </c>
      <c r="E36" s="163"/>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9" t="s">
        <v>387</v>
      </c>
      <c r="C39" s="157"/>
      <c r="D39" s="157"/>
      <c r="E39" s="157"/>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942</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1306</v>
      </c>
      <c r="C11" s="9" t="s">
        <v>1305</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943</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944</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945</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946</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960</v>
      </c>
      <c r="C26" s="1" t="s">
        <v>941</v>
      </c>
      <c r="D26" s="1" t="s">
        <v>1005</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947</v>
      </c>
      <c r="D28" s="9" t="s">
        <v>834</v>
      </c>
      <c r="E28" s="9">
        <v>0</v>
      </c>
      <c r="F28" s="9" t="s">
        <v>11</v>
      </c>
      <c r="G28" s="9" t="str">
        <f>$B$2&amp;"/StructureDefinition/"&amp;I28</f>
        <v>http://hl7.eu/fhir/ig/xpandh/ps/StructureDefinition/Vaccination</v>
      </c>
      <c r="H28" s="14"/>
      <c r="I28" t="s">
        <v>968</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948</v>
      </c>
      <c r="D29" s="9" t="s">
        <v>835</v>
      </c>
      <c r="E29" s="9">
        <v>0</v>
      </c>
      <c r="F29" s="9" t="s">
        <v>11</v>
      </c>
      <c r="G29" s="9" t="str">
        <f>$B$2&amp;"/StructureDefinition/"&amp;I29</f>
        <v>http://hl7.eu/fhir/ig/xpandh/ps/StructureDefinition/ClosedProblem</v>
      </c>
      <c r="H29" s="14"/>
      <c r="I29" s="33" t="s">
        <v>1138</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949</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1164</v>
      </c>
      <c r="C31" s="1" t="s">
        <v>1163</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1151</v>
      </c>
      <c r="C32" s="1" t="s">
        <v>1150</v>
      </c>
      <c r="D32" s="1" t="s">
        <v>1150</v>
      </c>
      <c r="E32" s="9">
        <v>0</v>
      </c>
      <c r="F32" s="9">
        <v>1</v>
      </c>
      <c r="G32" s="9" t="s">
        <v>4</v>
      </c>
      <c r="J32" s="14" t="str">
        <f t="shared" si="0"/>
        <v>* body.medicalProblems 0..1 BackboneElement ##34#A.2.3 Medical problems##34# ##334#A.2.3 Medical problems##334#</v>
      </c>
      <c r="L32" s="14"/>
    </row>
    <row r="33" spans="1:14" ht="44.25" x14ac:dyDescent="0.75">
      <c r="A33" s="9">
        <v>23</v>
      </c>
      <c r="B33" s="9" t="s">
        <v>1155</v>
      </c>
      <c r="C33" s="1" t="s">
        <v>1139</v>
      </c>
      <c r="D33" s="1" t="s">
        <v>1139</v>
      </c>
      <c r="E33" s="9">
        <v>0</v>
      </c>
      <c r="F33" s="9">
        <v>1</v>
      </c>
      <c r="G33" s="9" t="str">
        <f>$B$2&amp;"/StructureDefinition/"&amp;I33</f>
        <v>http://hl7.eu/fhir/ig/xpandh/ps/StructureDefinition/Problem</v>
      </c>
      <c r="I33" t="s">
        <v>1147</v>
      </c>
      <c r="J33" s="14" t="str">
        <f t="shared" si="0"/>
        <v>* body.medicalProblems.problems 0..1 http://hl7.eu/fhir/ig/xpandh/ps/StructureDefinition/Problem ##34#A.2.3.1 Current problems##34# ##334#A.2.3.1 Current problems##334#</v>
      </c>
      <c r="L33" s="14"/>
    </row>
    <row r="34" spans="1:14" ht="44.25" x14ac:dyDescent="0.75">
      <c r="A34" s="9">
        <v>22</v>
      </c>
      <c r="B34" s="100" t="s">
        <v>1152</v>
      </c>
      <c r="C34" s="1" t="s">
        <v>950</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1153</v>
      </c>
      <c r="C35" s="1" t="s">
        <v>951</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1154</v>
      </c>
      <c r="C36" s="1" t="s">
        <v>952</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953</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1061</v>
      </c>
      <c r="C38" s="14" t="s">
        <v>1029</v>
      </c>
      <c r="D38" s="104" t="s">
        <v>1054</v>
      </c>
      <c r="E38" s="9">
        <v>1</v>
      </c>
      <c r="F38" s="9" t="s">
        <v>11</v>
      </c>
      <c r="G38" s="9" t="str">
        <f>$B$2&amp;"/StructureDefinition/"&amp;I38</f>
        <v>http://hl7.eu/fhir/ig/xpandh/ps/StructureDefinition/Medicine</v>
      </c>
      <c r="H38" s="14"/>
      <c r="I38" t="s">
        <v>1056</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954</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1244</v>
      </c>
      <c r="C40" s="122" t="s">
        <v>1240</v>
      </c>
      <c r="D40" s="94" t="s">
        <v>1242</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1245</v>
      </c>
      <c r="C41" s="122" t="s">
        <v>1241</v>
      </c>
      <c r="D41" s="94" t="s">
        <v>704</v>
      </c>
      <c r="E41" s="9">
        <v>0</v>
      </c>
      <c r="F41" s="9" t="s">
        <v>11</v>
      </c>
      <c r="G41" s="9" t="s">
        <v>1243</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955</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956</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1296</v>
      </c>
      <c r="C45" s="1" t="s">
        <v>1292</v>
      </c>
      <c r="D45" t="s">
        <v>1294</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1297</v>
      </c>
      <c r="C46" s="1" t="s">
        <v>1293</v>
      </c>
      <c r="D46" t="s">
        <v>1295</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957</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1115</v>
      </c>
      <c r="C48" s="1" t="s">
        <v>1113</v>
      </c>
      <c r="D48" s="94" t="s">
        <v>1114</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958</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959</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1083</v>
      </c>
      <c r="C51" s="14" t="s">
        <v>1082</v>
      </c>
      <c r="D51" s="94" t="s">
        <v>1006</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G42" zoomScale="90" zoomScaleNormal="90" workbookViewId="0">
      <selection activeCell="D44" sqref="D44"/>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901</v>
      </c>
    </row>
    <row r="4" spans="1:19" x14ac:dyDescent="0.75">
      <c r="B4" s="61" t="s">
        <v>19</v>
      </c>
      <c r="C4" s="47" t="s">
        <v>848</v>
      </c>
      <c r="D4" s="61" t="s">
        <v>209</v>
      </c>
      <c r="E4" s="72" t="s">
        <v>902</v>
      </c>
    </row>
    <row r="5" spans="1:19" x14ac:dyDescent="0.75">
      <c r="B5" s="61" t="s">
        <v>13</v>
      </c>
      <c r="C5" s="21" t="s">
        <v>850</v>
      </c>
      <c r="D5" s="61"/>
      <c r="E5" s="10"/>
    </row>
    <row r="6" spans="1:19" ht="29.5" x14ac:dyDescent="0.75">
      <c r="B6" s="61" t="s">
        <v>35</v>
      </c>
      <c r="C6" s="105" t="s">
        <v>901</v>
      </c>
      <c r="D6" s="61" t="s">
        <v>206</v>
      </c>
      <c r="E6" s="164" t="s">
        <v>901</v>
      </c>
      <c r="F6" s="164"/>
      <c r="G6" s="164"/>
    </row>
    <row r="7" spans="1:19" x14ac:dyDescent="0.75">
      <c r="B7" s="61" t="s">
        <v>18</v>
      </c>
      <c r="C7" s="106" t="s">
        <v>540</v>
      </c>
      <c r="D7" s="61" t="s">
        <v>207</v>
      </c>
      <c r="E7" s="165" t="s">
        <v>1227</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1308</v>
      </c>
      <c r="E18" s="9"/>
      <c r="F18" s="63" t="s">
        <v>193</v>
      </c>
      <c r="G18" s="79" t="s">
        <v>1307</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1316</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1315</v>
      </c>
      <c r="E22" s="9"/>
      <c r="F22" s="63" t="s">
        <v>193</v>
      </c>
      <c r="G22" s="4" t="s">
        <v>1317</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892</v>
      </c>
      <c r="E32" s="14"/>
      <c r="F32" s="63" t="s">
        <v>192</v>
      </c>
      <c r="G32" s="63"/>
      <c r="H32" s="64"/>
      <c r="I32" s="14" t="str">
        <f t="shared" si="4"/>
        <v>* group[=].element[+].code = #PatientSummary.body.alerts.allergy</v>
      </c>
      <c r="J32" s="14" t="str">
        <f t="shared" si="5"/>
        <v>* group[=].element[=].display = ##34#A.2.1.1 Allergy##34#</v>
      </c>
      <c r="K32" s="14" t="str">
        <f t="shared" si="6"/>
        <v>* group[=].element[=].target.code = #Composition.section:sectionAllergies.entry</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961</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962</v>
      </c>
      <c r="E34" s="14"/>
      <c r="F34" s="63" t="s">
        <v>193</v>
      </c>
      <c r="G34" s="63"/>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963</v>
      </c>
      <c r="E35" s="14"/>
      <c r="F35" s="63" t="s">
        <v>193</v>
      </c>
      <c r="G35" s="63" t="s">
        <v>964</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of type Flag##34#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965</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#Composition.section:sectionImmunizations.entry</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966</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#Composition.section:sectionPastIllnessHx.entry</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1165</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1156</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1318</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1060</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1246</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1247</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1298</v>
      </c>
      <c r="E54" s="14"/>
      <c r="F54" s="63" t="s">
        <v>193</v>
      </c>
      <c r="G54" s="63" t="s">
        <v>1299</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1298</v>
      </c>
      <c r="E55" s="14"/>
      <c r="F55" s="63" t="s">
        <v>193</v>
      </c>
      <c r="G55" s="63" t="s">
        <v>1299</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1301</v>
      </c>
      <c r="E56" s="14"/>
      <c r="F56" s="63" t="s">
        <v>193</v>
      </c>
      <c r="G56" s="79" t="s">
        <v>1302</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1300</v>
      </c>
      <c r="E57" s="14"/>
      <c r="F57" s="63" t="s">
        <v>193</v>
      </c>
      <c r="G57" s="91" t="s">
        <v>1303</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1116</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1084</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#Composition.section:sectionAllergies.entry</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#equivalent</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of type Flag##34#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ht="29.5" x14ac:dyDescent="0.75">
      <c r="P149" s="9">
        <v>135</v>
      </c>
      <c r="Q149" s="9">
        <f t="shared" si="14"/>
        <v>22</v>
      </c>
      <c r="R149" s="9">
        <f t="shared" si="15"/>
        <v>3</v>
      </c>
      <c r="S149" s="14" t="str" cm="1">
        <f t="array" ref="S149">INDEX('PS-ConceptMap-1'!$I$15:$N$286,Q149+1,R149)</f>
        <v>* group[=].element[=].target.code = #Composition.section:sectionImmunizations.entry</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#Composition.section:sectionPastIllnessHx.entry</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#Composition.section:sectionAllergies.entry</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of type Flag##34#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#Composition.section:sectionPastIllnessHx.entry</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PregnancyPsEhn</v>
      </c>
    </row>
    <row r="5" spans="1:11" x14ac:dyDescent="0.75">
      <c r="A5" s="17" t="s">
        <v>19</v>
      </c>
      <c r="B5" s="33" t="s">
        <v>1249</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1270</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1272</v>
      </c>
      <c r="C9" s="9" t="s">
        <v>1254</v>
      </c>
      <c r="D9" s="14" t="s">
        <v>1263</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1273</v>
      </c>
      <c r="C10" s="9" t="s">
        <v>1255</v>
      </c>
      <c r="D10" s="104" t="s">
        <v>1264</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1274</v>
      </c>
      <c r="C11" s="9" t="s">
        <v>1256</v>
      </c>
      <c r="D11" s="14" t="s">
        <v>1265</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1271</v>
      </c>
      <c r="C12" s="9" t="s">
        <v>1257</v>
      </c>
      <c r="D12" s="9" t="s">
        <v>1257</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1275</v>
      </c>
      <c r="C13" s="9" t="s">
        <v>1258</v>
      </c>
      <c r="D13" s="14" t="s">
        <v>1266</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1276</v>
      </c>
      <c r="C14" s="9" t="s">
        <v>1259</v>
      </c>
      <c r="D14" s="9" t="s">
        <v>1259</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1277</v>
      </c>
      <c r="C15" s="9" t="s">
        <v>1260</v>
      </c>
      <c r="D15" s="14" t="s">
        <v>1267</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1278</v>
      </c>
      <c r="C16" s="9" t="s">
        <v>1261</v>
      </c>
      <c r="D16" s="14" t="s">
        <v>1268</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1279</v>
      </c>
      <c r="C17" s="9" t="s">
        <v>1262</v>
      </c>
      <c r="D17" s="104" t="s">
        <v>771</v>
      </c>
      <c r="E17" s="15">
        <v>0</v>
      </c>
      <c r="F17" s="9" t="s">
        <v>11</v>
      </c>
      <c r="G17" s="100" t="s">
        <v>1269</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1252</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1280</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1281</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1282</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1283</v>
      </c>
      <c r="E18" s="9"/>
      <c r="F18" s="63" t="s">
        <v>192</v>
      </c>
      <c r="G18" s="14" t="s">
        <v>1284</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1285</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1286</v>
      </c>
      <c r="E20" s="9"/>
      <c r="F20" s="63" t="s">
        <v>193</v>
      </c>
      <c r="G20" s="4" t="s">
        <v>1287</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1285</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1288</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1289</v>
      </c>
      <c r="E23" s="9"/>
      <c r="F23" s="63" t="s">
        <v>192</v>
      </c>
      <c r="G23" s="79" t="s">
        <v>1290</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1291</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c r="F1" s="141" t="s">
        <v>1321</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1102</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1322</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1323</v>
      </c>
      <c r="E18" s="9"/>
      <c r="F18" s="63" t="s">
        <v>192</v>
      </c>
      <c r="G18" s="14" t="s">
        <v>1324</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1320</v>
      </c>
      <c r="C1" s="167"/>
      <c r="E1" s="141" t="s">
        <v>1321</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1286</v>
      </c>
      <c r="E16" s="9"/>
      <c r="F16" s="63" t="s">
        <v>193</v>
      </c>
      <c r="G16" s="4" t="s">
        <v>1287</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1102</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1290</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1325</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1253</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1207</v>
      </c>
      <c r="I4" s="24" t="str">
        <f>CONCATENATE("Logical: ",B4)</f>
        <v>Logical: FunctionalStatusPsEhn</v>
      </c>
    </row>
    <row r="5" spans="1:11" x14ac:dyDescent="0.75">
      <c r="A5" s="17" t="s">
        <v>19</v>
      </c>
      <c r="B5" s="33" t="s">
        <v>1208</v>
      </c>
      <c r="I5" s="24" t="str">
        <f>CONCATENATE("Id: ",B5)</f>
        <v>Id: FunctionalStatus</v>
      </c>
    </row>
    <row r="6" spans="1:11" x14ac:dyDescent="0.75">
      <c r="A6" s="17" t="s">
        <v>13</v>
      </c>
      <c r="B6" s="18" t="s">
        <v>1223</v>
      </c>
      <c r="I6" s="25" t="str">
        <f>CONCATENATE("Title: ##34#",B6,"##34#")</f>
        <v>Title: ##34#A.2.3.3 - Functional Status##34#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1212</v>
      </c>
      <c r="D8" s="14" t="s">
        <v>1221</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1213</v>
      </c>
      <c r="D9" s="94" t="s">
        <v>1217</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1214</v>
      </c>
      <c r="D10" s="14" t="s">
        <v>1218</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1215</v>
      </c>
      <c r="D11" s="52" t="s">
        <v>1219</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1216</v>
      </c>
      <c r="D12" s="14" t="s">
        <v>1220</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1211</v>
      </c>
      <c r="F29" s="94" t="s">
        <v>1209</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1210</v>
      </c>
      <c r="F31" s="94" t="s">
        <v>1209</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1222</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1237</v>
      </c>
      <c r="C1" s="167"/>
    </row>
    <row r="2" spans="1:19" ht="15.5" thickBot="1" x14ac:dyDescent="0.9"/>
    <row r="3" spans="1:19" ht="15.5" thickBot="1" x14ac:dyDescent="0.9">
      <c r="B3" s="61" t="s">
        <v>34</v>
      </c>
      <c r="C3" s="47" t="s">
        <v>1225</v>
      </c>
      <c r="D3" s="61" t="s">
        <v>208</v>
      </c>
      <c r="E3" s="165" t="str">
        <f>"http://hl7.eu/fhir/ig/xpandh/ps/StructureDefinition/"&amp;'A.2.3.3 FunctionalStatus'!B5</f>
        <v>http://hl7.eu/fhir/ig/xpandh/ps/StructureDefinition/FunctionalStatus</v>
      </c>
      <c r="F3" s="164"/>
      <c r="G3" s="164"/>
    </row>
    <row r="4" spans="1:19" x14ac:dyDescent="0.75">
      <c r="B4" s="61" t="s">
        <v>19</v>
      </c>
      <c r="C4" s="47" t="s">
        <v>1226</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1230</v>
      </c>
      <c r="E15" s="9"/>
      <c r="F15" s="91" t="s">
        <v>193</v>
      </c>
      <c r="G15" s="14" t="s">
        <v>1228</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1236</v>
      </c>
      <c r="E16" s="14"/>
      <c r="F16" s="91" t="s">
        <v>193</v>
      </c>
      <c r="G16" s="14" t="s">
        <v>1229</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1232</v>
      </c>
      <c r="E17" s="9"/>
      <c r="F17" s="91" t="s">
        <v>193</v>
      </c>
      <c r="G17" s="14" t="s">
        <v>1233</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1234</v>
      </c>
      <c r="E18" s="9"/>
      <c r="F18" s="91" t="s">
        <v>193</v>
      </c>
      <c r="G18" s="14" t="s">
        <v>1233</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1231</v>
      </c>
      <c r="E19" s="9"/>
      <c r="F19" s="91" t="s">
        <v>193</v>
      </c>
      <c r="G19" s="14" t="s">
        <v>1238</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1235</v>
      </c>
      <c r="E20" s="9"/>
      <c r="F20" s="91" t="s">
        <v>193</v>
      </c>
      <c r="G20" s="14" t="s">
        <v>1233</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1239</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1192</v>
      </c>
      <c r="I4" s="24" t="str">
        <f>CONCATENATE("Logical: ",B4)</f>
        <v>Logical: ProcedurePsEhn</v>
      </c>
    </row>
    <row r="5" spans="1:11" x14ac:dyDescent="0.75">
      <c r="A5" s="17" t="s">
        <v>19</v>
      </c>
      <c r="B5" s="33" t="s">
        <v>1304</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1195</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1197</v>
      </c>
      <c r="D8" s="14" t="s">
        <v>1200</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1204</v>
      </c>
      <c r="C9" s="9" t="s">
        <v>1198</v>
      </c>
      <c r="D9" s="94" t="s">
        <v>1201</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1199</v>
      </c>
      <c r="D10" s="14" t="s">
        <v>1175</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1202</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1194</v>
      </c>
      <c r="D3" s="61" t="s">
        <v>208</v>
      </c>
      <c r="E3" s="165" t="str">
        <f>"http://hl7.eu/fhir/ig/xpandh/ps/StructureDefinition/"&amp;'A.2.3.3 Procedures'!B5</f>
        <v>http://hl7.eu/fhir/ig/xpandh/ps/StructureDefinition/ProcedurePs</v>
      </c>
      <c r="F3" s="164"/>
      <c r="G3" s="164"/>
    </row>
    <row r="4" spans="1:19" x14ac:dyDescent="0.75">
      <c r="B4" s="61" t="s">
        <v>19</v>
      </c>
      <c r="C4" s="47" t="s">
        <v>1196</v>
      </c>
      <c r="D4" s="61" t="s">
        <v>209</v>
      </c>
      <c r="E4" s="165" t="s">
        <v>1203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1193</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1204</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1205</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1206</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1168</v>
      </c>
      <c r="I4" s="24" t="str">
        <f>CONCATENATE("Logical: ",B4)</f>
        <v>Logical: MedicalDevicePsEhn</v>
      </c>
    </row>
    <row r="5" spans="1:11" x14ac:dyDescent="0.75">
      <c r="A5" s="17" t="s">
        <v>19</v>
      </c>
      <c r="B5" s="33" t="s">
        <v>1169</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1167</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1170</v>
      </c>
      <c r="D8" s="14" t="s">
        <v>1174</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1171</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1177</v>
      </c>
      <c r="C10" s="9" t="s">
        <v>1172</v>
      </c>
      <c r="D10" s="14" t="s">
        <v>1175</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1173</v>
      </c>
      <c r="D11" s="52" t="s">
        <v>1176</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1178</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1179</v>
      </c>
      <c r="D3" s="61" t="s">
        <v>208</v>
      </c>
      <c r="E3" s="165" t="str">
        <f>"http://hl7.eu/fhir/ig/xpandh/ps/StructureDefinition/"&amp;'A.2.3.2 Devices'!B5</f>
        <v>http://hl7.eu/fhir/ig/xpandh/ps/StructureDefinition/MedicalDevice</v>
      </c>
      <c r="F3" s="164"/>
      <c r="G3" s="164"/>
    </row>
    <row r="4" spans="1:19" x14ac:dyDescent="0.75">
      <c r="B4" s="61" t="s">
        <v>19</v>
      </c>
      <c r="C4" s="47" t="s">
        <v>1180</v>
      </c>
      <c r="D4" s="61" t="s">
        <v>209</v>
      </c>
      <c r="E4" s="165" t="s">
        <v>1310</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1183</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1184</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1185</v>
      </c>
      <c r="E16" s="9"/>
      <c r="F16" s="63" t="s">
        <v>193</v>
      </c>
      <c r="G16" t="s">
        <v>1188</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1186</v>
      </c>
      <c r="E17" s="9"/>
      <c r="F17" s="63" t="s">
        <v>193</v>
      </c>
      <c r="G17" t="s">
        <v>1187</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1189</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1190</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1191</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1146</v>
      </c>
      <c r="I4" s="24" t="str">
        <f>CONCATENATE("Logical: ",B4)</f>
        <v>Logical: ProblemPsEhn</v>
      </c>
    </row>
    <row r="5" spans="1:9" x14ac:dyDescent="0.75">
      <c r="A5" s="17" t="s">
        <v>19</v>
      </c>
      <c r="B5" s="33" t="s">
        <v>1147</v>
      </c>
      <c r="I5" s="24" t="str">
        <f>CONCATENATE("Id: ",B5)</f>
        <v>Id: Problem</v>
      </c>
    </row>
    <row r="6" spans="1:9" x14ac:dyDescent="0.75">
      <c r="A6" s="17" t="s">
        <v>13</v>
      </c>
      <c r="B6" s="18" t="s">
        <v>1139</v>
      </c>
      <c r="I6" s="25" t="str">
        <f>CONCATENATE("Title: ##34#",B6,"##34#")</f>
        <v>Title: ##34#A.2.3.1 Current problems##34#</v>
      </c>
    </row>
    <row r="7" spans="1:9" ht="29.5" x14ac:dyDescent="0.75">
      <c r="A7" s="43" t="s">
        <v>5</v>
      </c>
      <c r="B7" s="123" t="s">
        <v>1140</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1143</v>
      </c>
      <c r="D8" s="14" t="s">
        <v>1141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1144</v>
      </c>
      <c r="D9" s="36" t="s">
        <v>1124</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1309</v>
      </c>
      <c r="C10" t="s">
        <v>1145</v>
      </c>
      <c r="D10" s="14" t="s">
        <v>1142</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1157</v>
      </c>
      <c r="D3" s="61" t="s">
        <v>208</v>
      </c>
      <c r="E3" s="72" t="str">
        <f>"http://hl7.eu/fhir/ig/xpandh/ps/StructureDefinition/"&amp;'A.2.3.1 Problem'!B5</f>
        <v>http://hl7.eu/fhir/ig/xpandh/ps/StructureDefinition/Problem</v>
      </c>
    </row>
    <row r="4" spans="1:19" x14ac:dyDescent="0.75">
      <c r="B4" s="61" t="s">
        <v>19</v>
      </c>
      <c r="C4" s="47" t="s">
        <v>1162</v>
      </c>
      <c r="D4" s="61" t="s">
        <v>209</v>
      </c>
      <c r="E4" s="165" t="s">
        <v>1312</v>
      </c>
      <c r="F4" s="164"/>
      <c r="G4" s="164"/>
    </row>
    <row r="5" spans="1:19" x14ac:dyDescent="0.75">
      <c r="B5" s="61" t="s">
        <v>13</v>
      </c>
      <c r="C5" s="10" t="s">
        <v>1158</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1159</v>
      </c>
      <c r="D8" s="61"/>
      <c r="E8" s="10"/>
      <c r="I8" s="14" t="s">
        <v>181</v>
      </c>
      <c r="J8" s="14" t="s">
        <v>182</v>
      </c>
      <c r="K8" s="14" t="s">
        <v>183</v>
      </c>
      <c r="L8" s="14" t="s">
        <v>184</v>
      </c>
      <c r="M8" s="9" t="s">
        <v>185</v>
      </c>
      <c r="P8" s="57" t="s">
        <v>186</v>
      </c>
      <c r="Q8" s="57">
        <v>6</v>
      </c>
    </row>
    <row r="9" spans="1:19" ht="29.5" x14ac:dyDescent="0.75">
      <c r="B9" s="61" t="s">
        <v>205</v>
      </c>
      <c r="C9" s="14" t="s">
        <v>1160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916</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918</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1149</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1127</v>
      </c>
      <c r="I4" s="24" t="str">
        <f>CONCATENATE("Logical: ",B4)</f>
        <v>Logical: ClosedProblemPsEhn</v>
      </c>
    </row>
    <row r="5" spans="1:9" x14ac:dyDescent="0.75">
      <c r="A5" s="17" t="s">
        <v>19</v>
      </c>
      <c r="B5" s="33" t="s">
        <v>1138</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1128</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1119</v>
      </c>
      <c r="D8" s="14" t="s">
        <v>1123</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1120</v>
      </c>
      <c r="D9" s="36" t="s">
        <v>1124</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1121</v>
      </c>
      <c r="D10" s="14" t="s">
        <v>1125</v>
      </c>
      <c r="E10" s="9">
        <v>0</v>
      </c>
      <c r="F10" s="9" t="s">
        <v>11</v>
      </c>
      <c r="G10" s="9" t="s">
        <v>2</v>
      </c>
      <c r="H10" s="22"/>
      <c r="I10" s="14" t="str">
        <f t="shared" si="0"/>
        <v>* endDate 0..* dateTime ##34#A.2.2.2.3 End date##34# ##334#Problem resolution date - Preferred system(s): ISO 8601##334#</v>
      </c>
    </row>
    <row r="11" spans="1:9" ht="118" x14ac:dyDescent="0.75">
      <c r="A11" s="51">
        <v>4</v>
      </c>
      <c r="B11" s="9" t="s">
        <v>1130</v>
      </c>
      <c r="C11" s="9" t="s">
        <v>1122</v>
      </c>
      <c r="D11" s="52" t="s">
        <v>1126</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1117</v>
      </c>
      <c r="F22" s="94" t="s">
        <v>1118</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1129</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1311</v>
      </c>
    </row>
    <row r="3" spans="1:19" ht="15.5" thickBot="1" x14ac:dyDescent="0.9">
      <c r="B3" s="61" t="s">
        <v>34</v>
      </c>
      <c r="C3" s="47" t="s">
        <v>1131</v>
      </c>
      <c r="D3" s="61" t="s">
        <v>208</v>
      </c>
      <c r="E3" s="72" t="str">
        <f>"http://hl7.eu/fhir/ig/xpandh/ps/StructureDefinition/"&amp;'A.2.2.2 ClosedProblem'!B5</f>
        <v>http://hl7.eu/fhir/ig/xpandh/ps/StructureDefinition/ClosedProblem</v>
      </c>
    </row>
    <row r="4" spans="1:19" x14ac:dyDescent="0.75">
      <c r="B4" s="61" t="s">
        <v>19</v>
      </c>
      <c r="C4" s="47" t="s">
        <v>1161</v>
      </c>
      <c r="D4" s="61" t="s">
        <v>209</v>
      </c>
      <c r="E4" s="165" t="s">
        <v>1312</v>
      </c>
      <c r="F4" s="164"/>
      <c r="G4" s="164"/>
    </row>
    <row r="5" spans="1:19" x14ac:dyDescent="0.75">
      <c r="B5" s="61" t="s">
        <v>13</v>
      </c>
      <c r="C5" s="10" t="s">
        <v>1132</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1133</v>
      </c>
      <c r="D8" s="61"/>
      <c r="E8" s="10"/>
      <c r="I8" s="14" t="s">
        <v>181</v>
      </c>
      <c r="J8" s="14" t="s">
        <v>182</v>
      </c>
      <c r="K8" s="14" t="s">
        <v>183</v>
      </c>
      <c r="L8" s="14" t="s">
        <v>184</v>
      </c>
      <c r="M8" s="9" t="s">
        <v>185</v>
      </c>
      <c r="P8" s="57" t="s">
        <v>186</v>
      </c>
      <c r="Q8" s="57">
        <v>6</v>
      </c>
    </row>
    <row r="9" spans="1:19" ht="29.5" x14ac:dyDescent="0.75">
      <c r="B9" s="61" t="s">
        <v>205</v>
      </c>
      <c r="C9" s="14" t="s">
        <v>1134</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916</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1136</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1071</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1137</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1098</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1085</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1086</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1087</v>
      </c>
      <c r="D10" s="94" t="s">
        <v>1095</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1088</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1099</v>
      </c>
      <c r="C12" s="45" t="s">
        <v>1089</v>
      </c>
      <c r="D12" s="94" t="s">
        <v>1096</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1090</v>
      </c>
      <c r="D13" s="94" t="s">
        <v>1097</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1091</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1100</v>
      </c>
      <c r="C15" s="9" t="s">
        <v>1092</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1093</v>
      </c>
      <c r="F26" s="94" t="s">
        <v>1094</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1101</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1101</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1102</v>
      </c>
      <c r="E16" s="9"/>
      <c r="F16" s="63" t="s">
        <v>193</v>
      </c>
      <c r="G16" s="70" t="s">
        <v>1103</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1104</v>
      </c>
      <c r="E17" s="9"/>
      <c r="F17" s="63" t="s">
        <v>193</v>
      </c>
      <c r="G17" s="70" t="s">
        <v>1105</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1106</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1107</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1108</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1109</v>
      </c>
      <c r="E22" s="9"/>
      <c r="F22" s="63" t="s">
        <v>193</v>
      </c>
      <c r="G22" s="70" t="s">
        <v>1111</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1110</v>
      </c>
      <c r="E23" s="9"/>
      <c r="F23" s="63" t="s">
        <v>193</v>
      </c>
      <c r="G23" s="70" t="s">
        <v>1112</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1057</v>
      </c>
      <c r="I4" s="24" t="str">
        <f>CONCATENATE("Logical: ",B4)</f>
        <v>Logical: MedicinePsEhn</v>
      </c>
    </row>
    <row r="5" spans="1:9" x14ac:dyDescent="0.75">
      <c r="A5" s="17" t="s">
        <v>19</v>
      </c>
      <c r="B5" s="33" t="s">
        <v>1056</v>
      </c>
      <c r="I5" s="24" t="str">
        <f>CONCATENATE("Id: ",B5)</f>
        <v>Id: Medicine</v>
      </c>
    </row>
    <row r="6" spans="1:9" x14ac:dyDescent="0.75">
      <c r="A6" s="17" t="s">
        <v>13</v>
      </c>
      <c r="B6" s="18" t="s">
        <v>1029</v>
      </c>
      <c r="I6" s="25" t="str">
        <f>CONCATENATE("Title: ##34#",B6,"##34#")</f>
        <v>Title: ##34#A.2.4.1 Current and relevant past medicines##34#</v>
      </c>
    </row>
    <row r="7" spans="1:9" ht="73.75" x14ac:dyDescent="0.75">
      <c r="A7" s="43" t="s">
        <v>5</v>
      </c>
      <c r="B7" s="50" t="s">
        <v>1058</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1047</v>
      </c>
      <c r="C8" s="9" t="s">
        <v>1030</v>
      </c>
      <c r="D8" s="104" t="s">
        <v>1039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1048</v>
      </c>
      <c r="C9" s="9" t="s">
        <v>1031</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988</v>
      </c>
      <c r="C10" s="9" t="s">
        <v>1032</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1049</v>
      </c>
      <c r="C11" s="9" t="s">
        <v>1033</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1050</v>
      </c>
      <c r="C12" s="9" t="s">
        <v>1034</v>
      </c>
      <c r="D12" s="104" t="s">
        <v>1045</v>
      </c>
      <c r="E12" s="9">
        <v>3</v>
      </c>
      <c r="F12" s="9" t="s">
        <v>11</v>
      </c>
      <c r="G12" s="9" t="s">
        <v>1046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1051</v>
      </c>
      <c r="C13" s="9" t="s">
        <v>1035</v>
      </c>
      <c r="D13" s="104" t="s">
        <v>1044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1052</v>
      </c>
      <c r="C14" s="9" t="s">
        <v>1036</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1053</v>
      </c>
      <c r="C15" s="9" t="s">
        <v>1037</v>
      </c>
      <c r="D15" s="104" t="s">
        <v>1043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1038</v>
      </c>
      <c r="D16" s="104" t="s">
        <v>1040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1055</v>
      </c>
      <c r="D38" s="153"/>
      <c r="E38" s="153"/>
      <c r="F38" s="154"/>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1041</v>
      </c>
      <c r="F47" s="94" t="s">
        <v>1042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I16" zoomScale="85" zoomScaleNormal="8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1313</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1066</v>
      </c>
      <c r="E14" s="110"/>
      <c r="F14" s="3"/>
      <c r="I14" s="14"/>
      <c r="J14" s="9"/>
      <c r="K14" s="9"/>
      <c r="L14" s="9"/>
      <c r="M14" s="59"/>
      <c r="N14" s="62"/>
    </row>
    <row r="15" spans="1:19" ht="73.75" x14ac:dyDescent="0.75">
      <c r="A15" s="22"/>
      <c r="B15" s="9" t="str">
        <f>'A.2.4.1  Medicine'!B8</f>
        <v>reason</v>
      </c>
      <c r="C15" s="9" t="str">
        <f>'A.2.4.1  Medicine'!C8</f>
        <v>A.2.4.1.1 Medication reason</v>
      </c>
      <c r="D15" s="14" t="s">
        <v>1067</v>
      </c>
      <c r="E15" s="14"/>
      <c r="F15" s="63" t="s">
        <v>192</v>
      </c>
      <c r="G15" s="9" t="s">
        <v>1070</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1068</v>
      </c>
      <c r="E16" s="14"/>
      <c r="F16" s="63" t="s">
        <v>192</v>
      </c>
      <c r="G16" s="9" t="s">
        <v>1069</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1319</v>
      </c>
      <c r="E17" s="14"/>
      <c r="F17" s="63" t="s">
        <v>193</v>
      </c>
      <c r="G17" s="4" t="s">
        <v>1327</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adopts  the definition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1072</v>
      </c>
      <c r="E18" s="14"/>
      <c r="F18" s="63" t="s">
        <v>192</v>
      </c>
      <c r="G18" s="112" t="s">
        <v>1073</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1072</v>
      </c>
      <c r="E19" s="14"/>
      <c r="F19" s="63" t="s">
        <v>192</v>
      </c>
      <c r="G19" s="112" t="s">
        <v>1073</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1072</v>
      </c>
      <c r="E20" s="9"/>
      <c r="F20" s="63" t="s">
        <v>192</v>
      </c>
      <c r="G20" s="112" t="s">
        <v>1073</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1072</v>
      </c>
      <c r="E21" s="9"/>
      <c r="F21" s="63" t="s">
        <v>192</v>
      </c>
      <c r="G21" s="112" t="s">
        <v>1073</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1074</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73.75" x14ac:dyDescent="0.75">
      <c r="B23" s="9" t="str">
        <f>'A.2.4.1  Medicine'!B15</f>
        <v>route</v>
      </c>
      <c r="C23" s="9" t="str">
        <f>'A.2.4.1  Medicine'!C15</f>
        <v>A.2.4.1.8 Route of administration</v>
      </c>
      <c r="D23" s="14" t="s">
        <v>1326</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1075</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adopts  the definition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6"/>
  <sheetViews>
    <sheetView topLeftCell="M25" zoomScale="70" zoomScaleNormal="70" workbookViewId="0">
      <selection activeCell="P15" sqref="P15:S6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1314</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1077</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INDEX('Medicine-ConceptMap-2'!$I$15:$N$93,Q15+1,R15)</f>
        <v>* group[=].element[+].code = #Medicine.productName</v>
      </c>
    </row>
    <row r="16" spans="1:19" ht="73.75" x14ac:dyDescent="0.75">
      <c r="A16" s="22"/>
      <c r="B16" s="9" t="str">
        <f>'A.2.4.1  Medicine'!B11</f>
        <v>activeIngredient</v>
      </c>
      <c r="C16" s="9" t="str">
        <f>'A.2.4.1  Medicine'!C11</f>
        <v>A.2.4.1.4 Active ingredient lists</v>
      </c>
      <c r="D16" s="14" t="s">
        <v>1078</v>
      </c>
      <c r="E16" s="14"/>
      <c r="F16" s="63" t="s">
        <v>192</v>
      </c>
      <c r="G16" s="112" t="s">
        <v>1079</v>
      </c>
      <c r="H16" s="64"/>
      <c r="I16" s="14" t="str">
        <f t="shared" ref="I16:I18" si="8">"* group[=].element[+].code = #"&amp;$B$14&amp;"."&amp;B16</f>
        <v>* group[=].element[+].code = #Medicine.activeIngredient</v>
      </c>
      <c r="J16" s="14" t="str">
        <f t="shared" ref="J16:J18" si="9">"* group[=].element[=].display = ##34#"&amp;C16&amp;"##34#"</f>
        <v>* group[=].element[=].display = ##34#A.2.4.1.4 Active ingredient lists##34#</v>
      </c>
      <c r="K16" s="14" t="str">
        <f t="shared" ref="K16:K18" si="10">IF(F16="unmatched","//-- unmatched","* group[=].element[=].target.code = #"&amp;$D$14&amp;"."&amp;D16)</f>
        <v>* group[=].element[=].target.code = #Medication.ingredient.itemCodeableConcept</v>
      </c>
      <c r="L16" s="14" t="str">
        <f t="shared" ref="L16:L18" si="11">IF(F16="unmatched","//-- unmatched","* group[=].element[=].target.display = ##34#"&amp;E16&amp;"##34#")</f>
        <v>* group[=].element[=].target.display = ##34###34#</v>
      </c>
      <c r="M16" s="14" t="str">
        <f t="shared" ref="M16:M18" si="12">"* group[=].element[=].target.equivalence = #"&amp;F16</f>
        <v>* group[=].element[=].target.equivalence = #equivalent</v>
      </c>
      <c r="N16" s="14" t="str">
        <f t="shared" ref="N16:N18" si="13">IF(G16&lt;&gt;"",CONCATENATE("* group[=].element[=].target.comment = ","##34#",G16,"##34#"),"")</f>
        <v>* group[=].element[=].target.comment = ##34#where ingredient.isActive = true##34#</v>
      </c>
      <c r="P16" s="9">
        <v>2</v>
      </c>
      <c r="Q16" s="9">
        <f t="shared" ref="Q16:Q67" si="14">IF(MOD(P16,$Q$8)=0,P16/$Q$8-1,INT(P16/$Q$8))</f>
        <v>0</v>
      </c>
      <c r="R16" s="9">
        <f t="shared" ref="R16:R67" si="15">IF(MOD(P16,$Q$8)=0,$Q$8,MOD(P16,$Q$8))</f>
        <v>2</v>
      </c>
      <c r="S16" s="14" t="str" cm="1">
        <f t="array" ref="S16">INDEX('Medicine-ConceptMap-2'!$I$15:$N$93,Q16+1,R16)</f>
        <v>* group[=].element[=].display = ##34#A.2.4.1.3 Brand name##34#</v>
      </c>
    </row>
    <row r="17" spans="1:20" ht="59" x14ac:dyDescent="0.75">
      <c r="A17" s="22"/>
      <c r="B17" s="9" t="str">
        <f>'A.2.4.1  Medicine'!B12</f>
        <v>strength</v>
      </c>
      <c r="C17" s="9" t="str">
        <f>'A.2.4.1  Medicine'!C12</f>
        <v>A.2.4.1.5 Strength</v>
      </c>
      <c r="D17" s="14" t="s">
        <v>1080</v>
      </c>
      <c r="E17" s="9"/>
      <c r="F17" s="63" t="s">
        <v>192</v>
      </c>
      <c r="G17" s="112" t="s">
        <v>1079</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INDEX('Medicine-ConceptMap-2'!$I$15:$N$93,Q17+1,R17)</f>
        <v>* group[=].element[=].target.code = #Medication.code.text</v>
      </c>
    </row>
    <row r="18" spans="1:20" ht="44.25" x14ac:dyDescent="0.75">
      <c r="A18" s="22"/>
      <c r="B18" s="9" t="str">
        <f>'A.2.4.1  Medicine'!B13</f>
        <v>doseForm</v>
      </c>
      <c r="C18" s="9" t="str">
        <f>'A.2.4.1  Medicine'!C13</f>
        <v>A.2.4.1.6 Pharmaceutical dose form</v>
      </c>
      <c r="D18" s="14" t="s">
        <v>1081</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INDEX('Medicine-ConceptMap-2'!$I$15:$N$93,Q18+1,R18)</f>
        <v>* group[=].element[=].target.display = ##34###34#</v>
      </c>
    </row>
    <row r="19" spans="1:20" x14ac:dyDescent="0.75">
      <c r="I19" s="14"/>
      <c r="J19" s="14"/>
      <c r="K19" s="14"/>
      <c r="L19" s="14"/>
      <c r="M19" s="14"/>
      <c r="N19" s="14"/>
      <c r="P19" s="9">
        <v>5</v>
      </c>
      <c r="Q19" s="9">
        <f t="shared" si="14"/>
        <v>0</v>
      </c>
      <c r="R19" s="9">
        <f t="shared" si="15"/>
        <v>5</v>
      </c>
      <c r="S19" s="14" t="str" cm="1">
        <f t="array" ref="S19">INDEX('Medicine-ConceptMap-2'!$I$15:$N$93,Q19+1,R19)</f>
        <v>* group[=].element[=].target.equivalence = #relatedto</v>
      </c>
    </row>
    <row r="20" spans="1:20" x14ac:dyDescent="0.75">
      <c r="I20" s="14"/>
      <c r="J20" s="14"/>
      <c r="K20" s="14"/>
      <c r="L20" s="14"/>
      <c r="M20" s="14"/>
      <c r="N20" s="14"/>
      <c r="P20" s="9">
        <v>6</v>
      </c>
      <c r="Q20" s="9">
        <f t="shared" si="14"/>
        <v>0</v>
      </c>
      <c r="R20" s="9">
        <f t="shared" si="15"/>
        <v>6</v>
      </c>
      <c r="S20" s="14" t="str" cm="1">
        <f t="array" ref="S20">INDEX('Medicine-ConceptMap-2'!$I$15:$N$93,Q20+1,R20)</f>
        <v/>
      </c>
    </row>
    <row r="21" spans="1:20" x14ac:dyDescent="0.75">
      <c r="I21" s="14"/>
      <c r="J21" s="14"/>
      <c r="K21" s="14"/>
      <c r="L21" s="14"/>
      <c r="M21" s="14"/>
      <c r="N21" s="14"/>
      <c r="P21" s="9">
        <v>7</v>
      </c>
      <c r="Q21" s="9">
        <f t="shared" si="14"/>
        <v>1</v>
      </c>
      <c r="R21" s="9">
        <f t="shared" si="15"/>
        <v>1</v>
      </c>
      <c r="S21" s="14" t="str" cm="1">
        <f t="array" ref="S21">INDEX('Medicine-ConceptMap-2'!$I$15:$N$93,Q21+1,R21)</f>
        <v>* group[=].element[+].code = #Medicine.activeIngredient</v>
      </c>
    </row>
    <row r="22" spans="1:20" x14ac:dyDescent="0.75">
      <c r="I22" s="14"/>
      <c r="J22" s="14"/>
      <c r="K22" s="14"/>
      <c r="L22" s="14"/>
      <c r="M22" s="14"/>
      <c r="N22" s="14"/>
      <c r="P22" s="9">
        <v>8</v>
      </c>
      <c r="Q22" s="9">
        <f t="shared" si="14"/>
        <v>1</v>
      </c>
      <c r="R22" s="9">
        <f t="shared" si="15"/>
        <v>2</v>
      </c>
      <c r="S22" s="14" t="str" cm="1">
        <f t="array" ref="S22">INDEX('Medicine-ConceptMap-2'!$I$15:$N$93,Q22+1,R22)</f>
        <v>* group[=].element[=].display = ##34#A.2.4.1.4 Active ingredient lists##34#</v>
      </c>
    </row>
    <row r="23" spans="1:20" x14ac:dyDescent="0.75">
      <c r="I23" s="14"/>
      <c r="J23" s="14"/>
      <c r="K23" s="14"/>
      <c r="L23" s="14"/>
      <c r="M23" s="14"/>
      <c r="N23" s="14"/>
      <c r="P23" s="9">
        <v>9</v>
      </c>
      <c r="Q23" s="9">
        <f t="shared" si="14"/>
        <v>1</v>
      </c>
      <c r="R23" s="9">
        <f t="shared" si="15"/>
        <v>3</v>
      </c>
      <c r="S23" s="14" t="str" cm="1">
        <f t="array" ref="S23">INDEX('Medicine-ConceptMap-2'!$I$15:$N$93,Q23+1,R23)</f>
        <v>* group[=].element[=].target.code = #Medication.ingredient.itemCodeableConcept</v>
      </c>
    </row>
    <row r="24" spans="1:20" x14ac:dyDescent="0.75">
      <c r="I24" s="14"/>
      <c r="J24" s="14"/>
      <c r="K24" s="14"/>
      <c r="L24" s="14"/>
      <c r="M24" s="14"/>
      <c r="N24" s="14"/>
      <c r="P24" s="9">
        <v>10</v>
      </c>
      <c r="Q24" s="9">
        <f t="shared" si="14"/>
        <v>1</v>
      </c>
      <c r="R24" s="9">
        <f t="shared" si="15"/>
        <v>4</v>
      </c>
      <c r="S24" s="14" t="str" cm="1">
        <f t="array" ref="S24">INDEX('Medicine-ConceptMap-2'!$I$15:$N$93,Q24+1,R24)</f>
        <v>* group[=].element[=].target.display = ##34###34#</v>
      </c>
    </row>
    <row r="25" spans="1:20" x14ac:dyDescent="0.75">
      <c r="I25" s="14"/>
      <c r="J25" s="14"/>
      <c r="K25" s="14"/>
      <c r="L25" s="14"/>
      <c r="M25" s="14"/>
      <c r="N25" s="14"/>
      <c r="P25" s="9">
        <v>11</v>
      </c>
      <c r="Q25" s="9">
        <f t="shared" si="14"/>
        <v>1</v>
      </c>
      <c r="R25" s="9">
        <f t="shared" si="15"/>
        <v>5</v>
      </c>
      <c r="S25" s="14" t="str" cm="1">
        <f t="array" ref="S25">INDEX('Medicine-ConceptMap-2'!$I$15:$N$93,Q25+1,R25)</f>
        <v>* group[=].element[=].target.equivalence = #equivalent</v>
      </c>
    </row>
    <row r="26" spans="1:20" x14ac:dyDescent="0.75">
      <c r="I26" s="14"/>
      <c r="J26" s="14"/>
      <c r="K26" s="14"/>
      <c r="L26" s="14"/>
      <c r="M26" s="14"/>
      <c r="N26" s="14"/>
      <c r="P26" s="9">
        <v>12</v>
      </c>
      <c r="Q26" s="9">
        <f t="shared" si="14"/>
        <v>1</v>
      </c>
      <c r="R26" s="9">
        <f t="shared" si="15"/>
        <v>6</v>
      </c>
      <c r="S26" s="14" t="str" cm="1">
        <f t="array" ref="S26">INDEX('Medicine-ConceptMap-2'!$I$15:$N$93,Q26+1,R26)</f>
        <v>* group[=].element[=].target.comment = ##34#where ingredient.isActive = true##34#</v>
      </c>
    </row>
    <row r="27" spans="1:20" x14ac:dyDescent="0.75">
      <c r="P27" s="9">
        <v>13</v>
      </c>
      <c r="Q27" s="9">
        <f t="shared" si="14"/>
        <v>2</v>
      </c>
      <c r="R27" s="9">
        <f t="shared" si="15"/>
        <v>1</v>
      </c>
      <c r="S27" s="14" t="str" cm="1">
        <f t="array" ref="S27">INDEX('Medicine-ConceptMap-2'!$I$15:$N$93,Q27+1,R27)</f>
        <v>* group[=].element[+].code = #Medicine.strength</v>
      </c>
    </row>
    <row r="28" spans="1:20" x14ac:dyDescent="0.75">
      <c r="P28" s="9">
        <v>14</v>
      </c>
      <c r="Q28" s="9">
        <f t="shared" si="14"/>
        <v>2</v>
      </c>
      <c r="R28" s="9">
        <f t="shared" si="15"/>
        <v>2</v>
      </c>
      <c r="S28" s="14" t="str" cm="1">
        <f t="array" ref="S28">INDEX('Medicine-ConceptMap-2'!$I$15:$N$93,Q28+1,R28)</f>
        <v>* group[=].element[=].display = ##34#A.2.4.1.5 Strength##34#</v>
      </c>
    </row>
    <row r="29" spans="1:20" x14ac:dyDescent="0.75">
      <c r="P29" s="9">
        <v>15</v>
      </c>
      <c r="Q29" s="9">
        <f t="shared" si="14"/>
        <v>2</v>
      </c>
      <c r="R29" s="9">
        <f t="shared" si="15"/>
        <v>3</v>
      </c>
      <c r="S29" s="14" t="str" cm="1">
        <f t="array" ref="S29">INDEX('Medicine-ConceptMap-2'!$I$15:$N$93,Q29+1,R29)</f>
        <v>* group[=].element[=].target.code = #Medication.ingredient.strength</v>
      </c>
    </row>
    <row r="30" spans="1:20" x14ac:dyDescent="0.75">
      <c r="P30" s="9">
        <v>16</v>
      </c>
      <c r="Q30" s="9">
        <f t="shared" si="14"/>
        <v>2</v>
      </c>
      <c r="R30" s="9">
        <f t="shared" si="15"/>
        <v>4</v>
      </c>
      <c r="S30" s="14" t="str" cm="1">
        <f t="array" ref="S30">INDEX('Medicine-ConceptMap-2'!$I$15:$N$93,Q30+1,R30)</f>
        <v>* group[=].element[=].target.display = ##34###34#</v>
      </c>
    </row>
    <row r="31" spans="1:20" x14ac:dyDescent="0.75">
      <c r="P31" s="9">
        <v>17</v>
      </c>
      <c r="Q31" s="9">
        <f t="shared" si="14"/>
        <v>2</v>
      </c>
      <c r="R31" s="9">
        <f t="shared" si="15"/>
        <v>5</v>
      </c>
      <c r="S31" s="14" t="str" cm="1">
        <f t="array" ref="S31">INDEX('Medicine-ConceptMap-2'!$I$15:$N$93,Q31+1,R31)</f>
        <v>* group[=].element[=].target.equivalence = #equivalent</v>
      </c>
    </row>
    <row r="32" spans="1:20" s="1" customFormat="1" x14ac:dyDescent="0.75">
      <c r="A32"/>
      <c r="B32"/>
      <c r="C32"/>
      <c r="F32"/>
      <c r="G32"/>
      <c r="H32"/>
      <c r="J32"/>
      <c r="K32"/>
      <c r="L32"/>
      <c r="M32"/>
      <c r="N32"/>
      <c r="P32" s="9">
        <v>18</v>
      </c>
      <c r="Q32" s="9">
        <f t="shared" si="14"/>
        <v>2</v>
      </c>
      <c r="R32" s="9">
        <f t="shared" si="15"/>
        <v>6</v>
      </c>
      <c r="S32" s="14" t="str" cm="1">
        <f t="array" ref="S32">INDEX('Medicine-ConceptMap-2'!$I$15:$N$93,Q32+1,R32)</f>
        <v>* group[=].element[=].target.comment = ##34#where ingredient.isActive = true##34#</v>
      </c>
      <c r="T32"/>
    </row>
    <row r="33" spans="1:20" s="1" customFormat="1" x14ac:dyDescent="0.75">
      <c r="A33"/>
      <c r="B33"/>
      <c r="C33"/>
      <c r="F33"/>
      <c r="G33"/>
      <c r="H33"/>
      <c r="J33"/>
      <c r="K33"/>
      <c r="L33"/>
      <c r="M33"/>
      <c r="N33"/>
      <c r="P33" s="9">
        <v>19</v>
      </c>
      <c r="Q33" s="9">
        <f t="shared" si="14"/>
        <v>3</v>
      </c>
      <c r="R33" s="9">
        <f t="shared" si="15"/>
        <v>1</v>
      </c>
      <c r="S33" s="14" t="str" cm="1">
        <f t="array" ref="S33">INDEX('Medicine-ConceptMap-2'!$I$15:$N$93,Q33+1,R33)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INDEX('Medicine-ConceptMap-2'!$I$15:$N$93,Q34+1,R34)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INDEX('Medicine-ConceptMap-2'!$I$15:$N$93,Q35+1,R35)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INDEX('Medicine-ConceptMap-2'!$I$15:$N$93,Q36+1,R36)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INDEX('Medicine-ConceptMap-2'!$I$15:$N$93,Q37+1,R37)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INDEX('Medicine-ConceptMap-2'!$I$15:$N$93,Q38+1,R38)</f>
        <v/>
      </c>
      <c r="T38"/>
    </row>
    <row r="39" spans="1:20" s="1" customFormat="1" x14ac:dyDescent="0.75">
      <c r="A39"/>
      <c r="B39"/>
      <c r="C39"/>
      <c r="F39"/>
      <c r="G39"/>
      <c r="H39"/>
      <c r="J39"/>
      <c r="K39"/>
      <c r="L39"/>
      <c r="M39"/>
      <c r="N39"/>
      <c r="P39" s="9">
        <v>25</v>
      </c>
      <c r="Q39" s="9">
        <f t="shared" si="14"/>
        <v>4</v>
      </c>
      <c r="R39" s="9">
        <f t="shared" si="15"/>
        <v>1</v>
      </c>
      <c r="S39" s="14" cm="1">
        <f t="array" ref="S39">INDEX('Medicine-ConceptMap-2'!$I$15:$N$93,Q39+1,R39)</f>
        <v>0</v>
      </c>
      <c r="T39"/>
    </row>
    <row r="40" spans="1:20" s="1" customFormat="1" x14ac:dyDescent="0.75">
      <c r="A40"/>
      <c r="B40"/>
      <c r="C40"/>
      <c r="F40"/>
      <c r="G40"/>
      <c r="H40"/>
      <c r="J40"/>
      <c r="K40"/>
      <c r="L40"/>
      <c r="M40"/>
      <c r="N40"/>
      <c r="P40" s="9">
        <v>26</v>
      </c>
      <c r="Q40" s="9">
        <f t="shared" si="14"/>
        <v>4</v>
      </c>
      <c r="R40" s="9">
        <f t="shared" si="15"/>
        <v>2</v>
      </c>
      <c r="S40" s="14" cm="1">
        <f t="array" ref="S40">INDEX('Medicine-ConceptMap-2'!$I$15:$N$93,Q40+1,R40)</f>
        <v>0</v>
      </c>
      <c r="T40"/>
    </row>
    <row r="41" spans="1:20" x14ac:dyDescent="0.75">
      <c r="P41" s="9">
        <v>27</v>
      </c>
      <c r="Q41" s="9">
        <f t="shared" si="14"/>
        <v>4</v>
      </c>
      <c r="R41" s="9">
        <f t="shared" si="15"/>
        <v>3</v>
      </c>
      <c r="S41" s="14" cm="1">
        <f t="array" ref="S41">INDEX('Medicine-ConceptMap-2'!$I$15:$N$93,Q41+1,R41)</f>
        <v>0</v>
      </c>
    </row>
    <row r="42" spans="1:20" x14ac:dyDescent="0.75">
      <c r="P42" s="9">
        <v>28</v>
      </c>
      <c r="Q42" s="9">
        <f t="shared" si="14"/>
        <v>4</v>
      </c>
      <c r="R42" s="9">
        <f t="shared" si="15"/>
        <v>4</v>
      </c>
      <c r="S42" s="14" cm="1">
        <f t="array" ref="S42">INDEX('Medicine-ConceptMap-2'!$I$15:$N$93,Q42+1,R42)</f>
        <v>0</v>
      </c>
    </row>
    <row r="43" spans="1:20" x14ac:dyDescent="0.75">
      <c r="P43" s="9">
        <v>29</v>
      </c>
      <c r="Q43" s="9">
        <f t="shared" si="14"/>
        <v>4</v>
      </c>
      <c r="R43" s="9">
        <f t="shared" si="15"/>
        <v>5</v>
      </c>
      <c r="S43" s="14" cm="1">
        <f t="array" ref="S43">INDEX('Medicine-ConceptMap-2'!$I$15:$N$93,Q43+1,R43)</f>
        <v>0</v>
      </c>
    </row>
    <row r="44" spans="1:20" x14ac:dyDescent="0.75">
      <c r="P44" s="9">
        <v>30</v>
      </c>
      <c r="Q44" s="9">
        <f t="shared" si="14"/>
        <v>4</v>
      </c>
      <c r="R44" s="9">
        <f t="shared" si="15"/>
        <v>6</v>
      </c>
      <c r="S44" s="14" cm="1">
        <f t="array" ref="S44">INDEX('Medicine-ConceptMap-2'!$I$15:$N$93,Q44+1,R44)</f>
        <v>0</v>
      </c>
    </row>
    <row r="45" spans="1:20" x14ac:dyDescent="0.75">
      <c r="P45" s="9">
        <v>31</v>
      </c>
      <c r="Q45" s="9">
        <f t="shared" si="14"/>
        <v>5</v>
      </c>
      <c r="R45" s="9">
        <f t="shared" si="15"/>
        <v>1</v>
      </c>
      <c r="S45" s="14" cm="1">
        <f t="array" ref="S45">INDEX('Medicine-ConceptMap-2'!$I$15:$N$93,Q45+1,R45)</f>
        <v>0</v>
      </c>
    </row>
    <row r="46" spans="1:20" x14ac:dyDescent="0.75">
      <c r="P46" s="9">
        <v>32</v>
      </c>
      <c r="Q46" s="9">
        <f t="shared" si="14"/>
        <v>5</v>
      </c>
      <c r="R46" s="9">
        <f t="shared" si="15"/>
        <v>2</v>
      </c>
      <c r="S46" s="14" cm="1">
        <f t="array" ref="S46">INDEX('Medicine-ConceptMap-2'!$I$15:$N$93,Q46+1,R46)</f>
        <v>0</v>
      </c>
    </row>
    <row r="47" spans="1:20" x14ac:dyDescent="0.75">
      <c r="P47" s="9">
        <v>33</v>
      </c>
      <c r="Q47" s="9">
        <f t="shared" si="14"/>
        <v>5</v>
      </c>
      <c r="R47" s="9">
        <f t="shared" si="15"/>
        <v>3</v>
      </c>
      <c r="S47" s="14" cm="1">
        <f t="array" ref="S47">INDEX('Medicine-ConceptMap-2'!$I$15:$N$93,Q47+1,R47)</f>
        <v>0</v>
      </c>
    </row>
    <row r="48" spans="1:20" x14ac:dyDescent="0.75">
      <c r="P48" s="9">
        <v>34</v>
      </c>
      <c r="Q48" s="9">
        <f t="shared" si="14"/>
        <v>5</v>
      </c>
      <c r="R48" s="9">
        <f t="shared" si="15"/>
        <v>4</v>
      </c>
      <c r="S48" s="14" cm="1">
        <f t="array" ref="S48">INDEX('Medicine-ConceptMap-2'!$I$15:$N$93,Q48+1,R48)</f>
        <v>0</v>
      </c>
    </row>
    <row r="49" spans="16:19" x14ac:dyDescent="0.75">
      <c r="P49" s="9">
        <v>35</v>
      </c>
      <c r="Q49" s="9">
        <f t="shared" si="14"/>
        <v>5</v>
      </c>
      <c r="R49" s="9">
        <f t="shared" si="15"/>
        <v>5</v>
      </c>
      <c r="S49" s="14" cm="1">
        <f t="array" ref="S49">INDEX('Medicine-ConceptMap-2'!$I$15:$N$93,Q49+1,R49)</f>
        <v>0</v>
      </c>
    </row>
    <row r="50" spans="16:19" x14ac:dyDescent="0.75">
      <c r="P50" s="9">
        <v>36</v>
      </c>
      <c r="Q50" s="9">
        <f t="shared" si="14"/>
        <v>5</v>
      </c>
      <c r="R50" s="9">
        <f t="shared" si="15"/>
        <v>6</v>
      </c>
      <c r="S50" s="14" cm="1">
        <f t="array" ref="S50">INDEX('Medicine-ConceptMap-2'!$I$15:$N$93,Q50+1,R50)</f>
        <v>0</v>
      </c>
    </row>
    <row r="51" spans="16:19" x14ac:dyDescent="0.75">
      <c r="P51" s="9">
        <v>37</v>
      </c>
      <c r="Q51" s="9">
        <f t="shared" si="14"/>
        <v>6</v>
      </c>
      <c r="R51" s="9">
        <f t="shared" si="15"/>
        <v>1</v>
      </c>
      <c r="S51" s="14" cm="1">
        <f t="array" ref="S51">INDEX('Medicine-ConceptMap-2'!$I$15:$N$93,Q51+1,R51)</f>
        <v>0</v>
      </c>
    </row>
    <row r="52" spans="16:19" x14ac:dyDescent="0.75">
      <c r="P52" s="9">
        <v>38</v>
      </c>
      <c r="Q52" s="9">
        <f t="shared" si="14"/>
        <v>6</v>
      </c>
      <c r="R52" s="9">
        <f t="shared" si="15"/>
        <v>2</v>
      </c>
      <c r="S52" s="14" cm="1">
        <f t="array" ref="S52">INDEX('Medicine-ConceptMap-2'!$I$15:$N$93,Q52+1,R52)</f>
        <v>0</v>
      </c>
    </row>
    <row r="53" spans="16:19" x14ac:dyDescent="0.75">
      <c r="P53" s="9">
        <v>39</v>
      </c>
      <c r="Q53" s="9">
        <f t="shared" si="14"/>
        <v>6</v>
      </c>
      <c r="R53" s="9">
        <f t="shared" si="15"/>
        <v>3</v>
      </c>
      <c r="S53" s="14" cm="1">
        <f t="array" ref="S53">INDEX('Medicine-ConceptMap-2'!$I$15:$N$93,Q53+1,R53)</f>
        <v>0</v>
      </c>
    </row>
    <row r="54" spans="16:19" x14ac:dyDescent="0.75">
      <c r="P54" s="9">
        <v>40</v>
      </c>
      <c r="Q54" s="9">
        <f t="shared" si="14"/>
        <v>6</v>
      </c>
      <c r="R54" s="9">
        <f t="shared" si="15"/>
        <v>4</v>
      </c>
      <c r="S54" s="14" cm="1">
        <f t="array" ref="S54">INDEX('Medicine-ConceptMap-2'!$I$15:$N$93,Q54+1,R54)</f>
        <v>0</v>
      </c>
    </row>
    <row r="55" spans="16:19" x14ac:dyDescent="0.75">
      <c r="P55" s="9">
        <v>41</v>
      </c>
      <c r="Q55" s="9">
        <f t="shared" si="14"/>
        <v>6</v>
      </c>
      <c r="R55" s="9">
        <f t="shared" si="15"/>
        <v>5</v>
      </c>
      <c r="S55" s="14" cm="1">
        <f t="array" ref="S55">INDEX('Medicine-ConceptMap-2'!$I$15:$N$93,Q55+1,R55)</f>
        <v>0</v>
      </c>
    </row>
    <row r="56" spans="16:19" x14ac:dyDescent="0.75">
      <c r="P56" s="9">
        <v>42</v>
      </c>
      <c r="Q56" s="9">
        <f t="shared" si="14"/>
        <v>6</v>
      </c>
      <c r="R56" s="9">
        <f t="shared" si="15"/>
        <v>6</v>
      </c>
      <c r="S56" s="14" cm="1">
        <f t="array" ref="S56">INDEX('Medicine-ConceptMap-2'!$I$15:$N$93,Q56+1,R56)</f>
        <v>0</v>
      </c>
    </row>
    <row r="57" spans="16:19" x14ac:dyDescent="0.75">
      <c r="P57" s="9">
        <v>43</v>
      </c>
      <c r="Q57" s="9">
        <f t="shared" si="14"/>
        <v>7</v>
      </c>
      <c r="R57" s="9">
        <f t="shared" si="15"/>
        <v>1</v>
      </c>
      <c r="S57" s="14" cm="1">
        <f t="array" ref="S57">INDEX('Medicine-ConceptMap-2'!$I$15:$N$93,Q57+1,R57)</f>
        <v>0</v>
      </c>
    </row>
    <row r="58" spans="16:19" x14ac:dyDescent="0.75">
      <c r="P58" s="9">
        <v>44</v>
      </c>
      <c r="Q58" s="9">
        <f t="shared" si="14"/>
        <v>7</v>
      </c>
      <c r="R58" s="9">
        <f t="shared" si="15"/>
        <v>2</v>
      </c>
      <c r="S58" s="14" cm="1">
        <f t="array" ref="S58">INDEX('Medicine-ConceptMap-2'!$I$15:$N$93,Q58+1,R58)</f>
        <v>0</v>
      </c>
    </row>
    <row r="59" spans="16:19" x14ac:dyDescent="0.75">
      <c r="P59" s="9">
        <v>45</v>
      </c>
      <c r="Q59" s="9">
        <f t="shared" si="14"/>
        <v>7</v>
      </c>
      <c r="R59" s="9">
        <f t="shared" si="15"/>
        <v>3</v>
      </c>
      <c r="S59" s="14" cm="1">
        <f t="array" ref="S59">INDEX('Medicine-ConceptMap-2'!$I$15:$N$93,Q59+1,R59)</f>
        <v>0</v>
      </c>
    </row>
    <row r="60" spans="16:19" x14ac:dyDescent="0.75">
      <c r="P60" s="9">
        <v>46</v>
      </c>
      <c r="Q60" s="9">
        <f t="shared" si="14"/>
        <v>7</v>
      </c>
      <c r="R60" s="9">
        <f t="shared" si="15"/>
        <v>4</v>
      </c>
      <c r="S60" s="14" cm="1">
        <f t="array" ref="S60">INDEX('Medicine-ConceptMap-2'!$I$15:$N$93,Q60+1,R60)</f>
        <v>0</v>
      </c>
    </row>
    <row r="61" spans="16:19" x14ac:dyDescent="0.75">
      <c r="P61" s="9">
        <v>47</v>
      </c>
      <c r="Q61" s="9">
        <f t="shared" si="14"/>
        <v>7</v>
      </c>
      <c r="R61" s="9">
        <f t="shared" si="15"/>
        <v>5</v>
      </c>
      <c r="S61" s="14" cm="1">
        <f t="array" ref="S61">INDEX('Medicine-ConceptMap-2'!$I$15:$N$93,Q61+1,R61)</f>
        <v>0</v>
      </c>
    </row>
    <row r="62" spans="16:19" x14ac:dyDescent="0.75">
      <c r="P62" s="9">
        <v>48</v>
      </c>
      <c r="Q62" s="9">
        <f t="shared" si="14"/>
        <v>7</v>
      </c>
      <c r="R62" s="9">
        <f t="shared" si="15"/>
        <v>6</v>
      </c>
      <c r="S62" s="14" cm="1">
        <f t="array" ref="S62">INDEX('Medicine-ConceptMap-2'!$I$15:$N$93,Q62+1,R62)</f>
        <v>0</v>
      </c>
    </row>
    <row r="63" spans="16:19" x14ac:dyDescent="0.75">
      <c r="P63" s="9">
        <v>49</v>
      </c>
      <c r="Q63" s="9">
        <f t="shared" si="14"/>
        <v>8</v>
      </c>
      <c r="R63" s="9">
        <f t="shared" si="15"/>
        <v>1</v>
      </c>
      <c r="S63" s="14" cm="1">
        <f t="array" ref="S63">INDEX('Medicine-ConceptMap-2'!$I$15:$N$93,Q63+1,R63)</f>
        <v>0</v>
      </c>
    </row>
    <row r="64" spans="16:19" x14ac:dyDescent="0.75">
      <c r="P64" s="9">
        <v>50</v>
      </c>
      <c r="Q64" s="9">
        <f t="shared" si="14"/>
        <v>8</v>
      </c>
      <c r="R64" s="9">
        <f t="shared" si="15"/>
        <v>2</v>
      </c>
      <c r="S64" s="14" cm="1">
        <f t="array" ref="S64">INDEX('Medicine-ConceptMap-2'!$I$15:$N$93,Q64+1,R64)</f>
        <v>0</v>
      </c>
    </row>
    <row r="65" spans="16:19" x14ac:dyDescent="0.75">
      <c r="P65" s="9">
        <v>51</v>
      </c>
      <c r="Q65" s="9">
        <f t="shared" si="14"/>
        <v>8</v>
      </c>
      <c r="R65" s="9">
        <f t="shared" si="15"/>
        <v>3</v>
      </c>
      <c r="S65" s="14" cm="1">
        <f t="array" ref="S65">INDEX('Medicine-ConceptMap-2'!$I$15:$N$93,Q65+1,R65)</f>
        <v>0</v>
      </c>
    </row>
    <row r="66" spans="16:19" x14ac:dyDescent="0.75">
      <c r="P66" s="9">
        <v>52</v>
      </c>
      <c r="Q66" s="9">
        <f t="shared" si="14"/>
        <v>8</v>
      </c>
      <c r="R66" s="9">
        <f t="shared" si="15"/>
        <v>4</v>
      </c>
      <c r="S66" s="14" cm="1">
        <f t="array" ref="S66">INDEX('Medicine-ConceptMap-2'!$I$15:$N$93,Q66+1,R66)</f>
        <v>0</v>
      </c>
    </row>
    <row r="67" spans="16:19" x14ac:dyDescent="0.75">
      <c r="P67" s="9">
        <v>53</v>
      </c>
      <c r="Q67" s="9">
        <f t="shared" si="14"/>
        <v>8</v>
      </c>
      <c r="R67" s="9">
        <f t="shared" si="15"/>
        <v>5</v>
      </c>
      <c r="S67" s="14" cm="1">
        <f t="array" ref="S67">INDEX('Medicine-ConceptMap-2'!$I$15:$N$93,Q67+1,R67)</f>
        <v>0</v>
      </c>
    </row>
    <row r="68" spans="16:19" x14ac:dyDescent="0.75">
      <c r="P68" s="9"/>
      <c r="Q68" s="9"/>
      <c r="R68" s="9"/>
      <c r="S68" s="14"/>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89" sqref="B89:B1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1076</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adopts  the definition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//---END</v>
      </c>
    </row>
    <row r="114" spans="2:2" x14ac:dyDescent="0.75">
      <c r="B114" t="str">
        <f>IF('Medicine-ConceptMap-2'!S40=0,"//---END",'Medicine-ConceptMap-2'!S40)</f>
        <v>//---END</v>
      </c>
    </row>
    <row r="115" spans="2:2" x14ac:dyDescent="0.75">
      <c r="B115" t="str">
        <f>IF('Medicine-ConceptMap-2'!S41=0,"//---END",'Medicine-ConceptMap-2'!S41)</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967</v>
      </c>
      <c r="I4" s="24" t="str">
        <f>CONCATENATE("Logical: ",B4)</f>
        <v>Logical: VaccinationPsEhn</v>
      </c>
    </row>
    <row r="5" spans="1:11" x14ac:dyDescent="0.75">
      <c r="A5" s="17" t="s">
        <v>19</v>
      </c>
      <c r="B5" s="33" t="s">
        <v>968</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969</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986</v>
      </c>
      <c r="C8" s="14" t="s">
        <v>970</v>
      </c>
      <c r="D8" s="14" t="s">
        <v>1028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987</v>
      </c>
      <c r="C9" s="14" t="s">
        <v>971</v>
      </c>
      <c r="D9" s="14" t="s">
        <v>982</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988</v>
      </c>
      <c r="C10" s="14" t="s">
        <v>972</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989</v>
      </c>
      <c r="C11" s="14" t="s">
        <v>973</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990</v>
      </c>
      <c r="C12" s="14" t="s">
        <v>974</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991</v>
      </c>
      <c r="C13" s="14" t="s">
        <v>975</v>
      </c>
      <c r="D13" s="104" t="s">
        <v>1002</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992</v>
      </c>
      <c r="C14" s="14" t="s">
        <v>976</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993</v>
      </c>
      <c r="C15" s="14" t="s">
        <v>977</v>
      </c>
      <c r="D15" s="14" t="s">
        <v>983</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1025</v>
      </c>
      <c r="C16" s="14" t="s">
        <v>978</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995</v>
      </c>
      <c r="C17" s="9" t="s">
        <v>979</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994</v>
      </c>
      <c r="C18" s="9" t="s">
        <v>980</v>
      </c>
      <c r="D18" s="14" t="s">
        <v>984</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996</v>
      </c>
      <c r="C19" s="9" t="s">
        <v>981</v>
      </c>
      <c r="D19" s="14" t="s">
        <v>985</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1002</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997</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1003</v>
      </c>
      <c r="D3" s="61" t="s">
        <v>208</v>
      </c>
      <c r="E3" t="str">
        <f>"http://hl7.eu/fhir/ig/xpandh/ps/StructureDefinition/"&amp;'A.2.2.1 Vaccination'!B5</f>
        <v>http://hl7.eu/fhir/ig/xpandh/ps/StructureDefinition/Vaccination</v>
      </c>
    </row>
    <row r="4" spans="1:19" x14ac:dyDescent="0.75">
      <c r="B4" s="61" t="s">
        <v>19</v>
      </c>
      <c r="C4" s="47" t="s">
        <v>1007</v>
      </c>
      <c r="D4" s="61" t="s">
        <v>209</v>
      </c>
      <c r="E4" s="164" t="s">
        <v>999</v>
      </c>
      <c r="F4" s="164"/>
      <c r="G4" s="164"/>
    </row>
    <row r="5" spans="1:19" x14ac:dyDescent="0.75">
      <c r="B5" s="61" t="s">
        <v>13</v>
      </c>
      <c r="C5" s="10" t="s">
        <v>1004</v>
      </c>
      <c r="D5" s="61"/>
      <c r="E5" s="10"/>
    </row>
    <row r="6" spans="1:19" x14ac:dyDescent="0.75">
      <c r="B6" s="61" t="s">
        <v>35</v>
      </c>
      <c r="C6" s="60" t="s">
        <v>901</v>
      </c>
      <c r="D6" s="61" t="s">
        <v>206</v>
      </c>
      <c r="E6" s="164" t="str">
        <f>E3</f>
        <v>http://hl7.eu/fhir/ig/xpandh/ps/StructureDefinition/Vaccination</v>
      </c>
      <c r="F6" s="164"/>
      <c r="G6" s="164"/>
    </row>
    <row r="7" spans="1:19" x14ac:dyDescent="0.75">
      <c r="B7" s="61" t="s">
        <v>18</v>
      </c>
      <c r="C7" s="68" t="s">
        <v>540</v>
      </c>
      <c r="D7" s="61" t="s">
        <v>207</v>
      </c>
      <c r="E7" s="164" t="s">
        <v>999</v>
      </c>
      <c r="F7" s="164"/>
      <c r="G7" s="164"/>
    </row>
    <row r="8" spans="1:19" ht="44.25" x14ac:dyDescent="0.75">
      <c r="B8" s="61" t="s">
        <v>204</v>
      </c>
      <c r="C8" s="10" t="s">
        <v>1000</v>
      </c>
      <c r="D8" s="61"/>
      <c r="E8" s="10"/>
      <c r="I8" s="14" t="s">
        <v>181</v>
      </c>
      <c r="J8" s="14" t="s">
        <v>182</v>
      </c>
      <c r="K8" s="14" t="s">
        <v>183</v>
      </c>
      <c r="L8" s="14" t="s">
        <v>184</v>
      </c>
      <c r="M8" s="9" t="s">
        <v>185</v>
      </c>
      <c r="P8" s="57" t="s">
        <v>186</v>
      </c>
      <c r="Q8" s="57">
        <v>6</v>
      </c>
    </row>
    <row r="9" spans="1:19" ht="29.5" x14ac:dyDescent="0.75">
      <c r="B9" s="61" t="s">
        <v>205</v>
      </c>
      <c r="C9" s="1" t="s">
        <v>1001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998</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1010</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1011</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1027</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1026</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1012</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1013</v>
      </c>
      <c r="E20" s="9"/>
      <c r="F20" s="63" t="s">
        <v>193</v>
      </c>
      <c r="G20" s="14" t="s">
        <v>1015</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1014</v>
      </c>
      <c r="E21" s="9"/>
      <c r="F21" s="63" t="s">
        <v>193</v>
      </c>
      <c r="G21" s="14" t="s">
        <v>1015</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1016</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1017</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1021</v>
      </c>
      <c r="E24" s="9"/>
      <c r="F24" s="63" t="s">
        <v>193</v>
      </c>
      <c r="G24" s="4" t="s">
        <v>1018</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1019</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1022</v>
      </c>
      <c r="E26" s="9"/>
      <c r="F26" s="63" t="s">
        <v>193</v>
      </c>
      <c r="G26" s="4" t="s">
        <v>1020</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1023</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1024</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1008</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3"/>
      <c r="E52" s="153"/>
      <c r="F52" s="154"/>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454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3"/>
      <c r="E23" s="153"/>
      <c r="F23" s="154"/>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905</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906</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893</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921</v>
      </c>
      <c r="D8" s="14" t="s">
        <v>932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922</v>
      </c>
      <c r="D9" s="14" t="s">
        <v>933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923</v>
      </c>
      <c r="D10" s="14" t="s">
        <v>931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924</v>
      </c>
      <c r="D11" s="14" t="s">
        <v>934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925</v>
      </c>
      <c r="D12" s="14" t="s">
        <v>935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926</v>
      </c>
      <c r="D13" s="14" t="s">
        <v>936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927</v>
      </c>
      <c r="D14" s="14" t="s">
        <v>937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928</v>
      </c>
      <c r="D15" s="14" t="s">
        <v>938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929</v>
      </c>
      <c r="D16" s="14" t="s">
        <v>939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930</v>
      </c>
      <c r="D17" s="14" t="s">
        <v>940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1009</v>
      </c>
      <c r="D25" s="153"/>
      <c r="E25" s="153"/>
      <c r="F25" s="154"/>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894</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895</v>
      </c>
      <c r="D3" s="61" t="s">
        <v>208</v>
      </c>
      <c r="E3" s="165" t="s">
        <v>907</v>
      </c>
      <c r="F3" s="164"/>
      <c r="G3" s="164"/>
    </row>
    <row r="4" spans="1:19" x14ac:dyDescent="0.75">
      <c r="B4" s="61" t="s">
        <v>19</v>
      </c>
      <c r="C4" s="47" t="s">
        <v>899</v>
      </c>
      <c r="D4" s="61" t="s">
        <v>209</v>
      </c>
      <c r="E4" s="72" t="s">
        <v>900</v>
      </c>
    </row>
    <row r="5" spans="1:19" x14ac:dyDescent="0.75">
      <c r="B5" s="61" t="s">
        <v>13</v>
      </c>
      <c r="C5" s="10" t="s">
        <v>896</v>
      </c>
      <c r="D5" s="61"/>
      <c r="E5" s="10"/>
    </row>
    <row r="6" spans="1:19" x14ac:dyDescent="0.75">
      <c r="B6" s="61" t="s">
        <v>35</v>
      </c>
      <c r="C6" s="60" t="s">
        <v>907</v>
      </c>
      <c r="D6" s="61" t="s">
        <v>206</v>
      </c>
      <c r="E6" s="165" t="s">
        <v>907</v>
      </c>
      <c r="F6" s="164"/>
      <c r="G6" s="164"/>
    </row>
    <row r="7" spans="1:19" x14ac:dyDescent="0.75">
      <c r="B7" s="61" t="s">
        <v>18</v>
      </c>
      <c r="C7" s="68" t="s">
        <v>540</v>
      </c>
      <c r="D7" s="61" t="s">
        <v>207</v>
      </c>
      <c r="E7" s="165" t="s">
        <v>900</v>
      </c>
      <c r="F7" s="164"/>
      <c r="G7" s="164"/>
    </row>
    <row r="8" spans="1:19" ht="44.25" x14ac:dyDescent="0.75">
      <c r="B8" s="61" t="s">
        <v>204</v>
      </c>
      <c r="C8" s="10" t="s">
        <v>897</v>
      </c>
      <c r="D8" s="61"/>
      <c r="E8"/>
      <c r="I8" s="14" t="s">
        <v>181</v>
      </c>
      <c r="J8" s="14" t="s">
        <v>182</v>
      </c>
      <c r="K8" s="14" t="s">
        <v>183</v>
      </c>
      <c r="L8" s="14" t="s">
        <v>184</v>
      </c>
      <c r="M8" s="9" t="s">
        <v>185</v>
      </c>
      <c r="P8" s="57" t="s">
        <v>186</v>
      </c>
      <c r="Q8" s="57">
        <v>6</v>
      </c>
    </row>
    <row r="9" spans="1:19" ht="29.5" x14ac:dyDescent="0.75">
      <c r="B9" s="61" t="s">
        <v>205</v>
      </c>
      <c r="C9" s="1" t="s">
        <v>898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919</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910</v>
      </c>
      <c r="E17" s="9"/>
      <c r="F17" s="63" t="s">
        <v>193</v>
      </c>
      <c r="G17" s="70" t="s">
        <v>912</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911</v>
      </c>
      <c r="E18" s="9"/>
      <c r="F18" s="63" t="s">
        <v>192</v>
      </c>
      <c r="G18" s="70" t="s">
        <v>913</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914</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916</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915</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917</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918</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920</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3"/>
      <c r="E26" s="153"/>
      <c r="F26" s="154"/>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5" t="s">
        <v>903</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s="165" t="s">
        <v>902</v>
      </c>
      <c r="F4" s="164"/>
      <c r="G4" s="164"/>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908</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71</vt:i4>
      </vt:variant>
      <vt:variant>
        <vt:lpstr>Intervalli denominati</vt:lpstr>
      </vt:variant>
      <vt:variant>
        <vt:i4>1</vt:i4>
      </vt:variant>
    </vt:vector>
  </HeadingPairs>
  <TitlesOfParts>
    <vt:vector size="72" baseType="lpstr">
      <vt:lpstr>Body</vt:lpstr>
      <vt:lpstr>Header</vt:lpstr>
      <vt:lpstr>PS</vt:lpstr>
      <vt:lpstr>PS-fsh</vt:lpstr>
      <vt:lpstr>PS-ConceptMap-1</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2024-02-29T15:27:17Z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