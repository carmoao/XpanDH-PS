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A893A0F2-2AE6-4C96-9D9E-3E4E17259A6D}" xr6:coauthVersionLast="47" xr6:coauthVersionMax="47" xr10:uidLastSave="{00000000-0000-0000-0000-000000000000}"/>
  <bookViews>
    <workbookView xWindow="-90" yWindow="-21710" windowWidth="38620" windowHeight="21100" firstSheet="1" activeTab="10" xr2:uid="{6572D17F-2786-461A-AF68-FCA595C6091B}"/>
  </bookViews>
  <sheets>
    <sheet name="Header" sheetId="106" r:id="rId1"/>
    <sheet name="Body" sheetId="107" r:id="rId2"/>
    <sheet name="PS" sheetId="108" r:id="rId3"/>
    <sheet name="PS-fsh" sheetId="110" r:id="rId4"/>
    <sheet name="PS-ConceptMap-1" sheetId="137" r:id="rId5"/>
    <sheet name="PS-ConceptMap-2" sheetId="140" r:id="rId6"/>
    <sheet name="PS-CM-fsh" sheetId="138" r:id="rId7"/>
    <sheet name="A.2.2.1 Vaccination" sheetId="128" r:id="rId8"/>
    <sheet name="Vaccination-fsh" sheetId="130" r:id="rId9"/>
    <sheet name="Vaccination-ConceptMap-1" sheetId="159" r:id="rId10"/>
    <sheet name="Vaccination-CM-fsh" sheetId="161" r:id="rId11"/>
    <sheet name="Subj" sheetId="12" r:id="rId12"/>
    <sheet name="Subj-fsh" sheetId="73" r:id="rId13"/>
    <sheet name="Subj-ConceptMap-1" sheetId="141" r:id="rId14"/>
    <sheet name="Subj-CM-fsh" sheetId="143" r:id="rId15"/>
    <sheet name="A1.3 Payer" sheetId="111" r:id="rId16"/>
    <sheet name="Payer-Map-1" sheetId="112" r:id="rId17"/>
    <sheet name="Payer-fsh" sheetId="113" r:id="rId18"/>
    <sheet name="Payer-ConceptMap-1" sheetId="144" r:id="rId19"/>
    <sheet name="Payer-ConceptMap-2" sheetId="173" r:id="rId20"/>
    <sheet name="Payer-ConceptMap-3" sheetId="172" r:id="rId21"/>
    <sheet name="Payer-CM-fsh" sheetId="145" r:id="rId22"/>
    <sheet name="A.2.1.1 Allergy" sheetId="115" r:id="rId23"/>
    <sheet name="Allergy-fsh" sheetId="117" r:id="rId24"/>
    <sheet name="Allergy-ConceptMap-1" sheetId="146" r:id="rId25"/>
    <sheet name="Allergy-CM-fsh" sheetId="147" r:id="rId26"/>
    <sheet name="A1.5 Author" sheetId="124" r:id="rId27"/>
    <sheet name="Author-Map-1" sheetId="125" r:id="rId28"/>
    <sheet name="Author-fsh" sheetId="126" r:id="rId29"/>
    <sheet name="Author-ConceptMap-1" sheetId="153" r:id="rId30"/>
    <sheet name="Author-ConceptMap-2" sheetId="148" r:id="rId31"/>
    <sheet name="Author-ConceptMap-2-delete" sheetId="151" r:id="rId32"/>
    <sheet name="Author-CM-fsh" sheetId="156" r:id="rId33"/>
    <sheet name="A1.6 LegalAuth" sheetId="121" r:id="rId34"/>
    <sheet name="LegalAuth-Map-1" sheetId="122" r:id="rId35"/>
    <sheet name="LegalAuth-fsh" sheetId="123" r:id="rId36"/>
    <sheet name="LegalAuth-ConceptMap-1" sheetId="154" r:id="rId37"/>
    <sheet name="LegalAuth-CM-fsh" sheetId="155" r:id="rId38"/>
    <sheet name="A1.7 Validator" sheetId="118" r:id="rId39"/>
    <sheet name="Validator-Map-1" sheetId="119" r:id="rId40"/>
    <sheet name="Validator-fsh" sheetId="120" r:id="rId41"/>
    <sheet name="Validator-ConceptMap-1" sheetId="157" r:id="rId42"/>
    <sheet name="Validator-CM-fsh" sheetId="158" r:id="rId43"/>
    <sheet name="A.4 Specimen" sheetId="131" r:id="rId44"/>
    <sheet name="Specimen-Map-1" sheetId="132" r:id="rId45"/>
    <sheet name="Specimen-fsh" sheetId="133" r:id="rId46"/>
    <sheet name="Specimen-ConceptMap-1" sheetId="162" r:id="rId47"/>
    <sheet name="Specimen-ConceptMap-2" sheetId="174" r:id="rId48"/>
    <sheet name="Specimen-CM-fsh" sheetId="165" r:id="rId49"/>
    <sheet name="A.5 Results" sheetId="134" r:id="rId50"/>
    <sheet name="Results-Map-1" sheetId="135" r:id="rId51"/>
    <sheet name="Results-fsh" sheetId="136" r:id="rId52"/>
    <sheet name="Results-ConceptMap-1" sheetId="168" r:id="rId53"/>
    <sheet name="Results-ConceptMap-2" sheetId="169" r:id="rId54"/>
    <sheet name="Results-ConceptMap-3" sheetId="170" r:id="rId55"/>
    <sheet name="Results-CM-fsh" sheetId="171" r:id="rId56"/>
  </sheets>
  <externalReferences>
    <externalReference r:id="rId57"/>
  </externalReferences>
  <definedNames>
    <definedName name="AllergyIntolerance.verificationStatus" localSheetId="24">'Allergy-ConceptMap-1'!$D$24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8" i="161" l="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7" i="108"/>
  <c r="I40" i="128"/>
  <c r="I41" i="128"/>
  <c r="B38" i="128"/>
  <c r="B39" i="128"/>
  <c r="B40" i="128"/>
  <c r="B41" i="128"/>
  <c r="B228" i="138"/>
  <c r="B229" i="138"/>
  <c r="B230" i="138"/>
  <c r="B231" i="138"/>
  <c r="B232" i="138"/>
  <c r="B233" i="138"/>
  <c r="B234" i="138"/>
  <c r="B235" i="138"/>
  <c r="B236" i="138"/>
  <c r="Q213" i="137"/>
  <c r="S213" i="137" s="1" a="1"/>
  <c r="S213" i="137" s="1"/>
  <c r="B218" i="138" s="1"/>
  <c r="R213" i="137"/>
  <c r="Q214" i="137"/>
  <c r="R214" i="137"/>
  <c r="S214" i="137" a="1"/>
  <c r="S214" i="137" s="1"/>
  <c r="B219" i="138" s="1"/>
  <c r="Q215" i="137"/>
  <c r="S215" i="137" s="1" a="1"/>
  <c r="S215" i="137" s="1"/>
  <c r="B220" i="138" s="1"/>
  <c r="R215" i="137"/>
  <c r="Q216" i="137"/>
  <c r="R216" i="137"/>
  <c r="S216" i="137" a="1"/>
  <c r="S216" i="137" s="1"/>
  <c r="B221" i="138" s="1"/>
  <c r="Q217" i="137"/>
  <c r="S217" i="137" s="1" a="1"/>
  <c r="S217" i="137" s="1"/>
  <c r="B222" i="138" s="1"/>
  <c r="R217" i="137"/>
  <c r="Q218" i="137"/>
  <c r="R218" i="137"/>
  <c r="S218" i="137" a="1"/>
  <c r="S218" i="137"/>
  <c r="B223" i="138" s="1"/>
  <c r="Q219" i="137"/>
  <c r="S219" i="137" s="1" a="1"/>
  <c r="S219" i="137" s="1"/>
  <c r="B224" i="138" s="1"/>
  <c r="R219" i="137"/>
  <c r="Q220" i="137"/>
  <c r="R220" i="137"/>
  <c r="S220" i="137" a="1"/>
  <c r="S220" i="137" s="1"/>
  <c r="B225" i="138" s="1"/>
  <c r="Q221" i="137"/>
  <c r="S221" i="137" s="1" a="1"/>
  <c r="S221" i="137" s="1"/>
  <c r="B226" i="138" s="1"/>
  <c r="R221" i="137"/>
  <c r="Q222" i="137"/>
  <c r="R222" i="137"/>
  <c r="S222" i="137" a="1"/>
  <c r="S222" i="137"/>
  <c r="B227" i="138" s="1"/>
  <c r="Q36" i="137"/>
  <c r="S36" i="137" s="1" a="1"/>
  <c r="S36" i="137" s="1"/>
  <c r="B41" i="138" s="1"/>
  <c r="R36" i="137"/>
  <c r="Q37" i="137"/>
  <c r="R37" i="137"/>
  <c r="Q38" i="137"/>
  <c r="S38" i="137" s="1" a="1"/>
  <c r="S38" i="137" s="1"/>
  <c r="B43" i="138" s="1"/>
  <c r="R38" i="137"/>
  <c r="Q39" i="137"/>
  <c r="S39" i="137" s="1" a="1"/>
  <c r="S39" i="137" s="1"/>
  <c r="B44" i="138" s="1"/>
  <c r="R39" i="137"/>
  <c r="Q40" i="137"/>
  <c r="S40" i="137" s="1" a="1"/>
  <c r="S40" i="137" s="1"/>
  <c r="B45" i="138" s="1"/>
  <c r="R40" i="137"/>
  <c r="Q41" i="137"/>
  <c r="R41" i="137"/>
  <c r="Q42" i="137"/>
  <c r="S42" i="137" s="1" a="1"/>
  <c r="S42" i="137" s="1"/>
  <c r="B47" i="138" s="1"/>
  <c r="R42" i="137"/>
  <c r="Q43" i="137"/>
  <c r="R43" i="137"/>
  <c r="Q44" i="137"/>
  <c r="S44" i="137" s="1" a="1"/>
  <c r="S44" i="137" s="1"/>
  <c r="B49" i="138" s="1"/>
  <c r="R44" i="137"/>
  <c r="Q45" i="137"/>
  <c r="R45" i="137"/>
  <c r="Q46" i="137"/>
  <c r="S46" i="137" s="1" a="1"/>
  <c r="S46" i="137" s="1"/>
  <c r="B51" i="138" s="1"/>
  <c r="R46" i="137"/>
  <c r="Q47" i="137"/>
  <c r="R47" i="137"/>
  <c r="Q48" i="137"/>
  <c r="S48" i="137" s="1" a="1"/>
  <c r="S48" i="137" s="1"/>
  <c r="B53" i="138" s="1"/>
  <c r="R48" i="137"/>
  <c r="Q49" i="137"/>
  <c r="S49" i="137" s="1" a="1"/>
  <c r="S49" i="137" s="1"/>
  <c r="B54" i="138" s="1"/>
  <c r="R49" i="137"/>
  <c r="Q50" i="137"/>
  <c r="S50" i="137" s="1" a="1"/>
  <c r="S50" i="137" s="1"/>
  <c r="B55" i="138" s="1"/>
  <c r="R50" i="137"/>
  <c r="Q51" i="137"/>
  <c r="R51" i="137"/>
  <c r="Q52" i="137"/>
  <c r="S52" i="137" s="1" a="1"/>
  <c r="S52" i="137" s="1"/>
  <c r="B57" i="138" s="1"/>
  <c r="R52" i="137"/>
  <c r="Q53" i="137"/>
  <c r="R53" i="137"/>
  <c r="Q54" i="137"/>
  <c r="S54" i="137" s="1" a="1"/>
  <c r="S54" i="137" s="1"/>
  <c r="B59" i="138" s="1"/>
  <c r="R54" i="137"/>
  <c r="Q55" i="137"/>
  <c r="S55" i="137" s="1" a="1"/>
  <c r="S55" i="137" s="1"/>
  <c r="B60" i="138" s="1"/>
  <c r="R55" i="137"/>
  <c r="Q56" i="137"/>
  <c r="S56" i="137" s="1" a="1"/>
  <c r="S56" i="137" s="1"/>
  <c r="B61" i="138" s="1"/>
  <c r="R56" i="137"/>
  <c r="Q57" i="137"/>
  <c r="R57" i="137"/>
  <c r="Q58" i="137"/>
  <c r="S58" i="137" s="1" a="1"/>
  <c r="S58" i="137" s="1"/>
  <c r="B63" i="138" s="1"/>
  <c r="R58" i="137"/>
  <c r="Q59" i="137"/>
  <c r="R59" i="137"/>
  <c r="Q60" i="137"/>
  <c r="S60" i="137" s="1" a="1"/>
  <c r="S60" i="137" s="1"/>
  <c r="B65" i="138" s="1"/>
  <c r="R60" i="137"/>
  <c r="Q61" i="137"/>
  <c r="R61" i="137"/>
  <c r="Q62" i="137"/>
  <c r="R62" i="137"/>
  <c r="Q63" i="137"/>
  <c r="S63" i="137" s="1" a="1"/>
  <c r="S63" i="137" s="1"/>
  <c r="B68" i="138" s="1"/>
  <c r="R63" i="137"/>
  <c r="Q64" i="137"/>
  <c r="R64" i="137"/>
  <c r="Q65" i="137"/>
  <c r="S65" i="137" s="1" a="1"/>
  <c r="S65" i="137" s="1"/>
  <c r="B70" i="138" s="1"/>
  <c r="R65" i="137"/>
  <c r="Q66" i="137"/>
  <c r="S66" i="137" s="1" a="1"/>
  <c r="S66" i="137" s="1"/>
  <c r="B71" i="138" s="1"/>
  <c r="R66" i="137"/>
  <c r="Q67" i="137"/>
  <c r="R67" i="137"/>
  <c r="Q68" i="137"/>
  <c r="S68" i="137" s="1" a="1"/>
  <c r="S68" i="137" s="1"/>
  <c r="B73" i="138" s="1"/>
  <c r="R68" i="137"/>
  <c r="Q69" i="137"/>
  <c r="R69" i="137"/>
  <c r="Q70" i="137"/>
  <c r="R70" i="137"/>
  <c r="Q71" i="137"/>
  <c r="S71" i="137" s="1" a="1"/>
  <c r="S71" i="137" s="1"/>
  <c r="B76" i="138" s="1"/>
  <c r="R71" i="137"/>
  <c r="Q72" i="137"/>
  <c r="R72" i="137"/>
  <c r="Q73" i="137"/>
  <c r="R73" i="137"/>
  <c r="Q74" i="137"/>
  <c r="S74" i="137" s="1" a="1"/>
  <c r="S74" i="137" s="1"/>
  <c r="B79" i="138" s="1"/>
  <c r="R74" i="137"/>
  <c r="Q75" i="137"/>
  <c r="R75" i="137"/>
  <c r="Q76" i="137"/>
  <c r="R76" i="137"/>
  <c r="Q77" i="137"/>
  <c r="R77" i="137"/>
  <c r="Q78" i="137"/>
  <c r="R78" i="137"/>
  <c r="Q79" i="137"/>
  <c r="S79" i="137" s="1" a="1"/>
  <c r="S79" i="137" s="1"/>
  <c r="B84" i="138" s="1"/>
  <c r="R79" i="137"/>
  <c r="Q80" i="137"/>
  <c r="R80" i="137"/>
  <c r="Q81" i="137"/>
  <c r="S81" i="137" s="1" a="1"/>
  <c r="S81" i="137" s="1"/>
  <c r="B86" i="138" s="1"/>
  <c r="R81" i="137"/>
  <c r="Q82" i="137"/>
  <c r="S82" i="137" s="1" a="1"/>
  <c r="S82" i="137" s="1"/>
  <c r="B87" i="138" s="1"/>
  <c r="R82" i="137"/>
  <c r="Q83" i="137"/>
  <c r="R83" i="137"/>
  <c r="Q84" i="137"/>
  <c r="S84" i="137" s="1" a="1"/>
  <c r="S84" i="137" s="1"/>
  <c r="B89" i="138" s="1"/>
  <c r="R84" i="137"/>
  <c r="Q85" i="137"/>
  <c r="R85" i="137"/>
  <c r="Q86" i="137"/>
  <c r="R86" i="137"/>
  <c r="Q87" i="137"/>
  <c r="S87" i="137" s="1" a="1"/>
  <c r="S87" i="137" s="1"/>
  <c r="B92" i="138" s="1"/>
  <c r="R87" i="137"/>
  <c r="Q88" i="137"/>
  <c r="R88" i="137"/>
  <c r="Q89" i="137"/>
  <c r="R89" i="137"/>
  <c r="Q90" i="137"/>
  <c r="S90" i="137" s="1" a="1"/>
  <c r="S90" i="137" s="1"/>
  <c r="B95" i="138" s="1"/>
  <c r="R90" i="137"/>
  <c r="Q91" i="137"/>
  <c r="R91" i="137"/>
  <c r="Q92" i="137"/>
  <c r="R92" i="137"/>
  <c r="Q93" i="137"/>
  <c r="R93" i="137"/>
  <c r="Q94" i="137"/>
  <c r="R94" i="137"/>
  <c r="Q95" i="137"/>
  <c r="S95" i="137" s="1" a="1"/>
  <c r="S95" i="137" s="1"/>
  <c r="B100" i="138" s="1"/>
  <c r="R95" i="137"/>
  <c r="Q96" i="137"/>
  <c r="R96" i="137"/>
  <c r="Q97" i="137"/>
  <c r="S97" i="137" s="1" a="1"/>
  <c r="S97" i="137" s="1"/>
  <c r="B102" i="138" s="1"/>
  <c r="R97" i="137"/>
  <c r="Q98" i="137"/>
  <c r="S98" i="137" s="1" a="1"/>
  <c r="S98" i="137" s="1"/>
  <c r="B103" i="138" s="1"/>
  <c r="R98" i="137"/>
  <c r="Q99" i="137"/>
  <c r="R99" i="137"/>
  <c r="Q100" i="137"/>
  <c r="S100" i="137" s="1" a="1"/>
  <c r="S100" i="137" s="1"/>
  <c r="B105" i="138" s="1"/>
  <c r="R100" i="137"/>
  <c r="Q101" i="137"/>
  <c r="R101" i="137"/>
  <c r="Q102" i="137"/>
  <c r="R102" i="137"/>
  <c r="Q103" i="137"/>
  <c r="S103" i="137" s="1" a="1"/>
  <c r="S103" i="137" s="1"/>
  <c r="B108" i="138" s="1"/>
  <c r="R103" i="137"/>
  <c r="Q104" i="137"/>
  <c r="R104" i="137"/>
  <c r="Q105" i="137"/>
  <c r="R105" i="137"/>
  <c r="Q106" i="137"/>
  <c r="S106" i="137" s="1" a="1"/>
  <c r="S106" i="137" s="1"/>
  <c r="B111" i="138" s="1"/>
  <c r="R106" i="137"/>
  <c r="Q107" i="137"/>
  <c r="R107" i="137"/>
  <c r="Q108" i="137"/>
  <c r="R108" i="137"/>
  <c r="Q109" i="137"/>
  <c r="R109" i="137"/>
  <c r="Q110" i="137"/>
  <c r="R110" i="137"/>
  <c r="Q111" i="137"/>
  <c r="S111" i="137" s="1" a="1"/>
  <c r="S111" i="137" s="1"/>
  <c r="B116" i="138" s="1"/>
  <c r="R111" i="137"/>
  <c r="Q112" i="137"/>
  <c r="R112" i="137"/>
  <c r="Q113" i="137"/>
  <c r="S113" i="137" s="1" a="1"/>
  <c r="S113" i="137" s="1"/>
  <c r="B118" i="138" s="1"/>
  <c r="R113" i="137"/>
  <c r="Q114" i="137"/>
  <c r="S114" i="137" s="1" a="1"/>
  <c r="S114" i="137" s="1"/>
  <c r="B119" i="138" s="1"/>
  <c r="R114" i="137"/>
  <c r="Q115" i="137"/>
  <c r="R115" i="137"/>
  <c r="Q116" i="137"/>
  <c r="S116" i="137" s="1" a="1"/>
  <c r="S116" i="137" s="1"/>
  <c r="B121" i="138" s="1"/>
  <c r="R116" i="137"/>
  <c r="Q117" i="137"/>
  <c r="R117" i="137"/>
  <c r="Q118" i="137"/>
  <c r="R118" i="137"/>
  <c r="Q119" i="137"/>
  <c r="S119" i="137" s="1" a="1"/>
  <c r="S119" i="137" s="1"/>
  <c r="B124" i="138" s="1"/>
  <c r="R119" i="137"/>
  <c r="Q120" i="137"/>
  <c r="S120" i="137" s="1" a="1"/>
  <c r="S120" i="137" s="1"/>
  <c r="B125" i="138" s="1"/>
  <c r="R120" i="137"/>
  <c r="Q121" i="137"/>
  <c r="R121" i="137"/>
  <c r="S121" i="137" a="1"/>
  <c r="S121" i="137" s="1"/>
  <c r="B126" i="138" s="1"/>
  <c r="Q122" i="137"/>
  <c r="R122" i="137"/>
  <c r="S122" i="137" a="1"/>
  <c r="S122" i="137" s="1"/>
  <c r="B127" i="138" s="1"/>
  <c r="Q123" i="137"/>
  <c r="R123" i="137"/>
  <c r="S123" i="137" a="1"/>
  <c r="S123" i="137" s="1"/>
  <c r="B128" i="138" s="1"/>
  <c r="Q124" i="137"/>
  <c r="S124" i="137" s="1" a="1"/>
  <c r="S124" i="137" s="1"/>
  <c r="B129" i="138" s="1"/>
  <c r="R124" i="137"/>
  <c r="Q125" i="137"/>
  <c r="S125" i="137" s="1" a="1"/>
  <c r="S125" i="137" s="1"/>
  <c r="B130" i="138" s="1"/>
  <c r="R125" i="137"/>
  <c r="Q126" i="137"/>
  <c r="S126" i="137" s="1" a="1"/>
  <c r="S126" i="137" s="1"/>
  <c r="B131" i="138" s="1"/>
  <c r="R126" i="137"/>
  <c r="Q127" i="137"/>
  <c r="R127" i="137"/>
  <c r="S127" i="137" s="1" a="1"/>
  <c r="S127" i="137" s="1"/>
  <c r="B132" i="138" s="1"/>
  <c r="Q128" i="137"/>
  <c r="S128" i="137" s="1" a="1"/>
  <c r="S128" i="137" s="1"/>
  <c r="B133" i="138" s="1"/>
  <c r="R128" i="137"/>
  <c r="Q129" i="137"/>
  <c r="R129" i="137"/>
  <c r="S129" i="137" a="1"/>
  <c r="S129" i="137" s="1"/>
  <c r="B134" i="138" s="1"/>
  <c r="Q130" i="137"/>
  <c r="R130" i="137"/>
  <c r="S130" i="137" a="1"/>
  <c r="S130" i="137" s="1"/>
  <c r="B135" i="138" s="1"/>
  <c r="Q131" i="137"/>
  <c r="S131" i="137" s="1" a="1"/>
  <c r="S131" i="137" s="1"/>
  <c r="B136" i="138" s="1"/>
  <c r="R131" i="137"/>
  <c r="Q132" i="137"/>
  <c r="R132" i="137"/>
  <c r="S132" i="137" a="1"/>
  <c r="S132" i="137" s="1"/>
  <c r="B137" i="138" s="1"/>
  <c r="Q133" i="137"/>
  <c r="S133" i="137" s="1" a="1"/>
  <c r="S133" i="137" s="1"/>
  <c r="B138" i="138" s="1"/>
  <c r="R133" i="137"/>
  <c r="Q134" i="137"/>
  <c r="S134" i="137" s="1" a="1"/>
  <c r="S134" i="137" s="1"/>
  <c r="B139" i="138" s="1"/>
  <c r="R134" i="137"/>
  <c r="Q135" i="137"/>
  <c r="S135" i="137" s="1" a="1"/>
  <c r="S135" i="137" s="1"/>
  <c r="B140" i="138" s="1"/>
  <c r="R135" i="137"/>
  <c r="Q136" i="137"/>
  <c r="R136" i="137"/>
  <c r="Q137" i="137"/>
  <c r="R137" i="137"/>
  <c r="Q138" i="137"/>
  <c r="R138" i="137"/>
  <c r="S138" i="137" a="1"/>
  <c r="S138" i="137" s="1"/>
  <c r="B143" i="138" s="1"/>
  <c r="Q139" i="137"/>
  <c r="R139" i="137"/>
  <c r="S139" i="137" a="1"/>
  <c r="S139" i="137" s="1"/>
  <c r="B144" i="138" s="1"/>
  <c r="Q140" i="137"/>
  <c r="S140" i="137" s="1" a="1"/>
  <c r="S140" i="137" s="1"/>
  <c r="B145" i="138" s="1"/>
  <c r="R140" i="137"/>
  <c r="Q141" i="137"/>
  <c r="S141" i="137" s="1" a="1"/>
  <c r="S141" i="137" s="1"/>
  <c r="B146" i="138" s="1"/>
  <c r="R141" i="137"/>
  <c r="Q142" i="137"/>
  <c r="S142" i="137" s="1" a="1"/>
  <c r="S142" i="137" s="1"/>
  <c r="B147" i="138" s="1"/>
  <c r="R142" i="137"/>
  <c r="Q143" i="137"/>
  <c r="R143" i="137"/>
  <c r="Q144" i="137"/>
  <c r="S144" i="137" s="1" a="1"/>
  <c r="S144" i="137" s="1"/>
  <c r="B149" i="138" s="1"/>
  <c r="R144" i="137"/>
  <c r="Q145" i="137"/>
  <c r="R145" i="137"/>
  <c r="S145" i="137" a="1"/>
  <c r="S145" i="137" s="1"/>
  <c r="B150" i="138" s="1"/>
  <c r="Q146" i="137"/>
  <c r="R146" i="137"/>
  <c r="S146" i="137" a="1"/>
  <c r="S146" i="137" s="1"/>
  <c r="B151" i="138" s="1"/>
  <c r="Q147" i="137"/>
  <c r="S147" i="137" s="1" a="1"/>
  <c r="S147" i="137" s="1"/>
  <c r="B152" i="138" s="1"/>
  <c r="R147" i="137"/>
  <c r="Q148" i="137"/>
  <c r="R148" i="137"/>
  <c r="S148" i="137" a="1"/>
  <c r="S148" i="137" s="1"/>
  <c r="B153" i="138" s="1"/>
  <c r="Q149" i="137"/>
  <c r="S149" i="137" s="1" a="1"/>
  <c r="S149" i="137" s="1"/>
  <c r="B154" i="138" s="1"/>
  <c r="R149" i="137"/>
  <c r="Q150" i="137"/>
  <c r="S150" i="137" s="1" a="1"/>
  <c r="S150" i="137" s="1"/>
  <c r="B155" i="138" s="1"/>
  <c r="R150" i="137"/>
  <c r="Q151" i="137"/>
  <c r="S151" i="137" s="1" a="1"/>
  <c r="S151" i="137" s="1"/>
  <c r="B156" i="138" s="1"/>
  <c r="R151" i="137"/>
  <c r="Q152" i="137"/>
  <c r="R152" i="137"/>
  <c r="S152" i="137" s="1" a="1"/>
  <c r="S152" i="137" s="1"/>
  <c r="B157" i="138" s="1"/>
  <c r="Q153" i="137"/>
  <c r="R153" i="137"/>
  <c r="S153" i="137" a="1"/>
  <c r="S153" i="137" s="1"/>
  <c r="B158" i="138" s="1"/>
  <c r="Q154" i="137"/>
  <c r="R154" i="137"/>
  <c r="S154" i="137" a="1"/>
  <c r="S154" i="137" s="1"/>
  <c r="B159" i="138" s="1"/>
  <c r="Q155" i="137"/>
  <c r="R155" i="137"/>
  <c r="S155" i="137" a="1"/>
  <c r="S155" i="137" s="1"/>
  <c r="B160" i="138" s="1"/>
  <c r="Q156" i="137"/>
  <c r="S156" i="137" s="1" a="1"/>
  <c r="S156" i="137" s="1"/>
  <c r="B161" i="138" s="1"/>
  <c r="R156" i="137"/>
  <c r="Q157" i="137"/>
  <c r="S157" i="137" s="1" a="1"/>
  <c r="S157" i="137" s="1"/>
  <c r="B162" i="138" s="1"/>
  <c r="R157" i="137"/>
  <c r="Q158" i="137"/>
  <c r="S158" i="137" s="1" a="1"/>
  <c r="S158" i="137" s="1"/>
  <c r="B163" i="138" s="1"/>
  <c r="R158" i="137"/>
  <c r="Q159" i="137"/>
  <c r="R159" i="137"/>
  <c r="S159" i="137" s="1" a="1"/>
  <c r="S159" i="137" s="1"/>
  <c r="B164" i="138" s="1"/>
  <c r="Q160" i="137"/>
  <c r="S160" i="137" s="1" a="1"/>
  <c r="S160" i="137" s="1"/>
  <c r="B165" i="138" s="1"/>
  <c r="R160" i="137"/>
  <c r="Q161" i="137"/>
  <c r="R161" i="137"/>
  <c r="S161" i="137" a="1"/>
  <c r="S161" i="137" s="1"/>
  <c r="B166" i="138" s="1"/>
  <c r="Q162" i="137"/>
  <c r="R162" i="137"/>
  <c r="S162" i="137" a="1"/>
  <c r="S162" i="137" s="1"/>
  <c r="B167" i="138" s="1"/>
  <c r="Q163" i="137"/>
  <c r="S163" i="137" s="1" a="1"/>
  <c r="S163" i="137" s="1"/>
  <c r="B168" i="138" s="1"/>
  <c r="R163" i="137"/>
  <c r="Q164" i="137"/>
  <c r="R164" i="137"/>
  <c r="S164" i="137" a="1"/>
  <c r="S164" i="137" s="1"/>
  <c r="B169" i="138" s="1"/>
  <c r="Q165" i="137"/>
  <c r="S165" i="137" s="1" a="1"/>
  <c r="S165" i="137" s="1"/>
  <c r="B170" i="138" s="1"/>
  <c r="R165" i="137"/>
  <c r="Q166" i="137"/>
  <c r="S166" i="137" s="1" a="1"/>
  <c r="S166" i="137" s="1"/>
  <c r="B171" i="138" s="1"/>
  <c r="R166" i="137"/>
  <c r="Q167" i="137"/>
  <c r="S167" i="137" s="1" a="1"/>
  <c r="S167" i="137" s="1"/>
  <c r="B172" i="138" s="1"/>
  <c r="R167" i="137"/>
  <c r="Q168" i="137"/>
  <c r="R168" i="137"/>
  <c r="S168" i="137" s="1" a="1"/>
  <c r="S168" i="137" s="1"/>
  <c r="B173" i="138" s="1"/>
  <c r="Q169" i="137"/>
  <c r="R169" i="137"/>
  <c r="S169" i="137" a="1"/>
  <c r="S169" i="137" s="1"/>
  <c r="B174" i="138" s="1"/>
  <c r="Q170" i="137"/>
  <c r="R170" i="137"/>
  <c r="S170" i="137" a="1"/>
  <c r="S170" i="137" s="1"/>
  <c r="B175" i="138" s="1"/>
  <c r="Q171" i="137"/>
  <c r="R171" i="137"/>
  <c r="S171" i="137" a="1"/>
  <c r="S171" i="137"/>
  <c r="B176" i="138" s="1"/>
  <c r="Q172" i="137"/>
  <c r="S172" i="137" s="1" a="1"/>
  <c r="S172" i="137" s="1"/>
  <c r="B177" i="138" s="1"/>
  <c r="R172" i="137"/>
  <c r="Q173" i="137"/>
  <c r="S173" i="137" s="1" a="1"/>
  <c r="S173" i="137" s="1"/>
  <c r="B178" i="138" s="1"/>
  <c r="R173" i="137"/>
  <c r="Q174" i="137"/>
  <c r="S174" i="137" s="1" a="1"/>
  <c r="S174" i="137" s="1"/>
  <c r="B179" i="138" s="1"/>
  <c r="R174" i="137"/>
  <c r="Q175" i="137"/>
  <c r="R175" i="137"/>
  <c r="S175" i="137" s="1" a="1"/>
  <c r="S175" i="137" s="1"/>
  <c r="B180" i="138" s="1"/>
  <c r="Q176" i="137"/>
  <c r="S176" i="137" s="1" a="1"/>
  <c r="S176" i="137" s="1"/>
  <c r="B181" i="138" s="1"/>
  <c r="R176" i="137"/>
  <c r="Q177" i="137"/>
  <c r="R177" i="137"/>
  <c r="S177" i="137" a="1"/>
  <c r="S177" i="137" s="1"/>
  <c r="B182" i="138" s="1"/>
  <c r="Q178" i="137"/>
  <c r="R178" i="137"/>
  <c r="S178" i="137" a="1"/>
  <c r="S178" i="137" s="1"/>
  <c r="B183" i="138" s="1"/>
  <c r="Q179" i="137"/>
  <c r="S179" i="137" s="1" a="1"/>
  <c r="S179" i="137" s="1"/>
  <c r="B184" i="138" s="1"/>
  <c r="R179" i="137"/>
  <c r="Q180" i="137"/>
  <c r="R180" i="137"/>
  <c r="S180" i="137" a="1"/>
  <c r="S180" i="137" s="1"/>
  <c r="B185" i="138" s="1"/>
  <c r="Q181" i="137"/>
  <c r="S181" i="137" s="1" a="1"/>
  <c r="S181" i="137" s="1"/>
  <c r="B186" i="138" s="1"/>
  <c r="R181" i="137"/>
  <c r="Q182" i="137"/>
  <c r="S182" i="137" s="1" a="1"/>
  <c r="S182" i="137" s="1"/>
  <c r="B187" i="138" s="1"/>
  <c r="R182" i="137"/>
  <c r="Q183" i="137"/>
  <c r="S183" i="137" s="1" a="1"/>
  <c r="S183" i="137" s="1"/>
  <c r="B188" i="138" s="1"/>
  <c r="R183" i="137"/>
  <c r="Q184" i="137"/>
  <c r="R184" i="137"/>
  <c r="S184" i="137" s="1" a="1"/>
  <c r="S184" i="137" s="1"/>
  <c r="B189" i="138" s="1"/>
  <c r="Q185" i="137"/>
  <c r="R185" i="137"/>
  <c r="S185" i="137" a="1"/>
  <c r="S185" i="137" s="1"/>
  <c r="B190" i="138" s="1"/>
  <c r="Q186" i="137"/>
  <c r="R186" i="137"/>
  <c r="S186" i="137" a="1"/>
  <c r="S186" i="137" s="1"/>
  <c r="B191" i="138" s="1"/>
  <c r="Q187" i="137"/>
  <c r="R187" i="137"/>
  <c r="S187" i="137" a="1"/>
  <c r="S187" i="137" s="1"/>
  <c r="B192" i="138" s="1"/>
  <c r="Q188" i="137"/>
  <c r="S188" i="137" s="1" a="1"/>
  <c r="S188" i="137" s="1"/>
  <c r="B193" i="138" s="1"/>
  <c r="R188" i="137"/>
  <c r="Q189" i="137"/>
  <c r="S189" i="137" s="1" a="1"/>
  <c r="S189" i="137" s="1"/>
  <c r="B194" i="138" s="1"/>
  <c r="R189" i="137"/>
  <c r="Q190" i="137"/>
  <c r="S190" i="137" s="1" a="1"/>
  <c r="S190" i="137" s="1"/>
  <c r="B195" i="138" s="1"/>
  <c r="R190" i="137"/>
  <c r="Q191" i="137"/>
  <c r="R191" i="137"/>
  <c r="S191" i="137" s="1" a="1"/>
  <c r="S191" i="137" s="1"/>
  <c r="B196" i="138" s="1"/>
  <c r="Q192" i="137"/>
  <c r="S192" i="137" s="1" a="1"/>
  <c r="S192" i="137" s="1"/>
  <c r="B197" i="138" s="1"/>
  <c r="R192" i="137"/>
  <c r="Q193" i="137"/>
  <c r="R193" i="137"/>
  <c r="S193" i="137" a="1"/>
  <c r="S193" i="137" s="1"/>
  <c r="B198" i="138" s="1"/>
  <c r="Q194" i="137"/>
  <c r="R194" i="137"/>
  <c r="S194" i="137" a="1"/>
  <c r="S194" i="137" s="1"/>
  <c r="B199" i="138" s="1"/>
  <c r="Q195" i="137"/>
  <c r="S195" i="137" s="1" a="1"/>
  <c r="S195" i="137" s="1"/>
  <c r="B200" i="138" s="1"/>
  <c r="R195" i="137"/>
  <c r="Q196" i="137"/>
  <c r="R196" i="137"/>
  <c r="S196" i="137" a="1"/>
  <c r="S196" i="137" s="1"/>
  <c r="B201" i="138" s="1"/>
  <c r="Q197" i="137"/>
  <c r="S197" i="137" s="1" a="1"/>
  <c r="S197" i="137" s="1"/>
  <c r="B202" i="138" s="1"/>
  <c r="R197" i="137"/>
  <c r="Q198" i="137"/>
  <c r="S198" i="137" s="1" a="1"/>
  <c r="S198" i="137" s="1"/>
  <c r="B203" i="138" s="1"/>
  <c r="R198" i="137"/>
  <c r="Q199" i="137"/>
  <c r="S199" i="137" s="1" a="1"/>
  <c r="S199" i="137" s="1"/>
  <c r="B204" i="138" s="1"/>
  <c r="R199" i="137"/>
  <c r="Q200" i="137"/>
  <c r="R200" i="137"/>
  <c r="S200" i="137" s="1" a="1"/>
  <c r="S200" i="137" s="1"/>
  <c r="B205" i="138" s="1"/>
  <c r="Q201" i="137"/>
  <c r="R201" i="137"/>
  <c r="S201" i="137" a="1"/>
  <c r="S201" i="137" s="1"/>
  <c r="B206" i="138" s="1"/>
  <c r="Q202" i="137"/>
  <c r="R202" i="137"/>
  <c r="S202" i="137" a="1"/>
  <c r="S202" i="137" s="1"/>
  <c r="B207" i="138" s="1"/>
  <c r="Q203" i="137"/>
  <c r="R203" i="137"/>
  <c r="S203" i="137" a="1"/>
  <c r="S203" i="137"/>
  <c r="B208" i="138" s="1"/>
  <c r="Q204" i="137"/>
  <c r="S204" i="137" s="1" a="1"/>
  <c r="S204" i="137" s="1"/>
  <c r="B209" i="138" s="1"/>
  <c r="R204" i="137"/>
  <c r="Q205" i="137"/>
  <c r="S205" i="137" s="1" a="1"/>
  <c r="S205" i="137" s="1"/>
  <c r="B210" i="138" s="1"/>
  <c r="R205" i="137"/>
  <c r="Q206" i="137"/>
  <c r="S206" i="137" s="1" a="1"/>
  <c r="S206" i="137" s="1"/>
  <c r="B211" i="138" s="1"/>
  <c r="R206" i="137"/>
  <c r="Q207" i="137"/>
  <c r="S207" i="137" s="1" a="1"/>
  <c r="S207" i="137" s="1"/>
  <c r="B212" i="138" s="1"/>
  <c r="R207" i="137"/>
  <c r="Q208" i="137"/>
  <c r="S208" i="137" s="1" a="1"/>
  <c r="S208" i="137" s="1"/>
  <c r="B213" i="138" s="1"/>
  <c r="R208" i="137"/>
  <c r="Q209" i="137"/>
  <c r="S209" i="137" s="1" a="1"/>
  <c r="S209" i="137" s="1"/>
  <c r="B214" i="138" s="1"/>
  <c r="R209" i="137"/>
  <c r="Q210" i="137"/>
  <c r="S210" i="137" s="1" a="1"/>
  <c r="S210" i="137" s="1"/>
  <c r="B215" i="138" s="1"/>
  <c r="R210" i="137"/>
  <c r="Q211" i="137"/>
  <c r="S211" i="137" s="1" a="1"/>
  <c r="S211" i="137" s="1"/>
  <c r="B216" i="138" s="1"/>
  <c r="R211" i="137"/>
  <c r="Q212" i="137"/>
  <c r="S212" i="137" s="1" a="1"/>
  <c r="S212" i="137" s="1"/>
  <c r="B217" i="138" s="1"/>
  <c r="R212" i="137"/>
  <c r="Q32" i="137"/>
  <c r="S32" i="137" s="1" a="1"/>
  <c r="S32" i="137" s="1"/>
  <c r="B37" i="138" s="1"/>
  <c r="R32" i="137"/>
  <c r="Q33" i="137"/>
  <c r="R33" i="137"/>
  <c r="S33" i="137" a="1"/>
  <c r="S33" i="137"/>
  <c r="B38" i="138" s="1"/>
  <c r="Q34" i="137"/>
  <c r="S34" i="137" s="1" a="1"/>
  <c r="S34" i="137" s="1"/>
  <c r="B39" i="138" s="1"/>
  <c r="R34" i="137"/>
  <c r="Q35" i="137"/>
  <c r="R35" i="137"/>
  <c r="S35" i="137" a="1"/>
  <c r="S35" i="137"/>
  <c r="B40" i="138" s="1"/>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Q21" i="137"/>
  <c r="S21" i="137" s="1" a="1"/>
  <c r="S21" i="137" s="1"/>
  <c r="B26" i="138" s="1"/>
  <c r="R21" i="137"/>
  <c r="Q22" i="137"/>
  <c r="S22" i="137" s="1" a="1"/>
  <c r="S22" i="137" s="1"/>
  <c r="B27" i="138" s="1"/>
  <c r="R22" i="137"/>
  <c r="Q23" i="137"/>
  <c r="S23" i="137" s="1" a="1"/>
  <c r="S23" i="137" s="1"/>
  <c r="B28" i="138" s="1"/>
  <c r="R23" i="137"/>
  <c r="Q24" i="137"/>
  <c r="S24" i="137" s="1" a="1"/>
  <c r="S24" i="137" s="1"/>
  <c r="B29" i="138" s="1"/>
  <c r="R24" i="137"/>
  <c r="Q25" i="137"/>
  <c r="S25" i="137" s="1" a="1"/>
  <c r="S25" i="137" s="1"/>
  <c r="B30" i="138" s="1"/>
  <c r="R25" i="137"/>
  <c r="Q26" i="137"/>
  <c r="S26" i="137" s="1" a="1"/>
  <c r="S26" i="137" s="1"/>
  <c r="B31" i="138" s="1"/>
  <c r="R26" i="137"/>
  <c r="Q27" i="137"/>
  <c r="S27" i="137" s="1" a="1"/>
  <c r="S27" i="137" s="1"/>
  <c r="B32" i="138" s="1"/>
  <c r="R27" i="137"/>
  <c r="Q28" i="137"/>
  <c r="S28" i="137" s="1" a="1"/>
  <c r="S28" i="137" s="1"/>
  <c r="B33" i="138" s="1"/>
  <c r="R28" i="137"/>
  <c r="Q29" i="137"/>
  <c r="S29" i="137" s="1" a="1"/>
  <c r="S29" i="137" s="1"/>
  <c r="B34" i="138" s="1"/>
  <c r="R29" i="137"/>
  <c r="Q30" i="137"/>
  <c r="S30" i="137" s="1" a="1"/>
  <c r="S30" i="137" s="1"/>
  <c r="B35" i="138" s="1"/>
  <c r="R30" i="137"/>
  <c r="Q31" i="137"/>
  <c r="S31" i="137" s="1" a="1"/>
  <c r="S31" i="137" s="1"/>
  <c r="B36" i="138" s="1"/>
  <c r="R31" i="137"/>
  <c r="I36" i="137"/>
  <c r="J36" i="137"/>
  <c r="K36" i="137"/>
  <c r="L36" i="137"/>
  <c r="M36" i="137"/>
  <c r="N36" i="137"/>
  <c r="I37" i="137"/>
  <c r="J37" i="137"/>
  <c r="K37" i="137"/>
  <c r="L37" i="137"/>
  <c r="M37" i="137"/>
  <c r="N37" i="137"/>
  <c r="I38" i="137"/>
  <c r="J38" i="137"/>
  <c r="K38" i="137"/>
  <c r="L38" i="137"/>
  <c r="M38" i="137"/>
  <c r="N38" i="137"/>
  <c r="I39" i="137"/>
  <c r="J39" i="137"/>
  <c r="K39" i="137"/>
  <c r="L39" i="137"/>
  <c r="M39" i="137"/>
  <c r="N39" i="137"/>
  <c r="I40" i="137"/>
  <c r="J40" i="137"/>
  <c r="K40" i="137"/>
  <c r="L40" i="137"/>
  <c r="M40" i="137"/>
  <c r="N40" i="137"/>
  <c r="I41" i="137"/>
  <c r="J41" i="137"/>
  <c r="K41" i="137"/>
  <c r="L41" i="137"/>
  <c r="M41" i="137"/>
  <c r="N41" i="137"/>
  <c r="I42" i="137"/>
  <c r="J42" i="137"/>
  <c r="K42" i="137"/>
  <c r="L42" i="137"/>
  <c r="M42" i="137"/>
  <c r="N42" i="137"/>
  <c r="I43" i="137"/>
  <c r="J43" i="137"/>
  <c r="K43" i="137"/>
  <c r="L43" i="137"/>
  <c r="M43" i="137"/>
  <c r="N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I48" i="137"/>
  <c r="J48" i="137"/>
  <c r="K48" i="137"/>
  <c r="L48" i="137"/>
  <c r="M48" i="137"/>
  <c r="N48" i="137"/>
  <c r="I32" i="137"/>
  <c r="J32" i="137"/>
  <c r="K32" i="137"/>
  <c r="L32" i="137"/>
  <c r="M32" i="137"/>
  <c r="N32" i="137"/>
  <c r="I33" i="137"/>
  <c r="J33" i="137"/>
  <c r="K33" i="137"/>
  <c r="L33" i="137"/>
  <c r="M33" i="137"/>
  <c r="N33" i="137"/>
  <c r="I34" i="137"/>
  <c r="J34" i="137"/>
  <c r="K34" i="137"/>
  <c r="L34" i="137"/>
  <c r="M34" i="137"/>
  <c r="N34" i="137"/>
  <c r="I35" i="137"/>
  <c r="K35" i="137"/>
  <c r="S137" i="137" s="1" a="1"/>
  <c r="S137" i="137" s="1"/>
  <c r="B142" i="138" s="1"/>
  <c r="L35" i="137"/>
  <c r="M35" i="137"/>
  <c r="N35" i="137"/>
  <c r="I16" i="137"/>
  <c r="J16" i="137"/>
  <c r="K16" i="137"/>
  <c r="L16" i="137"/>
  <c r="M16" i="137"/>
  <c r="N16"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B33" i="137"/>
  <c r="C33" i="137"/>
  <c r="B32" i="137"/>
  <c r="C32" i="137"/>
  <c r="J9" i="108"/>
  <c r="J10" i="108"/>
  <c r="J11" i="108"/>
  <c r="J12" i="108"/>
  <c r="J13" i="108"/>
  <c r="J14" i="108"/>
  <c r="J15" i="108"/>
  <c r="C15" i="110" s="1"/>
  <c r="J16" i="108"/>
  <c r="C16" i="110" s="1"/>
  <c r="J17" i="108"/>
  <c r="J18" i="108"/>
  <c r="J19" i="108"/>
  <c r="J20" i="108"/>
  <c r="J21" i="108"/>
  <c r="J22" i="108"/>
  <c r="J23" i="108"/>
  <c r="J24" i="108"/>
  <c r="C24" i="110" s="1"/>
  <c r="J25" i="108"/>
  <c r="L25" i="108" s="1"/>
  <c r="J26" i="108"/>
  <c r="C25" i="110" s="1"/>
  <c r="J27" i="108"/>
  <c r="J28" i="108"/>
  <c r="L28" i="108" s="1"/>
  <c r="C74" i="110" s="1"/>
  <c r="J29" i="108"/>
  <c r="J30" i="108"/>
  <c r="J31" i="108"/>
  <c r="L31" i="108" s="1"/>
  <c r="C77" i="110" s="1"/>
  <c r="J32" i="108"/>
  <c r="C31" i="110" s="1"/>
  <c r="J33" i="108"/>
  <c r="J34" i="108"/>
  <c r="J35" i="108"/>
  <c r="J36" i="108"/>
  <c r="J37" i="108"/>
  <c r="J38" i="108"/>
  <c r="J39" i="108"/>
  <c r="C38" i="110" s="1"/>
  <c r="J40" i="108"/>
  <c r="C39" i="110" s="1"/>
  <c r="J41" i="108"/>
  <c r="J42" i="108"/>
  <c r="J43" i="108"/>
  <c r="J44" i="108"/>
  <c r="J45" i="108"/>
  <c r="J46" i="108"/>
  <c r="J47" i="108"/>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3" i="108"/>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74"/>
  <c r="E3" i="162"/>
  <c r="E3" i="159"/>
  <c r="E3" i="157"/>
  <c r="E3" i="154"/>
  <c r="B7" i="115"/>
  <c r="B6" i="115"/>
  <c r="A8" i="107"/>
  <c r="A9" i="107"/>
  <c r="A10" i="107"/>
  <c r="A11" i="107"/>
  <c r="A12" i="107"/>
  <c r="A13" i="107"/>
  <c r="A14" i="107"/>
  <c r="A15" i="107"/>
  <c r="A16" i="107"/>
  <c r="A17" i="107"/>
  <c r="B46" i="137"/>
  <c r="C46" i="137"/>
  <c r="B47" i="137"/>
  <c r="C47" i="137"/>
  <c r="B48" i="137"/>
  <c r="C48" i="137"/>
  <c r="B16" i="137"/>
  <c r="C16" i="137"/>
  <c r="B17" i="137"/>
  <c r="C17" i="137"/>
  <c r="B18" i="137"/>
  <c r="C18" i="137"/>
  <c r="B19" i="137"/>
  <c r="C19" i="137"/>
  <c r="B20" i="137"/>
  <c r="C20" i="137"/>
  <c r="B21" i="137"/>
  <c r="C21" i="137"/>
  <c r="B22" i="137"/>
  <c r="C22" i="137"/>
  <c r="B23" i="137"/>
  <c r="C23" i="137"/>
  <c r="B24" i="137"/>
  <c r="C24" i="137"/>
  <c r="B25" i="137"/>
  <c r="C25" i="137"/>
  <c r="B26" i="137"/>
  <c r="C26" i="137"/>
  <c r="B27" i="137"/>
  <c r="C27" i="137"/>
  <c r="B28" i="137"/>
  <c r="C28" i="137"/>
  <c r="B29" i="137"/>
  <c r="C29" i="137"/>
  <c r="B30" i="137"/>
  <c r="C30" i="137"/>
  <c r="B31" i="137"/>
  <c r="C31" i="137"/>
  <c r="B34" i="137"/>
  <c r="C34" i="137"/>
  <c r="B35" i="137"/>
  <c r="C35" i="137"/>
  <c r="J35" i="137" s="1"/>
  <c r="B36" i="137"/>
  <c r="C36" i="137"/>
  <c r="B37" i="137"/>
  <c r="C37" i="137"/>
  <c r="B38" i="137"/>
  <c r="C38" i="137"/>
  <c r="B39" i="137"/>
  <c r="C39" i="137"/>
  <c r="B40" i="137"/>
  <c r="C40" i="137"/>
  <c r="B41" i="137"/>
  <c r="C41" i="137"/>
  <c r="B42" i="137"/>
  <c r="C42" i="137"/>
  <c r="B43" i="137"/>
  <c r="C43" i="137"/>
  <c r="B44" i="137"/>
  <c r="C44" i="137"/>
  <c r="B45" i="137"/>
  <c r="C45" i="137"/>
  <c r="C15" i="137"/>
  <c r="C65" i="110"/>
  <c r="C66" i="110"/>
  <c r="C10" i="110"/>
  <c r="C11" i="110"/>
  <c r="C12" i="110"/>
  <c r="C13" i="110"/>
  <c r="C18" i="110"/>
  <c r="C19" i="110"/>
  <c r="C20" i="110"/>
  <c r="C28" i="110"/>
  <c r="C35" i="110"/>
  <c r="C36" i="110"/>
  <c r="C37" i="110"/>
  <c r="C40" i="110"/>
  <c r="C41" i="110"/>
  <c r="C42" i="110"/>
  <c r="C14" i="110"/>
  <c r="C17" i="110"/>
  <c r="C21" i="110"/>
  <c r="C22" i="110"/>
  <c r="C23" i="110"/>
  <c r="C26" i="110"/>
  <c r="C29" i="110"/>
  <c r="C32" i="110"/>
  <c r="C33" i="110"/>
  <c r="C34" i="110"/>
  <c r="A41" i="108"/>
  <c r="A90" i="107"/>
  <c r="A87" i="107"/>
  <c r="A86" i="107"/>
  <c r="L10" i="108"/>
  <c r="C57" i="110" s="1"/>
  <c r="L11" i="108"/>
  <c r="C58" i="110" s="1"/>
  <c r="L18" i="108"/>
  <c r="L19" i="108"/>
  <c r="L33" i="108"/>
  <c r="C79" i="110" s="1"/>
  <c r="A101" i="107"/>
  <c r="A92" i="107"/>
  <c r="A75" i="107"/>
  <c r="A72" i="107"/>
  <c r="A61" i="107"/>
  <c r="A55" i="107"/>
  <c r="A51" i="107"/>
  <c r="A46" i="107"/>
  <c r="A39" i="107"/>
  <c r="A34" i="107"/>
  <c r="A21" i="107"/>
  <c r="A20" i="107"/>
  <c r="A7" i="107"/>
  <c r="A6" i="107"/>
  <c r="B54" i="108"/>
  <c r="G54" i="108" s="1"/>
  <c r="B55" i="108"/>
  <c r="G55" i="108" s="1"/>
  <c r="B56" i="108"/>
  <c r="G56" i="108" s="1"/>
  <c r="B57" i="108"/>
  <c r="G57" i="108" s="1"/>
  <c r="B58" i="108"/>
  <c r="G58" i="108" s="1"/>
  <c r="B59" i="108"/>
  <c r="G59" i="108" s="1"/>
  <c r="B60" i="108"/>
  <c r="G60" i="108" s="1"/>
  <c r="B61" i="108"/>
  <c r="G61" i="108" s="1"/>
  <c r="B62" i="108"/>
  <c r="G62" i="108" s="1"/>
  <c r="B53"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S29" i="159" l="1" a="1"/>
  <c r="S29" i="159" s="1"/>
  <c r="B34" i="161" s="1"/>
  <c r="S35" i="159" a="1"/>
  <c r="S35" i="159" s="1"/>
  <c r="B40" i="161" s="1"/>
  <c r="S69" i="159" a="1"/>
  <c r="S69" i="159" s="1"/>
  <c r="B74" i="161" s="1"/>
  <c r="S75" i="159" a="1"/>
  <c r="S75" i="159" s="1"/>
  <c r="B80" i="161" s="1"/>
  <c r="S143" i="137" a="1"/>
  <c r="S143" i="137" s="1"/>
  <c r="B148" i="138" s="1"/>
  <c r="S136" i="137" a="1"/>
  <c r="S136" i="137" s="1"/>
  <c r="B141" i="138" s="1"/>
  <c r="S112" i="137" a="1"/>
  <c r="S112" i="137" s="1"/>
  <c r="B117" i="138" s="1"/>
  <c r="S93" i="137" a="1"/>
  <c r="S93" i="137" s="1"/>
  <c r="B98" i="138" s="1"/>
  <c r="S77" i="137" a="1"/>
  <c r="S77" i="137" s="1"/>
  <c r="B82" i="138" s="1"/>
  <c r="S64" i="137" a="1"/>
  <c r="S64" i="137" s="1"/>
  <c r="B69" i="138" s="1"/>
  <c r="S61" i="137" a="1"/>
  <c r="S61" i="137" s="1"/>
  <c r="B66" i="138" s="1"/>
  <c r="S45" i="137" a="1"/>
  <c r="S45" i="137" s="1"/>
  <c r="B50" i="138" s="1"/>
  <c r="S118" i="137" a="1"/>
  <c r="S118" i="137" s="1"/>
  <c r="B123" i="138" s="1"/>
  <c r="S115" i="137" a="1"/>
  <c r="S115" i="137" s="1"/>
  <c r="B120" i="138" s="1"/>
  <c r="S102" i="137" a="1"/>
  <c r="S102" i="137" s="1"/>
  <c r="B107" i="138" s="1"/>
  <c r="S99" i="137" a="1"/>
  <c r="S99" i="137" s="1"/>
  <c r="B104" i="138" s="1"/>
  <c r="S86" i="137" a="1"/>
  <c r="S86" i="137" s="1"/>
  <c r="B91" i="138" s="1"/>
  <c r="S83" i="137" a="1"/>
  <c r="S83" i="137" s="1"/>
  <c r="B88" i="138" s="1"/>
  <c r="S70" i="137" a="1"/>
  <c r="S70" i="137" s="1"/>
  <c r="B75" i="138" s="1"/>
  <c r="S67" i="137" a="1"/>
  <c r="S67" i="137" s="1"/>
  <c r="B72" i="138" s="1"/>
  <c r="S51" i="137" a="1"/>
  <c r="S51" i="137" s="1"/>
  <c r="B56" i="138" s="1"/>
  <c r="S109" i="137" a="1"/>
  <c r="S109" i="137" s="1"/>
  <c r="B114" i="138" s="1"/>
  <c r="S96" i="137" a="1"/>
  <c r="S96" i="137" s="1"/>
  <c r="B101" i="138" s="1"/>
  <c r="S80" i="137" a="1"/>
  <c r="S80" i="137" s="1"/>
  <c r="B85" i="138" s="1"/>
  <c r="S108" i="137" a="1"/>
  <c r="S108" i="137" s="1"/>
  <c r="B113" i="138" s="1"/>
  <c r="S105" i="137" a="1"/>
  <c r="S105" i="137" s="1"/>
  <c r="B110" i="138" s="1"/>
  <c r="S92" i="137" a="1"/>
  <c r="S92" i="137" s="1"/>
  <c r="B97" i="138" s="1"/>
  <c r="S89" i="137" a="1"/>
  <c r="S89" i="137" s="1"/>
  <c r="B94" i="138" s="1"/>
  <c r="S76" i="137" a="1"/>
  <c r="S76" i="137" s="1"/>
  <c r="B81" i="138" s="1"/>
  <c r="S73" i="137" a="1"/>
  <c r="S73" i="137" s="1"/>
  <c r="B78" i="138" s="1"/>
  <c r="S57" i="137" a="1"/>
  <c r="S57" i="137" s="1"/>
  <c r="B62" i="138" s="1"/>
  <c r="S41" i="137" a="1"/>
  <c r="S41" i="137" s="1"/>
  <c r="B46" i="138" s="1"/>
  <c r="S47" i="137" a="1"/>
  <c r="S47" i="137" s="1"/>
  <c r="B52" i="138" s="1"/>
  <c r="S117" i="137" a="1"/>
  <c r="S117" i="137" s="1"/>
  <c r="B122" i="138" s="1"/>
  <c r="S104" i="137" a="1"/>
  <c r="S104" i="137" s="1"/>
  <c r="B109" i="138" s="1"/>
  <c r="S101" i="137" a="1"/>
  <c r="S101" i="137" s="1"/>
  <c r="B106" i="138" s="1"/>
  <c r="S88" i="137" a="1"/>
  <c r="S88" i="137" s="1"/>
  <c r="B93" i="138" s="1"/>
  <c r="S85" i="137" a="1"/>
  <c r="S85" i="137" s="1"/>
  <c r="B90" i="138" s="1"/>
  <c r="S72" i="137" a="1"/>
  <c r="S72" i="137" s="1"/>
  <c r="B77" i="138" s="1"/>
  <c r="S69" i="137" a="1"/>
  <c r="S69" i="137" s="1"/>
  <c r="B74" i="138" s="1"/>
  <c r="S53" i="137" a="1"/>
  <c r="S53" i="137" s="1"/>
  <c r="B58" i="138" s="1"/>
  <c r="S37" i="137" a="1"/>
  <c r="S37" i="137" s="1"/>
  <c r="B42" i="138" s="1"/>
  <c r="S110" i="137" a="1"/>
  <c r="S110" i="137" s="1"/>
  <c r="B115" i="138" s="1"/>
  <c r="S107" i="137" a="1"/>
  <c r="S107" i="137" s="1"/>
  <c r="B112" i="138" s="1"/>
  <c r="S94" i="137" a="1"/>
  <c r="S94" i="137" s="1"/>
  <c r="B99" i="138" s="1"/>
  <c r="S91" i="137" a="1"/>
  <c r="S91" i="137" s="1"/>
  <c r="B96" i="138" s="1"/>
  <c r="S78" i="137" a="1"/>
  <c r="S78" i="137" s="1"/>
  <c r="B83" i="138" s="1"/>
  <c r="S75" i="137" a="1"/>
  <c r="S75" i="137" s="1"/>
  <c r="B80" i="138" s="1"/>
  <c r="S62" i="137" a="1"/>
  <c r="S62" i="137" s="1"/>
  <c r="B67" i="138" s="1"/>
  <c r="S59" i="137" a="1"/>
  <c r="S59" i="137" s="1"/>
  <c r="B64" i="138" s="1"/>
  <c r="S43" i="137" a="1"/>
  <c r="S43" i="137" s="1"/>
  <c r="B48" i="138" s="1"/>
  <c r="L32" i="108"/>
  <c r="C78" i="110" s="1"/>
  <c r="L39" i="108"/>
  <c r="C30" i="110"/>
  <c r="L34" i="108"/>
  <c r="C80" i="110" s="1"/>
  <c r="C27" i="110"/>
  <c r="L35" i="108"/>
  <c r="C81" i="110" s="1"/>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7" i="108"/>
  <c r="C73" i="110" s="1"/>
  <c r="L26" i="108"/>
  <c r="C72" i="110" s="1"/>
  <c r="L17" i="108"/>
  <c r="C64" i="110" s="1"/>
  <c r="L15" i="108"/>
  <c r="C62" i="110" s="1"/>
  <c r="L30" i="108"/>
  <c r="C76" i="110" s="1"/>
  <c r="L16" i="108"/>
  <c r="C63" i="110" s="1"/>
  <c r="L40" i="108"/>
  <c r="L14" i="108"/>
  <c r="C61" i="110" s="1"/>
  <c r="L21" i="108"/>
  <c r="C68" i="110" s="1"/>
  <c r="L13" i="108"/>
  <c r="C60" i="110" s="1"/>
  <c r="L29" i="108"/>
  <c r="C75" i="110" s="1"/>
  <c r="L20" i="108"/>
  <c r="C67" i="110" s="1"/>
  <c r="L12" i="108"/>
  <c r="C59" i="110" s="1"/>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R16" i="140"/>
  <c r="Q17" i="140"/>
  <c r="R17" i="140"/>
  <c r="S17" i="140" s="1" a="1"/>
  <c r="S17" i="140" s="1"/>
  <c r="Q18" i="140"/>
  <c r="S18" i="140" s="1" a="1"/>
  <c r="S18" i="140" s="1"/>
  <c r="R18" i="140"/>
  <c r="Q19" i="140"/>
  <c r="R19" i="140"/>
  <c r="S19" i="140" s="1" a="1"/>
  <c r="S19" i="140" s="1"/>
  <c r="Q20" i="140"/>
  <c r="S20" i="140" s="1" a="1"/>
  <c r="S20" i="140" s="1"/>
  <c r="R20" i="140"/>
  <c r="Q21" i="140"/>
  <c r="R21" i="140"/>
  <c r="Q22" i="140"/>
  <c r="R22" i="140"/>
  <c r="Q23" i="140"/>
  <c r="R23" i="140"/>
  <c r="S23" i="140" s="1" a="1"/>
  <c r="S23" i="140" s="1"/>
  <c r="Q24" i="140"/>
  <c r="S24" i="140" s="1" a="1"/>
  <c r="S24" i="140" s="1"/>
  <c r="R24" i="140"/>
  <c r="Q25" i="140"/>
  <c r="R25" i="140"/>
  <c r="S25" i="140" a="1"/>
  <c r="S25" i="140" s="1"/>
  <c r="Q26" i="140"/>
  <c r="S26" i="140" s="1" a="1"/>
  <c r="S26" i="140" s="1"/>
  <c r="R26" i="140"/>
  <c r="Q27" i="140"/>
  <c r="R27" i="140"/>
  <c r="Q28" i="140"/>
  <c r="R28" i="140"/>
  <c r="Q29" i="140"/>
  <c r="R29" i="140"/>
  <c r="Q30" i="140"/>
  <c r="S30" i="140" s="1" a="1"/>
  <c r="S30" i="140" s="1"/>
  <c r="R30" i="140"/>
  <c r="Q31" i="140"/>
  <c r="R31" i="140"/>
  <c r="S31" i="140" a="1"/>
  <c r="S31" i="140" s="1"/>
  <c r="Q32" i="140"/>
  <c r="R32" i="140"/>
  <c r="Q33" i="140"/>
  <c r="R33" i="140"/>
  <c r="Q34" i="140"/>
  <c r="R34" i="140"/>
  <c r="Q35" i="140"/>
  <c r="R35" i="140"/>
  <c r="Q36" i="140"/>
  <c r="R36" i="140"/>
  <c r="Q37" i="140"/>
  <c r="R37" i="140"/>
  <c r="Q38" i="140"/>
  <c r="S38" i="140" s="1" a="1"/>
  <c r="S38" i="140" s="1"/>
  <c r="R38" i="140"/>
  <c r="Q39" i="140"/>
  <c r="R39" i="140"/>
  <c r="Q40" i="140"/>
  <c r="R40" i="140"/>
  <c r="Q41" i="140"/>
  <c r="R41" i="140"/>
  <c r="S41" i="140" a="1"/>
  <c r="S41" i="140" s="1"/>
  <c r="Q42" i="140"/>
  <c r="S42" i="140" s="1" a="1"/>
  <c r="S42" i="140" s="1"/>
  <c r="R42" i="140"/>
  <c r="Q43" i="140"/>
  <c r="R43" i="140"/>
  <c r="S43" i="140" s="1" a="1"/>
  <c r="S43" i="140" s="1"/>
  <c r="Q44" i="140"/>
  <c r="S44" i="140" s="1" a="1"/>
  <c r="S44" i="140" s="1"/>
  <c r="R44" i="140"/>
  <c r="Q45" i="140"/>
  <c r="R45" i="140"/>
  <c r="Q46" i="140"/>
  <c r="R46" i="140"/>
  <c r="Q47" i="140"/>
  <c r="R47" i="140"/>
  <c r="S47" i="140" a="1"/>
  <c r="S47" i="140" s="1"/>
  <c r="Q48" i="140"/>
  <c r="S48" i="140" s="1" a="1"/>
  <c r="S48" i="140" s="1"/>
  <c r="R48" i="140"/>
  <c r="Q49" i="140"/>
  <c r="R49" i="140"/>
  <c r="S49" i="140" a="1"/>
  <c r="S49" i="140" s="1"/>
  <c r="Q50" i="140"/>
  <c r="R50" i="140"/>
  <c r="Q51" i="140"/>
  <c r="R51" i="140"/>
  <c r="Q52" i="140"/>
  <c r="R52" i="140"/>
  <c r="Q53" i="140"/>
  <c r="R53" i="140"/>
  <c r="S53" i="140" s="1" a="1"/>
  <c r="S53" i="140" s="1"/>
  <c r="Q54" i="140"/>
  <c r="S54" i="140" s="1" a="1"/>
  <c r="S54" i="140" s="1"/>
  <c r="R54" i="140"/>
  <c r="Q55" i="140"/>
  <c r="R55" i="140"/>
  <c r="S55" i="140" a="1"/>
  <c r="S55" i="140" s="1"/>
  <c r="Q56" i="140"/>
  <c r="R56" i="140"/>
  <c r="Q57" i="140"/>
  <c r="R57" i="140"/>
  <c r="Q58" i="140"/>
  <c r="R58" i="140"/>
  <c r="Q59" i="140"/>
  <c r="S59" i="140" s="1" a="1"/>
  <c r="S59" i="140" s="1"/>
  <c r="R59" i="140"/>
  <c r="Q60" i="140"/>
  <c r="S60" i="140" s="1" a="1"/>
  <c r="S60" i="140" s="1"/>
  <c r="R60" i="140"/>
  <c r="Q61" i="140"/>
  <c r="R61" i="140"/>
  <c r="S61" i="140" s="1" a="1"/>
  <c r="S61" i="140" s="1"/>
  <c r="Q62" i="140"/>
  <c r="S62" i="140" s="1" a="1"/>
  <c r="S62" i="140" s="1"/>
  <c r="R62" i="140"/>
  <c r="Q63" i="140"/>
  <c r="R63" i="140"/>
  <c r="Q64" i="140"/>
  <c r="R64" i="140"/>
  <c r="Q65" i="140"/>
  <c r="R65" i="140"/>
  <c r="S65" i="140" a="1"/>
  <c r="S65" i="140" s="1"/>
  <c r="Q66" i="140"/>
  <c r="R66" i="140"/>
  <c r="Q67" i="140"/>
  <c r="S67" i="140" s="1" a="1"/>
  <c r="S67" i="140" s="1"/>
  <c r="R67" i="140"/>
  <c r="Q68" i="140"/>
  <c r="S68" i="140" s="1" a="1"/>
  <c r="S68" i="140" s="1"/>
  <c r="R68" i="140"/>
  <c r="Q69" i="140"/>
  <c r="R69" i="140"/>
  <c r="Q70" i="140"/>
  <c r="R70" i="140"/>
  <c r="Q71" i="140"/>
  <c r="S71" i="140" s="1" a="1"/>
  <c r="S71" i="140" s="1"/>
  <c r="R71" i="140"/>
  <c r="Q72" i="140"/>
  <c r="R72" i="140"/>
  <c r="Q73" i="140"/>
  <c r="R73" i="140"/>
  <c r="S73" i="140" a="1"/>
  <c r="S73" i="140" s="1"/>
  <c r="Q74" i="140"/>
  <c r="R74" i="140"/>
  <c r="Q75" i="140"/>
  <c r="R75" i="140"/>
  <c r="Q76" i="140"/>
  <c r="R76" i="140"/>
  <c r="Q77" i="140"/>
  <c r="R77" i="140"/>
  <c r="S77" i="140" s="1" a="1"/>
  <c r="S77" i="140" s="1"/>
  <c r="Q78" i="140"/>
  <c r="S78" i="140" s="1" a="1"/>
  <c r="S78" i="140" s="1"/>
  <c r="R78" i="140"/>
  <c r="Q79" i="140"/>
  <c r="S79" i="140" s="1" a="1"/>
  <c r="S79" i="140" s="1"/>
  <c r="R79" i="140"/>
  <c r="Q80" i="140"/>
  <c r="R80" i="140"/>
  <c r="Q81" i="140"/>
  <c r="R81" i="140"/>
  <c r="Q82" i="140"/>
  <c r="R82" i="140"/>
  <c r="Q83" i="140"/>
  <c r="S83" i="140" s="1" a="1"/>
  <c r="S83" i="140" s="1"/>
  <c r="R83" i="140"/>
  <c r="Q84" i="140"/>
  <c r="S84" i="140" s="1" a="1"/>
  <c r="S84" i="140" s="1"/>
  <c r="R84" i="140"/>
  <c r="Q85" i="140"/>
  <c r="R85" i="140"/>
  <c r="S85" i="140" s="1" a="1"/>
  <c r="S85" i="140" s="1"/>
  <c r="Q86" i="140"/>
  <c r="S86" i="140" s="1" a="1"/>
  <c r="S86" i="140" s="1"/>
  <c r="R86" i="140"/>
  <c r="Q87" i="140"/>
  <c r="R87" i="140"/>
  <c r="Q88" i="140"/>
  <c r="R88" i="140"/>
  <c r="Q89" i="140"/>
  <c r="R89" i="140"/>
  <c r="S89" i="140" a="1"/>
  <c r="S89" i="140" s="1"/>
  <c r="Q90" i="140"/>
  <c r="R90" i="140"/>
  <c r="Q91" i="140"/>
  <c r="S91" i="140" s="1" a="1"/>
  <c r="S91" i="140" s="1"/>
  <c r="R91" i="140"/>
  <c r="Q92" i="140"/>
  <c r="S92" i="140" s="1" a="1"/>
  <c r="S92" i="140" s="1"/>
  <c r="R92" i="140"/>
  <c r="Q93" i="140"/>
  <c r="R93" i="140"/>
  <c r="Q94" i="140"/>
  <c r="R94" i="140"/>
  <c r="Q95" i="140"/>
  <c r="S95" i="140" s="1" a="1"/>
  <c r="S95" i="140" s="1"/>
  <c r="R95" i="140"/>
  <c r="Q96" i="140"/>
  <c r="R96" i="140"/>
  <c r="Q97" i="140"/>
  <c r="R97" i="140"/>
  <c r="S97" i="140" a="1"/>
  <c r="S97" i="140" s="1"/>
  <c r="Q98" i="140"/>
  <c r="R98" i="140"/>
  <c r="Q99" i="140"/>
  <c r="R99" i="140"/>
  <c r="Q100" i="140"/>
  <c r="R100" i="140"/>
  <c r="Q101" i="140"/>
  <c r="R101" i="140"/>
  <c r="S101" i="140" s="1" a="1"/>
  <c r="S101" i="140" s="1"/>
  <c r="Q102" i="140"/>
  <c r="S102" i="140" s="1" a="1"/>
  <c r="S102" i="140" s="1"/>
  <c r="R102" i="140"/>
  <c r="Q103" i="140"/>
  <c r="S103" i="140" s="1" a="1"/>
  <c r="S103" i="140" s="1"/>
  <c r="R103" i="140"/>
  <c r="Q104" i="140"/>
  <c r="R104" i="140"/>
  <c r="Q105" i="140"/>
  <c r="R105" i="140"/>
  <c r="Q106" i="140"/>
  <c r="R106" i="140"/>
  <c r="Q107" i="140"/>
  <c r="S107" i="140" s="1" a="1"/>
  <c r="S107" i="140" s="1"/>
  <c r="R107" i="140"/>
  <c r="Q108" i="140"/>
  <c r="S108" i="140" s="1" a="1"/>
  <c r="S108" i="140" s="1"/>
  <c r="R108" i="140"/>
  <c r="Q109" i="140"/>
  <c r="R109" i="140"/>
  <c r="S109" i="140" s="1" a="1"/>
  <c r="S109" i="140" s="1"/>
  <c r="Q110" i="140"/>
  <c r="S110" i="140" s="1" a="1"/>
  <c r="S110" i="140" s="1"/>
  <c r="R110" i="140"/>
  <c r="Q111" i="140"/>
  <c r="R111" i="140"/>
  <c r="Q112" i="140"/>
  <c r="R112" i="140"/>
  <c r="Q113" i="140"/>
  <c r="R113" i="140"/>
  <c r="S113" i="140" a="1"/>
  <c r="S113" i="140" s="1"/>
  <c r="Q114" i="140"/>
  <c r="R114" i="140"/>
  <c r="Q115" i="140"/>
  <c r="S115" i="140" s="1" a="1"/>
  <c r="S115" i="140" s="1"/>
  <c r="R115" i="140"/>
  <c r="Q116" i="140"/>
  <c r="S116" i="140" s="1" a="1"/>
  <c r="S116" i="140" s="1"/>
  <c r="R116" i="140"/>
  <c r="Q117" i="140"/>
  <c r="R117" i="140"/>
  <c r="Q118" i="140"/>
  <c r="R118" i="140"/>
  <c r="Q119" i="140"/>
  <c r="R119" i="140"/>
  <c r="S119" i="140" a="1"/>
  <c r="S119" i="140" s="1"/>
  <c r="Q120" i="140"/>
  <c r="S120" i="140" s="1" a="1"/>
  <c r="S120" i="140" s="1"/>
  <c r="R120" i="140"/>
  <c r="Q121" i="140"/>
  <c r="S121" i="140" s="1" a="1"/>
  <c r="S121" i="140" s="1"/>
  <c r="R121" i="140"/>
  <c r="Q122" i="140"/>
  <c r="S122" i="140" s="1" a="1"/>
  <c r="S122" i="140" s="1"/>
  <c r="R122" i="140"/>
  <c r="Q123" i="140"/>
  <c r="R123" i="140"/>
  <c r="Q124" i="140"/>
  <c r="R124" i="140"/>
  <c r="Q125" i="140"/>
  <c r="R125" i="140"/>
  <c r="Q126" i="140"/>
  <c r="R126" i="140"/>
  <c r="S126" i="140" s="1" a="1"/>
  <c r="S126" i="140" s="1"/>
  <c r="Q127" i="140"/>
  <c r="S127" i="140" s="1" a="1"/>
  <c r="S127" i="140" s="1"/>
  <c r="R127" i="140"/>
  <c r="Q128" i="140"/>
  <c r="R128" i="140"/>
  <c r="Q129" i="140"/>
  <c r="R129" i="140"/>
  <c r="Q130" i="140"/>
  <c r="R130" i="140"/>
  <c r="Q131" i="140"/>
  <c r="R131" i="140"/>
  <c r="S131" i="140" a="1"/>
  <c r="S131" i="140" s="1"/>
  <c r="Q132" i="140"/>
  <c r="R132" i="140"/>
  <c r="S132" i="140" s="1" a="1"/>
  <c r="S132" i="140" s="1"/>
  <c r="Q133" i="140"/>
  <c r="R133" i="140"/>
  <c r="S133" i="140" s="1" a="1"/>
  <c r="S133" i="140" s="1"/>
  <c r="Q134" i="140"/>
  <c r="R134" i="140"/>
  <c r="S134" i="140" a="1"/>
  <c r="S134" i="140" s="1"/>
  <c r="Q135" i="140"/>
  <c r="R135" i="140"/>
  <c r="Q136" i="140"/>
  <c r="R136" i="140"/>
  <c r="Q137" i="140"/>
  <c r="R137" i="140"/>
  <c r="Q138" i="140"/>
  <c r="S138" i="140" s="1" a="1"/>
  <c r="S138" i="140" s="1"/>
  <c r="R138" i="140"/>
  <c r="Q139" i="140"/>
  <c r="R139" i="140"/>
  <c r="S139" i="140" s="1" a="1"/>
  <c r="S139" i="140" s="1"/>
  <c r="Q140" i="140"/>
  <c r="R140" i="140"/>
  <c r="S140" i="140" a="1"/>
  <c r="S140" i="140" s="1"/>
  <c r="Q141" i="140"/>
  <c r="R141" i="140"/>
  <c r="Q142" i="140"/>
  <c r="R142" i="140"/>
  <c r="Q143" i="140"/>
  <c r="R143" i="140"/>
  <c r="Q144" i="140"/>
  <c r="R144" i="140"/>
  <c r="S144" i="140" a="1"/>
  <c r="S144" i="140" s="1"/>
  <c r="Q145" i="140"/>
  <c r="S145" i="140" s="1" a="1"/>
  <c r="S145" i="140" s="1"/>
  <c r="R145" i="140"/>
  <c r="Q146" i="140"/>
  <c r="S146" i="140" s="1" a="1"/>
  <c r="S146" i="140" s="1"/>
  <c r="R146" i="140"/>
  <c r="Q147" i="140"/>
  <c r="R147" i="140"/>
  <c r="Q148" i="140"/>
  <c r="R148" i="140"/>
  <c r="Q149" i="140"/>
  <c r="R149" i="140"/>
  <c r="Q150" i="140"/>
  <c r="R150" i="140"/>
  <c r="S150" i="140" a="1"/>
  <c r="S150" i="140" s="1"/>
  <c r="Q151" i="140"/>
  <c r="R151" i="140"/>
  <c r="S151" i="140" a="1"/>
  <c r="S151" i="140" s="1"/>
  <c r="Q152" i="140"/>
  <c r="S152" i="140" s="1" a="1"/>
  <c r="S152" i="140" s="1"/>
  <c r="R152" i="140"/>
  <c r="Q153" i="140"/>
  <c r="S153" i="140" s="1" a="1"/>
  <c r="S153" i="140" s="1"/>
  <c r="R153" i="140"/>
  <c r="Q154" i="140"/>
  <c r="S154" i="140" s="1" a="1"/>
  <c r="S154" i="140" s="1"/>
  <c r="R154" i="140"/>
  <c r="Q155" i="140"/>
  <c r="R155" i="140"/>
  <c r="S155" i="140" s="1" a="1"/>
  <c r="S155" i="140"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K17" i="140"/>
  <c r="L17" i="140"/>
  <c r="M17" i="140"/>
  <c r="N17" i="140"/>
  <c r="K18" i="140"/>
  <c r="L18" i="140"/>
  <c r="M18" i="140"/>
  <c r="N18" i="140"/>
  <c r="K19" i="140"/>
  <c r="L19" i="140"/>
  <c r="M19" i="140"/>
  <c r="N19" i="140"/>
  <c r="K20" i="140"/>
  <c r="L20" i="140"/>
  <c r="M20" i="140"/>
  <c r="N20" i="140"/>
  <c r="K21" i="140"/>
  <c r="L21" i="140"/>
  <c r="M21" i="140"/>
  <c r="N21" i="140"/>
  <c r="K22" i="140"/>
  <c r="L22" i="140"/>
  <c r="M22" i="140"/>
  <c r="N22" i="140"/>
  <c r="K23" i="140"/>
  <c r="L23" i="140"/>
  <c r="M23" i="140"/>
  <c r="N23" i="140"/>
  <c r="K24" i="140"/>
  <c r="L24" i="140"/>
  <c r="M24" i="140"/>
  <c r="N24" i="140"/>
  <c r="K25" i="140"/>
  <c r="L25" i="140"/>
  <c r="M25" i="140"/>
  <c r="N25" i="140"/>
  <c r="K26" i="140"/>
  <c r="L26" i="140"/>
  <c r="M26" i="140"/>
  <c r="N26" i="140"/>
  <c r="K27" i="140"/>
  <c r="L27" i="140"/>
  <c r="M27" i="140"/>
  <c r="N27" i="140"/>
  <c r="K28" i="140"/>
  <c r="L28" i="140"/>
  <c r="M28" i="140"/>
  <c r="N28" i="140"/>
  <c r="K29" i="140"/>
  <c r="L29" i="140"/>
  <c r="M29" i="140"/>
  <c r="N29" i="140"/>
  <c r="K30" i="140"/>
  <c r="L30" i="140"/>
  <c r="M30" i="140"/>
  <c r="N30" i="140"/>
  <c r="K31" i="140"/>
  <c r="L31" i="140"/>
  <c r="M31" i="140"/>
  <c r="N31" i="140"/>
  <c r="K32" i="140"/>
  <c r="L32" i="140"/>
  <c r="M32" i="140"/>
  <c r="N32" i="140"/>
  <c r="K33" i="140"/>
  <c r="S125" i="140" s="1" a="1"/>
  <c r="S125" i="140" s="1"/>
  <c r="L33" i="140"/>
  <c r="M33" i="140"/>
  <c r="N33" i="140"/>
  <c r="S128" i="140" s="1" a="1"/>
  <c r="S128" i="140" s="1"/>
  <c r="K34" i="140"/>
  <c r="L34" i="140"/>
  <c r="M34" i="140"/>
  <c r="N34" i="140"/>
  <c r="K35" i="140"/>
  <c r="L35" i="140"/>
  <c r="M35" i="140"/>
  <c r="N35" i="140"/>
  <c r="I36" i="140"/>
  <c r="S141" i="140" s="1" a="1"/>
  <c r="S141" i="140" s="1"/>
  <c r="J36" i="140"/>
  <c r="K36" i="140"/>
  <c r="L36" i="140"/>
  <c r="M36" i="140"/>
  <c r="N36" i="140"/>
  <c r="I37" i="140"/>
  <c r="S147" i="140" s="1" a="1"/>
  <c r="S147" i="140" s="1"/>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6" i="174"/>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B20" i="162"/>
  <c r="C20" i="162"/>
  <c r="N15" i="162"/>
  <c r="Q173" i="170"/>
  <c r="S173" i="170" s="1" a="1"/>
  <c r="S173" i="170" s="1"/>
  <c r="B179" i="171" s="1"/>
  <c r="R173" i="170"/>
  <c r="Q174" i="170"/>
  <c r="S174" i="170" s="1" a="1"/>
  <c r="S174" i="170" s="1"/>
  <c r="B180" i="171" s="1"/>
  <c r="R174" i="170"/>
  <c r="Q175" i="170"/>
  <c r="S175" i="170" s="1" a="1"/>
  <c r="S175" i="170" s="1"/>
  <c r="B181" i="171" s="1"/>
  <c r="R175" i="170"/>
  <c r="Q176" i="170"/>
  <c r="S176" i="170" s="1" a="1"/>
  <c r="S176" i="170" s="1"/>
  <c r="B182" i="171"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B174" i="171"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B28" i="171"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B33" i="171" s="1"/>
  <c r="R27" i="170"/>
  <c r="Q28" i="170"/>
  <c r="S28" i="170" s="1" a="1"/>
  <c r="S28" i="170" s="1"/>
  <c r="B34" i="171" s="1"/>
  <c r="R28" i="170"/>
  <c r="Q29" i="170"/>
  <c r="S29" i="170" s="1" a="1"/>
  <c r="S29" i="170" s="1"/>
  <c r="B35" i="171" s="1"/>
  <c r="R29" i="170"/>
  <c r="Q30" i="170"/>
  <c r="S30" i="170" s="1" a="1"/>
  <c r="S30" i="170" s="1"/>
  <c r="B36" i="171"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B41" i="171" s="1"/>
  <c r="R35" i="170"/>
  <c r="Q36" i="170"/>
  <c r="S36" i="170" s="1" a="1"/>
  <c r="S36" i="170" s="1"/>
  <c r="B42" i="171" s="1"/>
  <c r="R36" i="170"/>
  <c r="Q37" i="170"/>
  <c r="S37" i="170" s="1" a="1"/>
  <c r="S37" i="170" s="1"/>
  <c r="B43" i="171" s="1"/>
  <c r="R37" i="170"/>
  <c r="Q38" i="170"/>
  <c r="S38" i="170" s="1" a="1"/>
  <c r="S38" i="170" s="1"/>
  <c r="B44" i="171"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B49" i="171" s="1"/>
  <c r="R43" i="170"/>
  <c r="Q44" i="170"/>
  <c r="S44" i="170" s="1" a="1"/>
  <c r="S44" i="170" s="1"/>
  <c r="B50" i="171" s="1"/>
  <c r="R44" i="170"/>
  <c r="Q45" i="170"/>
  <c r="S45" i="170" s="1" a="1"/>
  <c r="S45" i="170" s="1"/>
  <c r="B51" i="171" s="1"/>
  <c r="R45" i="170"/>
  <c r="Q46" i="170"/>
  <c r="S46" i="170" s="1" a="1"/>
  <c r="S46" i="170" s="1"/>
  <c r="B52" i="171"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B57" i="171" s="1"/>
  <c r="R51" i="170"/>
  <c r="Q52" i="170"/>
  <c r="S52" i="170" s="1" a="1"/>
  <c r="S52" i="170" s="1"/>
  <c r="B58" i="171" s="1"/>
  <c r="R52" i="170"/>
  <c r="Q53" i="170"/>
  <c r="S53" i="170" s="1" a="1"/>
  <c r="S53" i="170" s="1"/>
  <c r="B59" i="171" s="1"/>
  <c r="R53" i="170"/>
  <c r="Q54" i="170"/>
  <c r="S54" i="170" s="1" a="1"/>
  <c r="S54" i="170" s="1"/>
  <c r="B60" i="171"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B65" i="171" s="1"/>
  <c r="R59" i="170"/>
  <c r="Q60" i="170"/>
  <c r="S60" i="170" s="1" a="1"/>
  <c r="S60" i="170" s="1"/>
  <c r="B66" i="171" s="1"/>
  <c r="R60" i="170"/>
  <c r="Q61" i="170"/>
  <c r="S61" i="170" s="1" a="1"/>
  <c r="S61" i="170" s="1"/>
  <c r="B67" i="171" s="1"/>
  <c r="R61" i="170"/>
  <c r="Q62" i="170"/>
  <c r="S62" i="170" s="1" a="1"/>
  <c r="S62" i="170" s="1"/>
  <c r="B68" i="171"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B73" i="171" s="1"/>
  <c r="R67" i="170"/>
  <c r="Q68" i="170"/>
  <c r="S68" i="170" s="1" a="1"/>
  <c r="S68" i="170" s="1"/>
  <c r="B74" i="171" s="1"/>
  <c r="R68" i="170"/>
  <c r="Q69" i="170"/>
  <c r="S69" i="170" s="1" a="1"/>
  <c r="S69" i="170" s="1"/>
  <c r="B75" i="171" s="1"/>
  <c r="R69" i="170"/>
  <c r="Q70" i="170"/>
  <c r="S70" i="170" s="1" a="1"/>
  <c r="S70" i="170" s="1"/>
  <c r="B76" i="171"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B81" i="171" s="1"/>
  <c r="R75" i="170"/>
  <c r="Q76" i="170"/>
  <c r="S76" i="170" s="1" a="1"/>
  <c r="S76" i="170" s="1"/>
  <c r="B82" i="171" s="1"/>
  <c r="R76" i="170"/>
  <c r="Q77" i="170"/>
  <c r="S77" i="170" s="1" a="1"/>
  <c r="S77" i="170" s="1"/>
  <c r="B83" i="171" s="1"/>
  <c r="R77" i="170"/>
  <c r="Q78" i="170"/>
  <c r="S78" i="170" s="1" a="1"/>
  <c r="S78" i="170" s="1"/>
  <c r="B84" i="171"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B89" i="171" s="1"/>
  <c r="R83" i="170"/>
  <c r="Q84" i="170"/>
  <c r="S84" i="170" s="1" a="1"/>
  <c r="S84" i="170" s="1"/>
  <c r="B90" i="171" s="1"/>
  <c r="R84" i="170"/>
  <c r="Q85" i="170"/>
  <c r="S85" i="170" s="1" a="1"/>
  <c r="S85" i="170" s="1"/>
  <c r="B91" i="171" s="1"/>
  <c r="R85" i="170"/>
  <c r="Q86" i="170"/>
  <c r="S86" i="170" s="1" a="1"/>
  <c r="S86" i="170" s="1"/>
  <c r="B92" i="171"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B97" i="171" s="1"/>
  <c r="R91" i="170"/>
  <c r="Q92" i="170"/>
  <c r="S92" i="170" s="1" a="1"/>
  <c r="S92" i="170" s="1"/>
  <c r="B98" i="171" s="1"/>
  <c r="R92" i="170"/>
  <c r="Q93" i="170"/>
  <c r="S93" i="170" s="1" a="1"/>
  <c r="S93" i="170" s="1"/>
  <c r="B99" i="171" s="1"/>
  <c r="R93" i="170"/>
  <c r="Q94" i="170"/>
  <c r="S94" i="170" s="1" a="1"/>
  <c r="S94" i="170" s="1"/>
  <c r="B100" i="171"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B105" i="171" s="1"/>
  <c r="R99" i="170"/>
  <c r="Q100" i="170"/>
  <c r="S100" i="170" s="1" a="1"/>
  <c r="S100" i="170" s="1"/>
  <c r="B106" i="171" s="1"/>
  <c r="R100" i="170"/>
  <c r="Q101" i="170"/>
  <c r="S101" i="170" s="1" a="1"/>
  <c r="S101" i="170" s="1"/>
  <c r="B107" i="171" s="1"/>
  <c r="R101" i="170"/>
  <c r="Q102" i="170"/>
  <c r="S102" i="170" s="1" a="1"/>
  <c r="S102" i="170" s="1"/>
  <c r="B108" i="171"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B113" i="171" s="1"/>
  <c r="R107" i="170"/>
  <c r="Q108" i="170"/>
  <c r="S108" i="170" s="1" a="1"/>
  <c r="S108" i="170" s="1"/>
  <c r="B114" i="171" s="1"/>
  <c r="R108" i="170"/>
  <c r="Q109" i="170"/>
  <c r="S109" i="170" s="1" a="1"/>
  <c r="S109" i="170" s="1"/>
  <c r="B115" i="171" s="1"/>
  <c r="R109" i="170"/>
  <c r="Q110" i="170"/>
  <c r="S110" i="170" s="1" a="1"/>
  <c r="S110" i="170" s="1"/>
  <c r="B116" i="171"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B121" i="171" s="1"/>
  <c r="R115" i="170"/>
  <c r="Q116" i="170"/>
  <c r="S116" i="170" s="1" a="1"/>
  <c r="S116" i="170" s="1"/>
  <c r="B122" i="171" s="1"/>
  <c r="R116" i="170"/>
  <c r="Q117" i="170"/>
  <c r="R117" i="170"/>
  <c r="Q118" i="170"/>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B129" i="171" s="1"/>
  <c r="R123" i="170"/>
  <c r="Q124" i="170"/>
  <c r="S124" i="170" s="1" a="1"/>
  <c r="S124" i="170" s="1"/>
  <c r="B130" i="171" s="1"/>
  <c r="R124" i="170"/>
  <c r="Q125" i="170"/>
  <c r="S125" i="170" s="1" a="1"/>
  <c r="S125" i="170" s="1"/>
  <c r="B131" i="171" s="1"/>
  <c r="R125" i="170"/>
  <c r="Q126" i="170"/>
  <c r="S126" i="170" s="1" a="1"/>
  <c r="S126" i="170" s="1"/>
  <c r="B132" i="171"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B137" i="171" s="1"/>
  <c r="R131" i="170"/>
  <c r="Q132" i="170"/>
  <c r="S132" i="170" s="1" a="1"/>
  <c r="S132" i="170" s="1"/>
  <c r="B138" i="171" s="1"/>
  <c r="R132" i="170"/>
  <c r="Q133" i="170"/>
  <c r="S133" i="170" s="1" a="1"/>
  <c r="S133" i="170" s="1"/>
  <c r="B139" i="171" s="1"/>
  <c r="R133" i="170"/>
  <c r="Q134" i="170"/>
  <c r="S134" i="170" s="1" a="1"/>
  <c r="S134" i="170" s="1"/>
  <c r="B140" i="171"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B145" i="171" s="1"/>
  <c r="R139" i="170"/>
  <c r="Q140" i="170"/>
  <c r="S140" i="170" s="1" a="1"/>
  <c r="S140" i="170" s="1"/>
  <c r="B146" i="171" s="1"/>
  <c r="R140" i="170"/>
  <c r="Q141" i="170"/>
  <c r="S141" i="170" s="1" a="1"/>
  <c r="S141" i="170" s="1"/>
  <c r="B147" i="171" s="1"/>
  <c r="R141" i="170"/>
  <c r="Q142" i="170"/>
  <c r="S142" i="170" s="1" a="1"/>
  <c r="S142" i="170" s="1"/>
  <c r="B148" i="171" s="1"/>
  <c r="R142" i="170"/>
  <c r="Q143" i="170"/>
  <c r="S143" i="170" s="1" a="1"/>
  <c r="S143" i="170" s="1"/>
  <c r="B149" i="171" s="1"/>
  <c r="R143" i="170"/>
  <c r="Q144" i="170"/>
  <c r="S144" i="170" s="1" a="1"/>
  <c r="S144" i="170" s="1"/>
  <c r="B150" i="171" s="1"/>
  <c r="R144" i="170"/>
  <c r="Q145" i="170"/>
  <c r="S145" i="170" s="1" a="1"/>
  <c r="S145" i="170" s="1"/>
  <c r="B151" i="171"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B156" i="171" s="1"/>
  <c r="R150" i="170"/>
  <c r="Q151" i="170"/>
  <c r="S151" i="170" s="1" a="1"/>
  <c r="S151" i="170" s="1"/>
  <c r="B157" i="171" s="1"/>
  <c r="R151" i="170"/>
  <c r="Q152" i="170"/>
  <c r="S152" i="170" s="1" a="1"/>
  <c r="S152" i="170" s="1"/>
  <c r="B158" i="171" s="1"/>
  <c r="R152" i="170"/>
  <c r="Q153" i="170"/>
  <c r="S153" i="170" s="1" a="1"/>
  <c r="S153" i="170" s="1"/>
  <c r="B159" i="171"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B164" i="171" s="1"/>
  <c r="R158" i="170"/>
  <c r="Q159" i="170"/>
  <c r="S159" i="170" s="1" a="1"/>
  <c r="S159" i="170" s="1"/>
  <c r="B165" i="171" s="1"/>
  <c r="R159" i="170"/>
  <c r="Q160" i="170"/>
  <c r="S160" i="170" s="1" a="1"/>
  <c r="S160" i="170" s="1"/>
  <c r="B166" i="171" s="1"/>
  <c r="R160" i="170"/>
  <c r="Q161" i="170"/>
  <c r="S161" i="170" s="1" a="1"/>
  <c r="S161" i="170" s="1"/>
  <c r="B167" i="171" s="1"/>
  <c r="R161" i="170"/>
  <c r="Q162" i="170"/>
  <c r="S162" i="170" s="1" a="1"/>
  <c r="S162" i="170" s="1"/>
  <c r="B168" i="171" s="1"/>
  <c r="R162" i="170"/>
  <c r="Q163" i="170"/>
  <c r="S163" i="170" s="1" a="1"/>
  <c r="S163" i="170" s="1"/>
  <c r="B169" i="171" s="1"/>
  <c r="R163" i="170"/>
  <c r="Q16" i="170"/>
  <c r="R16" i="170"/>
  <c r="Q17" i="170"/>
  <c r="S17" i="170" s="1" a="1"/>
  <c r="S17" i="170" s="1"/>
  <c r="B23" i="171" s="1"/>
  <c r="R17" i="170"/>
  <c r="Q18" i="170"/>
  <c r="S18" i="170" s="1" a="1"/>
  <c r="S18" i="170" s="1"/>
  <c r="B24" i="171" s="1"/>
  <c r="R18" i="170"/>
  <c r="Q19" i="170"/>
  <c r="S19" i="170" s="1" a="1"/>
  <c r="S19" i="170" s="1"/>
  <c r="B25" i="171" s="1"/>
  <c r="R19" i="170"/>
  <c r="Q20" i="170"/>
  <c r="S20" i="170" s="1" a="1"/>
  <c r="S20" i="170" s="1"/>
  <c r="B26" i="171"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51"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C9" i="110" s="1"/>
  <c r="B35" i="140"/>
  <c r="I35" i="140" s="1"/>
  <c r="S135" i="140" s="1" a="1"/>
  <c r="S135" i="140" s="1"/>
  <c r="C35" i="140"/>
  <c r="J35" i="140" s="1"/>
  <c r="B33" i="140"/>
  <c r="I33" i="140" s="1"/>
  <c r="C33" i="140"/>
  <c r="J33" i="140" s="1"/>
  <c r="S124" i="140" s="1" a="1"/>
  <c r="S124" i="140" s="1"/>
  <c r="B34" i="140"/>
  <c r="I34" i="140" s="1"/>
  <c r="C34" i="140"/>
  <c r="J34" i="140" s="1"/>
  <c r="B17" i="140"/>
  <c r="I17" i="140" s="1"/>
  <c r="C17" i="140"/>
  <c r="J17" i="140" s="1"/>
  <c r="B18" i="140"/>
  <c r="I18" i="140" s="1"/>
  <c r="S33" i="140" s="1" a="1"/>
  <c r="S33" i="140" s="1"/>
  <c r="C18" i="140"/>
  <c r="J18" i="140" s="1"/>
  <c r="B19" i="140"/>
  <c r="I19" i="140" s="1"/>
  <c r="S39" i="140" s="1" a="1"/>
  <c r="S39" i="140" s="1"/>
  <c r="C19" i="140"/>
  <c r="J19" i="140" s="1"/>
  <c r="B20" i="140"/>
  <c r="I20" i="140" s="1"/>
  <c r="C20" i="140"/>
  <c r="J20" i="140" s="1"/>
  <c r="B21" i="140"/>
  <c r="I21" i="140" s="1"/>
  <c r="C21" i="140"/>
  <c r="J21" i="140" s="1"/>
  <c r="B22" i="140"/>
  <c r="I22" i="140" s="1"/>
  <c r="S57" i="140" s="1" a="1"/>
  <c r="S57" i="140" s="1"/>
  <c r="C22" i="140"/>
  <c r="J22" i="140" s="1"/>
  <c r="B23" i="140"/>
  <c r="I23" i="140" s="1"/>
  <c r="S63" i="140" s="1" a="1"/>
  <c r="S63" i="140" s="1"/>
  <c r="C23" i="140"/>
  <c r="J23" i="140" s="1"/>
  <c r="B24" i="140"/>
  <c r="I24" i="140" s="1"/>
  <c r="C24" i="140"/>
  <c r="J24" i="140" s="1"/>
  <c r="B25" i="140"/>
  <c r="I25" i="140" s="1"/>
  <c r="C25" i="140"/>
  <c r="J25" i="140" s="1"/>
  <c r="B26" i="140"/>
  <c r="I26" i="140" s="1"/>
  <c r="S81" i="140" s="1" a="1"/>
  <c r="S81" i="140" s="1"/>
  <c r="C26" i="140"/>
  <c r="J26" i="140" s="1"/>
  <c r="B27" i="140"/>
  <c r="I27" i="140" s="1"/>
  <c r="C27" i="140"/>
  <c r="J27" i="140" s="1"/>
  <c r="B28" i="140"/>
  <c r="I28" i="140" s="1"/>
  <c r="C28" i="140"/>
  <c r="J28" i="140" s="1"/>
  <c r="B29" i="140"/>
  <c r="I29" i="140" s="1"/>
  <c r="C29" i="140"/>
  <c r="J29" i="140" s="1"/>
  <c r="B30" i="140"/>
  <c r="I30" i="140" s="1"/>
  <c r="S105" i="140" s="1" a="1"/>
  <c r="S105" i="140" s="1"/>
  <c r="C30" i="140"/>
  <c r="J30" i="140" s="1"/>
  <c r="B31" i="140"/>
  <c r="I31" i="140" s="1"/>
  <c r="C31" i="140"/>
  <c r="J31" i="140" s="1"/>
  <c r="B32" i="140"/>
  <c r="I32" i="140" s="1"/>
  <c r="C32" i="140"/>
  <c r="J32" i="140" s="1"/>
  <c r="S118" i="140" s="1" a="1"/>
  <c r="S118" i="14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I32" i="170" s="1"/>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B439" i="171" s="1"/>
  <c r="R146" i="169"/>
  <c r="Q147" i="169"/>
  <c r="R147" i="169"/>
  <c r="S147" i="169" a="1"/>
  <c r="S147" i="169" s="1"/>
  <c r="B440" i="171" s="1"/>
  <c r="Q148" i="169"/>
  <c r="S148" i="169" s="1" a="1"/>
  <c r="S148" i="169" s="1"/>
  <c r="B441" i="171" s="1"/>
  <c r="R148" i="169"/>
  <c r="Q149" i="169"/>
  <c r="R149" i="169"/>
  <c r="S149" i="169" a="1"/>
  <c r="S149" i="169" s="1"/>
  <c r="B442" i="171" s="1"/>
  <c r="Q150" i="169"/>
  <c r="S150" i="169" s="1" a="1"/>
  <c r="S150" i="169" s="1"/>
  <c r="B443" i="171" s="1"/>
  <c r="R150" i="169"/>
  <c r="Q151" i="169"/>
  <c r="R151" i="169"/>
  <c r="S151" i="169" a="1"/>
  <c r="S151" i="169" s="1"/>
  <c r="B444"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B425" i="171" s="1"/>
  <c r="Q133" i="169"/>
  <c r="S133" i="169" s="1" a="1"/>
  <c r="S133" i="169" s="1"/>
  <c r="B426" i="171" s="1"/>
  <c r="R133" i="169"/>
  <c r="Q134" i="169"/>
  <c r="R134" i="169"/>
  <c r="S134" i="169" s="1" a="1"/>
  <c r="S134" i="169" s="1"/>
  <c r="B427" i="171" s="1"/>
  <c r="Q135" i="169"/>
  <c r="S135" i="169" s="1" a="1"/>
  <c r="S135" i="169" s="1"/>
  <c r="B428" i="171" s="1"/>
  <c r="R135" i="169"/>
  <c r="Q136" i="169"/>
  <c r="R136" i="169"/>
  <c r="S136" i="169" s="1" a="1"/>
  <c r="S136" i="169" s="1"/>
  <c r="B429" i="171" s="1"/>
  <c r="Q137" i="169"/>
  <c r="R137" i="169"/>
  <c r="Q138" i="169"/>
  <c r="R138" i="169"/>
  <c r="S138" i="169" s="1" a="1"/>
  <c r="S138" i="169" s="1"/>
  <c r="B431" i="171" s="1"/>
  <c r="Q139" i="169"/>
  <c r="S139" i="169" s="1" a="1"/>
  <c r="S139" i="169" s="1"/>
  <c r="B432" i="171" s="1"/>
  <c r="R139" i="169"/>
  <c r="Q140" i="169"/>
  <c r="R140" i="169"/>
  <c r="S140" i="169" s="1" a="1"/>
  <c r="S140" i="169" s="1"/>
  <c r="B433" i="171" s="1"/>
  <c r="Q141" i="169"/>
  <c r="S141" i="169" s="1" a="1"/>
  <c r="S141" i="169" s="1"/>
  <c r="B434" i="171" s="1"/>
  <c r="R141" i="169"/>
  <c r="Q142" i="169"/>
  <c r="R142" i="169"/>
  <c r="S142" i="169" s="1" a="1"/>
  <c r="S142" i="169" s="1"/>
  <c r="B435" i="171" s="1"/>
  <c r="Q143" i="169"/>
  <c r="R143" i="169"/>
  <c r="Q144" i="169"/>
  <c r="R144" i="169"/>
  <c r="S144" i="169" s="1" a="1"/>
  <c r="S144" i="169" s="1"/>
  <c r="B437" i="171" s="1"/>
  <c r="Q145" i="169"/>
  <c r="S145" i="169" s="1" a="1"/>
  <c r="S145" i="169" s="1"/>
  <c r="B438" i="171" s="1"/>
  <c r="R145" i="169"/>
  <c r="S116" i="169" a="1"/>
  <c r="S116" i="169" s="1"/>
  <c r="B409" i="171" s="1"/>
  <c r="S117" i="169" a="1"/>
  <c r="S117" i="169" s="1"/>
  <c r="B410" i="171" s="1"/>
  <c r="S118" i="169" a="1"/>
  <c r="S118" i="169" s="1"/>
  <c r="B411" i="171" s="1"/>
  <c r="S120" i="169" a="1"/>
  <c r="S120" i="169" s="1"/>
  <c r="B413" i="171" s="1"/>
  <c r="S121" i="169" a="1"/>
  <c r="S121" i="169" s="1"/>
  <c r="B414" i="171" s="1"/>
  <c r="S122" i="169" a="1"/>
  <c r="S122" i="169" s="1"/>
  <c r="B415" i="171" s="1"/>
  <c r="S123" i="169" a="1"/>
  <c r="S123" i="169" s="1"/>
  <c r="B416" i="171" s="1"/>
  <c r="S124" i="169" a="1"/>
  <c r="S124" i="169" s="1"/>
  <c r="B417" i="171" s="1"/>
  <c r="S126" i="169" a="1"/>
  <c r="S126" i="169" s="1"/>
  <c r="B419" i="171" s="1"/>
  <c r="S127" i="169" a="1"/>
  <c r="S127" i="169" s="1"/>
  <c r="B420" i="171" s="1"/>
  <c r="S128" i="169" a="1"/>
  <c r="S128" i="169" s="1"/>
  <c r="B421" i="171" s="1"/>
  <c r="S129" i="169" a="1"/>
  <c r="S129" i="169" s="1"/>
  <c r="B422" i="171" s="1"/>
  <c r="S130" i="169" a="1"/>
  <c r="S130" i="169" s="1"/>
  <c r="B423" i="171" s="1"/>
  <c r="S17" i="169" a="1"/>
  <c r="S17" i="169" s="1"/>
  <c r="B310" i="171" s="1"/>
  <c r="S18" i="169" a="1"/>
  <c r="S18" i="169" s="1"/>
  <c r="B311" i="171" s="1"/>
  <c r="S19" i="169" a="1"/>
  <c r="S19" i="169" s="1"/>
  <c r="B312" i="171" s="1"/>
  <c r="S20" i="169" a="1"/>
  <c r="S20" i="169" s="1"/>
  <c r="B313" i="171" s="1"/>
  <c r="S21" i="169" a="1"/>
  <c r="S21" i="169" s="1"/>
  <c r="B314" i="171" s="1"/>
  <c r="S22" i="169" a="1"/>
  <c r="S22" i="169" s="1"/>
  <c r="B315" i="171" s="1"/>
  <c r="S23" i="169" a="1"/>
  <c r="S23" i="169" s="1"/>
  <c r="B316" i="171" s="1"/>
  <c r="S24" i="169" a="1"/>
  <c r="S24" i="169" s="1"/>
  <c r="B317" i="171" s="1"/>
  <c r="S25" i="169" a="1"/>
  <c r="S25" i="169" s="1"/>
  <c r="B318" i="171" s="1"/>
  <c r="S26" i="169" a="1"/>
  <c r="S26" i="169" s="1"/>
  <c r="B319" i="171" s="1"/>
  <c r="S27" i="169" a="1"/>
  <c r="S27" i="169" s="1"/>
  <c r="B320" i="171" s="1"/>
  <c r="S28" i="169" a="1"/>
  <c r="S28" i="169" s="1"/>
  <c r="B321" i="171" s="1"/>
  <c r="S30" i="169" a="1"/>
  <c r="S30" i="169" s="1"/>
  <c r="B323" i="171" s="1"/>
  <c r="S31" i="169" a="1"/>
  <c r="S31" i="169" s="1"/>
  <c r="B324" i="171" s="1"/>
  <c r="S32" i="169" a="1"/>
  <c r="S32" i="169" s="1"/>
  <c r="B325" i="171" s="1"/>
  <c r="S33" i="169" a="1"/>
  <c r="S33" i="169" s="1"/>
  <c r="B326" i="171" s="1"/>
  <c r="S34" i="169" a="1"/>
  <c r="S34" i="169" s="1"/>
  <c r="B327" i="171" s="1"/>
  <c r="S36" i="169" a="1"/>
  <c r="S36" i="169" s="1"/>
  <c r="B329" i="171" s="1"/>
  <c r="S37" i="169" a="1"/>
  <c r="S37" i="169" s="1"/>
  <c r="B330" i="171" s="1"/>
  <c r="S38" i="169" a="1"/>
  <c r="S38" i="169" s="1"/>
  <c r="B331" i="171" s="1"/>
  <c r="S39" i="169" a="1"/>
  <c r="S39" i="169" s="1"/>
  <c r="B332" i="171" s="1"/>
  <c r="S40" i="169" a="1"/>
  <c r="S40" i="169" s="1"/>
  <c r="B333" i="171" s="1"/>
  <c r="S41" i="169" a="1"/>
  <c r="S41" i="169" s="1"/>
  <c r="B334" i="171" s="1"/>
  <c r="S42" i="169" a="1"/>
  <c r="S42" i="169" s="1"/>
  <c r="B335" i="171" s="1"/>
  <c r="S43" i="169" a="1"/>
  <c r="S43" i="169" s="1"/>
  <c r="B336" i="171" s="1"/>
  <c r="S44" i="169" a="1"/>
  <c r="S44" i="169" s="1"/>
  <c r="B337" i="171" s="1"/>
  <c r="S45" i="169" a="1"/>
  <c r="S45" i="169" s="1"/>
  <c r="B338" i="171" s="1"/>
  <c r="S46" i="169" a="1"/>
  <c r="S46" i="169" s="1"/>
  <c r="B339" i="171" s="1"/>
  <c r="S48" i="169" a="1"/>
  <c r="S48" i="169" s="1"/>
  <c r="B341" i="171" s="1"/>
  <c r="S49" i="169" a="1"/>
  <c r="S49" i="169" s="1"/>
  <c r="B342" i="171" s="1"/>
  <c r="S50" i="169" a="1"/>
  <c r="S50" i="169" s="1"/>
  <c r="B343" i="171" s="1"/>
  <c r="S51" i="169" a="1"/>
  <c r="S51" i="169" s="1"/>
  <c r="B344" i="171" s="1"/>
  <c r="S52" i="169" a="1"/>
  <c r="S52" i="169" s="1"/>
  <c r="B345" i="171" s="1"/>
  <c r="S54" i="169" a="1"/>
  <c r="S54" i="169" s="1"/>
  <c r="B347" i="171" s="1"/>
  <c r="S55" i="169" a="1"/>
  <c r="S55" i="169" s="1"/>
  <c r="B348" i="171" s="1"/>
  <c r="S56" i="169" a="1"/>
  <c r="S56" i="169" s="1"/>
  <c r="B349" i="171" s="1"/>
  <c r="S62" i="169" a="1"/>
  <c r="S62" i="169" s="1"/>
  <c r="B355" i="171" s="1"/>
  <c r="S63" i="169" a="1"/>
  <c r="S63" i="169" s="1"/>
  <c r="B356" i="171" s="1"/>
  <c r="S64" i="169" a="1"/>
  <c r="S64" i="169" s="1"/>
  <c r="B357" i="171" s="1"/>
  <c r="S66" i="169" a="1"/>
  <c r="S66" i="169" s="1"/>
  <c r="B359" i="171" s="1"/>
  <c r="S67" i="169" a="1"/>
  <c r="S67" i="169" s="1"/>
  <c r="B360" i="171" s="1"/>
  <c r="S68" i="169" a="1"/>
  <c r="S68" i="169" s="1"/>
  <c r="B361" i="171" s="1"/>
  <c r="S69" i="169" a="1"/>
  <c r="S69" i="169" s="1"/>
  <c r="B362" i="171" s="1"/>
  <c r="S70" i="169" a="1"/>
  <c r="S70" i="169" s="1"/>
  <c r="B363" i="171" s="1"/>
  <c r="S72" i="169" a="1"/>
  <c r="S72" i="169" s="1"/>
  <c r="B365" i="171" s="1"/>
  <c r="S73" i="169" a="1"/>
  <c r="S73" i="169" s="1"/>
  <c r="B366" i="171" s="1"/>
  <c r="S74" i="169" a="1"/>
  <c r="S74" i="169" s="1"/>
  <c r="B367" i="171" s="1"/>
  <c r="S75" i="169" a="1"/>
  <c r="S75" i="169" s="1"/>
  <c r="B368" i="171" s="1"/>
  <c r="S76" i="169" a="1"/>
  <c r="S76" i="169" s="1"/>
  <c r="B369" i="171" s="1"/>
  <c r="S78" i="169" a="1"/>
  <c r="S78" i="169" s="1"/>
  <c r="B371" i="171" s="1"/>
  <c r="S79" i="169" a="1"/>
  <c r="S79" i="169" s="1"/>
  <c r="B372" i="171" s="1"/>
  <c r="S80" i="169" a="1"/>
  <c r="S80" i="169" s="1"/>
  <c r="B373" i="171" s="1"/>
  <c r="S81" i="169" a="1"/>
  <c r="S81" i="169" s="1"/>
  <c r="B374" i="171" s="1"/>
  <c r="S82" i="169" a="1"/>
  <c r="S82" i="169" s="1"/>
  <c r="B375" i="171" s="1"/>
  <c r="S84" i="169" a="1"/>
  <c r="S84" i="169" s="1"/>
  <c r="B377" i="171" s="1"/>
  <c r="S85" i="169" a="1"/>
  <c r="S85" i="169" s="1"/>
  <c r="B378" i="171" s="1"/>
  <c r="S86" i="169" a="1"/>
  <c r="S86" i="169" s="1"/>
  <c r="B379" i="171" s="1"/>
  <c r="S87" i="169" a="1"/>
  <c r="S87" i="169" s="1"/>
  <c r="B380" i="171" s="1"/>
  <c r="S88" i="169" a="1"/>
  <c r="S88" i="169" s="1"/>
  <c r="B381" i="171" s="1"/>
  <c r="S90" i="169" a="1"/>
  <c r="S90" i="169" s="1"/>
  <c r="B383" i="171" s="1"/>
  <c r="S91" i="169" a="1"/>
  <c r="S91" i="169" s="1"/>
  <c r="B384" i="171" s="1"/>
  <c r="S92" i="169" a="1"/>
  <c r="S92" i="169" s="1"/>
  <c r="B385" i="171" s="1"/>
  <c r="S93" i="169" a="1"/>
  <c r="S93" i="169" s="1"/>
  <c r="B386" i="171" s="1"/>
  <c r="S94" i="169" a="1"/>
  <c r="S94" i="169" s="1"/>
  <c r="B387" i="171" s="1"/>
  <c r="S96" i="169" a="1"/>
  <c r="S96" i="169" s="1"/>
  <c r="B389" i="171" s="1"/>
  <c r="S97" i="169" a="1"/>
  <c r="S97" i="169" s="1"/>
  <c r="B390" i="171" s="1"/>
  <c r="S98" i="169" a="1"/>
  <c r="S98" i="169" s="1"/>
  <c r="B391" i="171" s="1"/>
  <c r="S99" i="169" a="1"/>
  <c r="S99" i="169" s="1"/>
  <c r="B392" i="171" s="1"/>
  <c r="S100" i="169" a="1"/>
  <c r="S100" i="169" s="1"/>
  <c r="B393" i="171" s="1"/>
  <c r="S102" i="169" a="1"/>
  <c r="S102" i="169" s="1"/>
  <c r="B395" i="171" s="1"/>
  <c r="S103" i="169" a="1"/>
  <c r="S103" i="169" s="1"/>
  <c r="B396" i="171" s="1"/>
  <c r="S104" i="169" a="1"/>
  <c r="S104" i="169" s="1"/>
  <c r="B397" i="171" s="1"/>
  <c r="S107" i="169" a="1"/>
  <c r="S107" i="169" s="1"/>
  <c r="B400" i="171" s="1"/>
  <c r="S108" i="169" a="1"/>
  <c r="S108" i="169" s="1"/>
  <c r="B401" i="171" s="1"/>
  <c r="S109" i="169" a="1"/>
  <c r="S109" i="169" s="1"/>
  <c r="B402" i="171" s="1"/>
  <c r="S110" i="169" a="1"/>
  <c r="S110" i="169" s="1"/>
  <c r="B403" i="171" s="1"/>
  <c r="S111" i="169" a="1"/>
  <c r="S111" i="169" s="1"/>
  <c r="B404" i="171" s="1"/>
  <c r="S112" i="169" a="1"/>
  <c r="S112" i="169" s="1"/>
  <c r="B405" i="171" s="1"/>
  <c r="S114" i="169" a="1"/>
  <c r="S114" i="169" s="1"/>
  <c r="B407" i="171" s="1"/>
  <c r="S115" i="169" a="1"/>
  <c r="S115" i="169" s="1"/>
  <c r="B408"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S95" i="169" s="1" a="1"/>
  <c r="S95" i="169" s="1"/>
  <c r="B388" i="171" s="1"/>
  <c r="L28" i="169"/>
  <c r="M28" i="169"/>
  <c r="N28" i="169"/>
  <c r="I29" i="169"/>
  <c r="J29" i="169"/>
  <c r="K29" i="169"/>
  <c r="S101" i="169" s="1" a="1"/>
  <c r="S101" i="169" s="1"/>
  <c r="B394" i="171" s="1"/>
  <c r="L29" i="169"/>
  <c r="M29" i="169"/>
  <c r="N29" i="169"/>
  <c r="K30" i="169"/>
  <c r="L30" i="169"/>
  <c r="M30" i="169"/>
  <c r="N30" i="169"/>
  <c r="I31" i="169"/>
  <c r="J31" i="169"/>
  <c r="K31" i="169"/>
  <c r="S113" i="169" s="1" a="1"/>
  <c r="S113" i="169" s="1"/>
  <c r="B406" i="171" s="1"/>
  <c r="L31" i="169"/>
  <c r="M31" i="169"/>
  <c r="N31" i="169"/>
  <c r="I32" i="169"/>
  <c r="J32" i="169"/>
  <c r="K32" i="169"/>
  <c r="S119" i="169" s="1" a="1"/>
  <c r="S119" i="169" s="1"/>
  <c r="B412" i="171" s="1"/>
  <c r="L32" i="169"/>
  <c r="M32" i="169"/>
  <c r="N32" i="169"/>
  <c r="I33" i="169"/>
  <c r="J33" i="169"/>
  <c r="K33" i="169"/>
  <c r="S125" i="169" s="1" a="1"/>
  <c r="S125" i="169" s="1"/>
  <c r="B418"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S29" i="169" s="1" a="1"/>
  <c r="S29" i="169" s="1"/>
  <c r="B322" i="171" s="1"/>
  <c r="L17" i="169"/>
  <c r="M17" i="169"/>
  <c r="N17" i="169"/>
  <c r="I18" i="169"/>
  <c r="J18" i="169"/>
  <c r="K18" i="169"/>
  <c r="S35" i="169" s="1" a="1"/>
  <c r="S35" i="169" s="1"/>
  <c r="B328" i="171" s="1"/>
  <c r="L18" i="169"/>
  <c r="M18" i="169"/>
  <c r="N18" i="169"/>
  <c r="I19" i="169"/>
  <c r="J19" i="169"/>
  <c r="K19" i="169"/>
  <c r="L19" i="169"/>
  <c r="M19" i="169"/>
  <c r="N19" i="169"/>
  <c r="I20" i="169"/>
  <c r="J20" i="169"/>
  <c r="K20" i="169"/>
  <c r="S47" i="169" s="1" a="1"/>
  <c r="S47" i="169" s="1"/>
  <c r="B340" i="171" s="1"/>
  <c r="L20" i="169"/>
  <c r="M20" i="169"/>
  <c r="N20" i="169"/>
  <c r="I21" i="169"/>
  <c r="J21" i="169"/>
  <c r="K21" i="169"/>
  <c r="S53" i="169" s="1" a="1"/>
  <c r="S53" i="169" s="1"/>
  <c r="B346" i="171" s="1"/>
  <c r="L21" i="169"/>
  <c r="M21" i="169"/>
  <c r="N21" i="169"/>
  <c r="I22" i="169"/>
  <c r="S57" i="169" s="1" a="1"/>
  <c r="S57" i="169" s="1"/>
  <c r="B350" i="171" s="1"/>
  <c r="J22" i="169"/>
  <c r="S58" i="169" s="1" a="1"/>
  <c r="S58" i="169" s="1"/>
  <c r="K22" i="169"/>
  <c r="S59" i="169" s="1" a="1"/>
  <c r="S59" i="169" s="1"/>
  <c r="B352" i="171" s="1"/>
  <c r="L22" i="169"/>
  <c r="S60" i="169" s="1" a="1"/>
  <c r="S60" i="169" s="1"/>
  <c r="B353" i="171" s="1"/>
  <c r="M22" i="169"/>
  <c r="S61" i="169" s="1" a="1"/>
  <c r="S61" i="169" s="1"/>
  <c r="B354" i="171" s="1"/>
  <c r="N22" i="169"/>
  <c r="I23" i="169"/>
  <c r="J23" i="169"/>
  <c r="K23" i="169"/>
  <c r="S65" i="169" s="1" a="1"/>
  <c r="S65" i="169" s="1"/>
  <c r="B358" i="171" s="1"/>
  <c r="L23" i="169"/>
  <c r="M23" i="169"/>
  <c r="N23" i="169"/>
  <c r="I24" i="169"/>
  <c r="J24" i="169"/>
  <c r="K24" i="169"/>
  <c r="S71" i="169" s="1" a="1"/>
  <c r="S71" i="169" s="1"/>
  <c r="B364" i="171" s="1"/>
  <c r="L24" i="169"/>
  <c r="M24" i="169"/>
  <c r="N24" i="169"/>
  <c r="I25" i="169"/>
  <c r="J25" i="169"/>
  <c r="K25" i="169"/>
  <c r="S77" i="169" s="1" a="1"/>
  <c r="S77" i="169" s="1"/>
  <c r="B370" i="171" s="1"/>
  <c r="L25" i="169"/>
  <c r="M25" i="169"/>
  <c r="N25" i="169"/>
  <c r="I26" i="169"/>
  <c r="J26" i="169"/>
  <c r="K26" i="169"/>
  <c r="S83" i="169" s="1" a="1"/>
  <c r="S83" i="169" s="1"/>
  <c r="B376" i="171" s="1"/>
  <c r="L26" i="169"/>
  <c r="M26" i="169"/>
  <c r="N26" i="169"/>
  <c r="I27" i="169"/>
  <c r="J27" i="169"/>
  <c r="K27" i="169"/>
  <c r="S89" i="169" s="1" a="1"/>
  <c r="S89" i="169" s="1"/>
  <c r="B382" i="171" s="1"/>
  <c r="L27" i="169"/>
  <c r="M27" i="169"/>
  <c r="N27" i="169"/>
  <c r="I16" i="169"/>
  <c r="J16" i="169"/>
  <c r="K16" i="169"/>
  <c r="L16" i="169"/>
  <c r="M16" i="169"/>
  <c r="N16" i="169"/>
  <c r="Q120" i="168"/>
  <c r="R120" i="168"/>
  <c r="S120" i="168" a="1"/>
  <c r="S120" i="168" s="1"/>
  <c r="B295" i="171" s="1"/>
  <c r="Q121" i="168"/>
  <c r="R121" i="168"/>
  <c r="S121" i="168" a="1"/>
  <c r="S121" i="168" s="1"/>
  <c r="B296" i="171" s="1"/>
  <c r="Q122" i="168"/>
  <c r="R122" i="168"/>
  <c r="S122" i="168" a="1"/>
  <c r="S122" i="168" s="1"/>
  <c r="B297" i="171" s="1"/>
  <c r="Q123" i="168"/>
  <c r="R123" i="168"/>
  <c r="S123" i="168" a="1"/>
  <c r="S123" i="168" s="1"/>
  <c r="B298" i="171" s="1"/>
  <c r="Q124" i="168"/>
  <c r="R124" i="168"/>
  <c r="S124" i="168" a="1"/>
  <c r="S124" i="168" s="1"/>
  <c r="B299" i="171" s="1"/>
  <c r="Q125" i="168"/>
  <c r="R125" i="168"/>
  <c r="S125" i="168" a="1"/>
  <c r="S125" i="168" s="1"/>
  <c r="B300" i="171" s="1"/>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73" i="171" s="1"/>
  <c r="Q99" i="168"/>
  <c r="S99" i="168" s="1" a="1"/>
  <c r="S99" i="168" s="1"/>
  <c r="B274" i="171" s="1"/>
  <c r="R99" i="168"/>
  <c r="Q100" i="168"/>
  <c r="S100" i="168" s="1" a="1"/>
  <c r="S100" i="168" s="1"/>
  <c r="B275" i="171" s="1"/>
  <c r="R100" i="168"/>
  <c r="Q101" i="168"/>
  <c r="R101" i="168"/>
  <c r="Q102" i="168"/>
  <c r="S102" i="168" s="1" a="1"/>
  <c r="S102" i="168" s="1"/>
  <c r="B277" i="171" s="1"/>
  <c r="R102" i="168"/>
  <c r="Q103" i="168"/>
  <c r="S103" i="168" s="1" a="1"/>
  <c r="S103" i="168" s="1"/>
  <c r="B278" i="171" s="1"/>
  <c r="R103" i="168"/>
  <c r="Q104" i="168"/>
  <c r="S104" i="168" s="1" a="1"/>
  <c r="S104" i="168" s="1"/>
  <c r="B279" i="171" s="1"/>
  <c r="R104" i="168"/>
  <c r="Q105" i="168"/>
  <c r="S105" i="168" s="1" a="1"/>
  <c r="S105" i="168" s="1"/>
  <c r="B280" i="171" s="1"/>
  <c r="R105" i="168"/>
  <c r="Q106" i="168"/>
  <c r="S106" i="168" s="1" a="1"/>
  <c r="S106" i="168" s="1"/>
  <c r="B281" i="171" s="1"/>
  <c r="R106" i="168"/>
  <c r="Q107" i="168"/>
  <c r="R107" i="168"/>
  <c r="Q108" i="168"/>
  <c r="S108" i="168" s="1" a="1"/>
  <c r="S108" i="168" s="1"/>
  <c r="B283" i="171" s="1"/>
  <c r="R108" i="168"/>
  <c r="Q109" i="168"/>
  <c r="S109" i="168" s="1" a="1"/>
  <c r="S109" i="168" s="1"/>
  <c r="B284" i="171" s="1"/>
  <c r="R109" i="168"/>
  <c r="Q110" i="168"/>
  <c r="S110" i="168" s="1" a="1"/>
  <c r="S110" i="168" s="1"/>
  <c r="B285" i="171" s="1"/>
  <c r="R110" i="168"/>
  <c r="Q111" i="168"/>
  <c r="S111" i="168" s="1" a="1"/>
  <c r="S111" i="168" s="1"/>
  <c r="B286" i="171" s="1"/>
  <c r="R111" i="168"/>
  <c r="Q112" i="168"/>
  <c r="S112" i="168" s="1" a="1"/>
  <c r="S112" i="168" s="1"/>
  <c r="B287" i="171" s="1"/>
  <c r="R112" i="168"/>
  <c r="Q113" i="168"/>
  <c r="R113" i="168"/>
  <c r="Q114" i="168"/>
  <c r="S114" i="168" s="1" a="1"/>
  <c r="S114" i="168" s="1"/>
  <c r="B289" i="171" s="1"/>
  <c r="R114" i="168"/>
  <c r="Q115" i="168"/>
  <c r="S115" i="168" s="1" a="1"/>
  <c r="S115" i="168" s="1"/>
  <c r="B290" i="171" s="1"/>
  <c r="R115" i="168"/>
  <c r="Q116" i="168"/>
  <c r="S116" i="168" s="1" a="1"/>
  <c r="S116" i="168" s="1"/>
  <c r="B291" i="171" s="1"/>
  <c r="R116" i="168"/>
  <c r="Q117" i="168"/>
  <c r="S117" i="168" s="1" a="1"/>
  <c r="S117" i="168" s="1"/>
  <c r="B292" i="171" s="1"/>
  <c r="R117" i="168"/>
  <c r="Q118" i="168"/>
  <c r="S118" i="168" s="1" a="1"/>
  <c r="S118" i="168" s="1"/>
  <c r="B293" i="171" s="1"/>
  <c r="R118" i="168"/>
  <c r="Q119" i="168"/>
  <c r="R119" i="168"/>
  <c r="Q85" i="168"/>
  <c r="S85" i="168" s="1" a="1"/>
  <c r="S85" i="168" s="1"/>
  <c r="B260" i="171" s="1"/>
  <c r="R85" i="168"/>
  <c r="Q86" i="168"/>
  <c r="R86" i="168"/>
  <c r="S86" i="168" s="1" a="1"/>
  <c r="S86" i="168" s="1"/>
  <c r="B261" i="171" s="1"/>
  <c r="Q87" i="168"/>
  <c r="S87" i="168" s="1" a="1"/>
  <c r="S87" i="168" s="1"/>
  <c r="B262" i="171" s="1"/>
  <c r="R87" i="168"/>
  <c r="Q88" i="168"/>
  <c r="R88" i="168"/>
  <c r="S88" i="168" s="1" a="1"/>
  <c r="S88" i="168" s="1"/>
  <c r="B263" i="171" s="1"/>
  <c r="Q89" i="168"/>
  <c r="R89" i="168"/>
  <c r="Q90" i="168"/>
  <c r="R90" i="168"/>
  <c r="S90" i="168" s="1" a="1"/>
  <c r="S90" i="168" s="1"/>
  <c r="B265" i="171" s="1"/>
  <c r="Q91" i="168"/>
  <c r="S91" i="168" s="1" a="1"/>
  <c r="S91" i="168" s="1"/>
  <c r="B266" i="171" s="1"/>
  <c r="R91" i="168"/>
  <c r="Q92" i="168"/>
  <c r="R92" i="168"/>
  <c r="S92" i="168" s="1" a="1"/>
  <c r="S92" i="168" s="1"/>
  <c r="B267" i="171" s="1"/>
  <c r="Q93" i="168"/>
  <c r="S93" i="168" s="1" a="1"/>
  <c r="S93" i="168" s="1"/>
  <c r="B268" i="171" s="1"/>
  <c r="R93" i="168"/>
  <c r="Q94" i="168"/>
  <c r="R94" i="168"/>
  <c r="S94" i="168" s="1" a="1"/>
  <c r="S94" i="168" s="1"/>
  <c r="B269" i="171" s="1"/>
  <c r="Q95" i="168"/>
  <c r="R95" i="168"/>
  <c r="Q96" i="168"/>
  <c r="R96" i="168"/>
  <c r="S96" i="168" s="1" a="1"/>
  <c r="S96" i="168" s="1"/>
  <c r="B271" i="171" s="1"/>
  <c r="Q97" i="168"/>
  <c r="S97" i="168" s="1" a="1"/>
  <c r="S97" i="168" s="1"/>
  <c r="B272" i="171" s="1"/>
  <c r="R97" i="168"/>
  <c r="Q69" i="168"/>
  <c r="S69" i="168" s="1" a="1"/>
  <c r="S69" i="168" s="1"/>
  <c r="B244" i="171" s="1"/>
  <c r="R69" i="168"/>
  <c r="Q70" i="168"/>
  <c r="R70" i="168"/>
  <c r="S70" i="168" s="1" a="1"/>
  <c r="S70" i="168" s="1"/>
  <c r="B245" i="171" s="1"/>
  <c r="Q71" i="168"/>
  <c r="S71" i="168" s="1" a="1"/>
  <c r="S71" i="168" s="1"/>
  <c r="B246" i="171" s="1"/>
  <c r="R71" i="168"/>
  <c r="Q72" i="168"/>
  <c r="R72" i="168"/>
  <c r="S72" i="168" s="1" a="1"/>
  <c r="S72" i="168" s="1"/>
  <c r="B247" i="171" s="1"/>
  <c r="Q73" i="168"/>
  <c r="S73" i="168" s="1" a="1"/>
  <c r="S73" i="168" s="1"/>
  <c r="B248" i="171" s="1"/>
  <c r="R73" i="168"/>
  <c r="Q74" i="168"/>
  <c r="R74" i="168"/>
  <c r="S74" i="168" s="1" a="1"/>
  <c r="S74" i="168" s="1"/>
  <c r="B249" i="171" s="1"/>
  <c r="Q75" i="168"/>
  <c r="S75" i="168" s="1" a="1"/>
  <c r="S75" i="168" s="1"/>
  <c r="B250" i="171" s="1"/>
  <c r="R75" i="168"/>
  <c r="Q76" i="168"/>
  <c r="R76" i="168"/>
  <c r="S76" i="168" s="1" a="1"/>
  <c r="S76" i="168" s="1"/>
  <c r="B251" i="171" s="1"/>
  <c r="Q77" i="168"/>
  <c r="R77" i="168"/>
  <c r="Q78" i="168"/>
  <c r="S78" i="168" s="1" a="1"/>
  <c r="S78" i="168" s="1"/>
  <c r="B253" i="171" s="1"/>
  <c r="R78" i="168"/>
  <c r="Q79" i="168"/>
  <c r="S79" i="168" s="1" a="1"/>
  <c r="S79" i="168" s="1"/>
  <c r="B254" i="171" s="1"/>
  <c r="R79" i="168"/>
  <c r="Q80" i="168"/>
  <c r="S80" i="168" s="1" a="1"/>
  <c r="S80" i="168" s="1"/>
  <c r="B255" i="171" s="1"/>
  <c r="R80" i="168"/>
  <c r="Q81" i="168"/>
  <c r="R81" i="168"/>
  <c r="Q82" i="168"/>
  <c r="S82" i="168" s="1" a="1"/>
  <c r="S82" i="168" s="1"/>
  <c r="B257" i="171" s="1"/>
  <c r="R82" i="168"/>
  <c r="Q83" i="168"/>
  <c r="S83" i="168" s="1" a="1"/>
  <c r="S83" i="168" s="1"/>
  <c r="B258" i="171" s="1"/>
  <c r="R83" i="168"/>
  <c r="Q84" i="168"/>
  <c r="S84" i="168" s="1" a="1"/>
  <c r="S84" i="168" s="1"/>
  <c r="B259" i="171" s="1"/>
  <c r="R84" i="168"/>
  <c r="Q53" i="168"/>
  <c r="R53" i="168"/>
  <c r="Q54" i="168"/>
  <c r="R54" i="168"/>
  <c r="S54" i="168" a="1"/>
  <c r="S54" i="168" s="1"/>
  <c r="B229" i="171" s="1"/>
  <c r="Q55" i="168"/>
  <c r="R55" i="168"/>
  <c r="S55" i="168" a="1"/>
  <c r="S55" i="168" s="1"/>
  <c r="B230" i="171" s="1"/>
  <c r="Q56" i="168"/>
  <c r="R56" i="168"/>
  <c r="S56" i="168" a="1"/>
  <c r="S56" i="168" s="1"/>
  <c r="B231" i="171" s="1"/>
  <c r="Q57" i="168"/>
  <c r="R57" i="168"/>
  <c r="S57" i="168" a="1"/>
  <c r="S57" i="168" s="1"/>
  <c r="B232" i="171" s="1"/>
  <c r="Q58" i="168"/>
  <c r="R58" i="168"/>
  <c r="S58" i="168" a="1"/>
  <c r="S58" i="168" s="1"/>
  <c r="B233" i="171" s="1"/>
  <c r="Q59" i="168"/>
  <c r="R59" i="168"/>
  <c r="S59" i="168" a="1"/>
  <c r="S59" i="168" s="1"/>
  <c r="B234" i="171" s="1"/>
  <c r="Q60" i="168"/>
  <c r="R60" i="168"/>
  <c r="S60" i="168" a="1"/>
  <c r="S60" i="168" s="1"/>
  <c r="B235" i="171" s="1"/>
  <c r="Q61" i="168"/>
  <c r="R61" i="168"/>
  <c r="S61" i="168" a="1"/>
  <c r="S61" i="168" s="1"/>
  <c r="B236" i="171" s="1"/>
  <c r="Q62" i="168"/>
  <c r="R62" i="168"/>
  <c r="S62" i="168" a="1"/>
  <c r="S62" i="168" s="1"/>
  <c r="B237" i="171" s="1"/>
  <c r="Q63" i="168"/>
  <c r="R63" i="168"/>
  <c r="S63" i="168" a="1"/>
  <c r="S63" i="168" s="1"/>
  <c r="B238" i="171" s="1"/>
  <c r="Q64" i="168"/>
  <c r="R64" i="168"/>
  <c r="S64" i="168" a="1"/>
  <c r="S64" i="168" s="1"/>
  <c r="B239" i="171" s="1"/>
  <c r="Q65" i="168"/>
  <c r="R65" i="168"/>
  <c r="Q66" i="168"/>
  <c r="R66" i="168"/>
  <c r="S66" i="168" a="1"/>
  <c r="S66" i="168" s="1"/>
  <c r="B241" i="171" s="1"/>
  <c r="Q67" i="168"/>
  <c r="R67" i="168"/>
  <c r="S67" i="168" a="1"/>
  <c r="S67" i="168" s="1"/>
  <c r="B242" i="171" s="1"/>
  <c r="Q68" i="168"/>
  <c r="R68" i="168"/>
  <c r="S68" i="168" a="1"/>
  <c r="S68" i="168" s="1"/>
  <c r="B243" i="171" s="1"/>
  <c r="S17" i="168" a="1"/>
  <c r="S17" i="168" s="1"/>
  <c r="B192" i="171" s="1"/>
  <c r="S18" i="168" a="1"/>
  <c r="S18" i="168" s="1"/>
  <c r="B193" i="171" s="1"/>
  <c r="S19" i="168" a="1"/>
  <c r="S19" i="168" s="1"/>
  <c r="B194" i="171" s="1"/>
  <c r="S20" i="168" a="1"/>
  <c r="S20" i="168" s="1"/>
  <c r="B195" i="171" s="1"/>
  <c r="S21" i="168" a="1"/>
  <c r="S21" i="168" s="1"/>
  <c r="B196" i="171" s="1"/>
  <c r="S22" i="168" a="1"/>
  <c r="S22" i="168" s="1"/>
  <c r="B197" i="171" s="1"/>
  <c r="S23" i="168" a="1"/>
  <c r="S23" i="168" s="1"/>
  <c r="B198" i="171" s="1"/>
  <c r="S24" i="168" a="1"/>
  <c r="S24" i="168" s="1"/>
  <c r="B199" i="171" s="1"/>
  <c r="S25" i="168" a="1"/>
  <c r="S25" i="168" s="1"/>
  <c r="B200" i="171" s="1"/>
  <c r="S26" i="168" a="1"/>
  <c r="S26" i="168" s="1"/>
  <c r="B201" i="171" s="1"/>
  <c r="S27" i="168" a="1"/>
  <c r="S27" i="168" s="1"/>
  <c r="B202" i="171" s="1"/>
  <c r="S28" i="168" a="1"/>
  <c r="S28" i="168" s="1"/>
  <c r="B203" i="171" s="1"/>
  <c r="S29" i="168" a="1"/>
  <c r="S29" i="168" s="1"/>
  <c r="B204" i="171" s="1"/>
  <c r="S30" i="168" a="1"/>
  <c r="S30" i="168" s="1"/>
  <c r="B205" i="171" s="1"/>
  <c r="S31" i="168" a="1"/>
  <c r="S31" i="168" s="1"/>
  <c r="B206" i="171" s="1"/>
  <c r="S32" i="168" a="1"/>
  <c r="S32" i="168" s="1"/>
  <c r="B207" i="171" s="1"/>
  <c r="S33" i="168" a="1"/>
  <c r="S33" i="168" s="1"/>
  <c r="B208" i="171" s="1"/>
  <c r="S34" i="168" a="1"/>
  <c r="S34" i="168" s="1"/>
  <c r="B209" i="171" s="1"/>
  <c r="S36" i="168" a="1"/>
  <c r="S36" i="168" s="1"/>
  <c r="B211" i="171" s="1"/>
  <c r="S37" i="168" a="1"/>
  <c r="S37" i="168" s="1"/>
  <c r="B212" i="171" s="1"/>
  <c r="S38" i="168" a="1"/>
  <c r="S38" i="168" s="1"/>
  <c r="B213" i="171" s="1"/>
  <c r="S39" i="168" a="1"/>
  <c r="S39" i="168" s="1"/>
  <c r="B214" i="171" s="1"/>
  <c r="S40" i="168" a="1"/>
  <c r="S40" i="168" s="1"/>
  <c r="B215" i="171" s="1"/>
  <c r="S41" i="168" a="1"/>
  <c r="S41" i="168" s="1"/>
  <c r="B216" i="171" s="1"/>
  <c r="S42" i="168" a="1"/>
  <c r="S42" i="168" s="1"/>
  <c r="B217" i="171" s="1"/>
  <c r="S43" i="168" a="1"/>
  <c r="S43" i="168" s="1"/>
  <c r="B218" i="171" s="1"/>
  <c r="S44" i="168" a="1"/>
  <c r="S44" i="168" s="1"/>
  <c r="B219" i="171" s="1"/>
  <c r="S45" i="168" a="1"/>
  <c r="S45" i="168" s="1"/>
  <c r="B220" i="171" s="1"/>
  <c r="S46" i="168" a="1"/>
  <c r="S46" i="168" s="1"/>
  <c r="B221" i="171" s="1"/>
  <c r="S48" i="168" a="1"/>
  <c r="S48" i="168" s="1"/>
  <c r="B223" i="171" s="1"/>
  <c r="S49" i="168" a="1"/>
  <c r="S49" i="168" s="1"/>
  <c r="B224" i="171" s="1"/>
  <c r="S50" i="168" a="1"/>
  <c r="S50" i="168" s="1"/>
  <c r="B225" i="171" s="1"/>
  <c r="S51" i="168" a="1"/>
  <c r="S51" i="168" s="1"/>
  <c r="B226" i="171" s="1"/>
  <c r="S52" i="168" a="1"/>
  <c r="S52" i="168" s="1"/>
  <c r="B227" i="171" s="1"/>
  <c r="I20" i="168"/>
  <c r="J20" i="168"/>
  <c r="K20" i="168"/>
  <c r="S47" i="168" s="1" a="1"/>
  <c r="S47" i="168" s="1"/>
  <c r="B222" i="171" s="1"/>
  <c r="L20" i="168"/>
  <c r="M20" i="168"/>
  <c r="N20" i="168"/>
  <c r="I21" i="168"/>
  <c r="J21" i="168"/>
  <c r="K21" i="168"/>
  <c r="S53" i="168" s="1" a="1"/>
  <c r="S53" i="168" s="1"/>
  <c r="B228" i="171" s="1"/>
  <c r="L21" i="168"/>
  <c r="M21" i="168"/>
  <c r="N21" i="168"/>
  <c r="I22" i="168"/>
  <c r="J22" i="168"/>
  <c r="K22" i="168"/>
  <c r="L22" i="168"/>
  <c r="M22" i="168"/>
  <c r="N22" i="168"/>
  <c r="I23" i="168"/>
  <c r="J23" i="168"/>
  <c r="K23" i="168"/>
  <c r="S65" i="168" s="1" a="1"/>
  <c r="S65" i="168" s="1"/>
  <c r="B240" i="171" s="1"/>
  <c r="L23" i="168"/>
  <c r="M23" i="168"/>
  <c r="N23" i="168"/>
  <c r="I24" i="168"/>
  <c r="J24" i="168"/>
  <c r="K24" i="168"/>
  <c r="L24" i="168"/>
  <c r="M24" i="168"/>
  <c r="N24" i="168"/>
  <c r="I25" i="168"/>
  <c r="J25" i="168"/>
  <c r="K25" i="168"/>
  <c r="L25" i="168"/>
  <c r="M25" i="168"/>
  <c r="N25"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210" i="171" s="1"/>
  <c r="L18" i="168"/>
  <c r="M18" i="168"/>
  <c r="N18" i="168"/>
  <c r="I19" i="168"/>
  <c r="J19" i="168"/>
  <c r="K19" i="168"/>
  <c r="L19" i="168"/>
  <c r="M19" i="168"/>
  <c r="N19" i="168"/>
  <c r="B20" i="169"/>
  <c r="C20" i="169"/>
  <c r="B18" i="169"/>
  <c r="C18" i="169"/>
  <c r="B17" i="169"/>
  <c r="C17" i="169"/>
  <c r="C9" i="170"/>
  <c r="C8" i="170"/>
  <c r="C7" i="170"/>
  <c r="C6" i="170"/>
  <c r="C5" i="170"/>
  <c r="C4" i="170"/>
  <c r="C3" i="170"/>
  <c r="C4" i="169"/>
  <c r="C5" i="169"/>
  <c r="C6" i="169"/>
  <c r="C7" i="169"/>
  <c r="C8" i="169"/>
  <c r="C9" i="169"/>
  <c r="C3" i="169"/>
  <c r="C38" i="169"/>
  <c r="B38" i="169"/>
  <c r="C37" i="169"/>
  <c r="B37" i="169"/>
  <c r="C36" i="169"/>
  <c r="B36" i="169"/>
  <c r="C35" i="169"/>
  <c r="B35" i="169"/>
  <c r="C34" i="169"/>
  <c r="B34" i="169"/>
  <c r="C33" i="169"/>
  <c r="B33" i="169"/>
  <c r="C32" i="169"/>
  <c r="B32" i="169"/>
  <c r="C31" i="169"/>
  <c r="B31" i="169"/>
  <c r="C30" i="169"/>
  <c r="J30" i="169" s="1"/>
  <c r="S106" i="169" s="1" a="1"/>
  <c r="S106" i="169" s="1"/>
  <c r="B399" i="171" s="1"/>
  <c r="B30" i="169"/>
  <c r="I30" i="169" s="1"/>
  <c r="S105" i="169" s="1" a="1"/>
  <c r="S105" i="169" s="1"/>
  <c r="B398" i="171" s="1"/>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I26" i="168" s="1"/>
  <c r="C26" i="168"/>
  <c r="B27" i="168"/>
  <c r="C27" i="168"/>
  <c r="B28" i="168"/>
  <c r="C28" i="168"/>
  <c r="B29" i="168"/>
  <c r="C29" i="168"/>
  <c r="B30" i="168"/>
  <c r="C30" i="168"/>
  <c r="B31" i="168"/>
  <c r="C31" i="168"/>
  <c r="B16" i="168"/>
  <c r="C16" i="168"/>
  <c r="B17" i="168"/>
  <c r="C17" i="168"/>
  <c r="B18" i="168"/>
  <c r="C18" i="168"/>
  <c r="B19" i="168"/>
  <c r="C19" i="168"/>
  <c r="C15" i="168"/>
  <c r="B15" i="168"/>
  <c r="E6" i="168"/>
  <c r="E6" i="169" s="1"/>
  <c r="B305" i="171" s="1"/>
  <c r="B306" i="171"/>
  <c r="B19" i="171"/>
  <c r="B15" i="171"/>
  <c r="B14" i="171"/>
  <c r="B13" i="171"/>
  <c r="B12" i="171"/>
  <c r="B9" i="171"/>
  <c r="B8" i="171"/>
  <c r="B4" i="171"/>
  <c r="R15" i="170"/>
  <c r="Q15" i="170"/>
  <c r="N15" i="170"/>
  <c r="M15" i="170"/>
  <c r="L15" i="170"/>
  <c r="R15" i="169"/>
  <c r="Q15" i="169"/>
  <c r="N15" i="169"/>
  <c r="M15" i="169"/>
  <c r="J15" i="169"/>
  <c r="S16" i="169" s="1" a="1"/>
  <c r="S16" i="169" s="1"/>
  <c r="B309" i="171" s="1"/>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S16" i="168" s="1" a="1"/>
  <c r="S16" i="168" s="1"/>
  <c r="B191" i="171" s="1"/>
  <c r="I15" i="168"/>
  <c r="S15" i="168" s="1" a="1"/>
  <c r="S15" i="168" s="1"/>
  <c r="B190" i="171" s="1"/>
  <c r="B24" i="162"/>
  <c r="C24" i="162"/>
  <c r="B21" i="162"/>
  <c r="C21" i="162"/>
  <c r="B22" i="162"/>
  <c r="C22" i="162"/>
  <c r="B23" i="162"/>
  <c r="C23" i="162"/>
  <c r="B16" i="162"/>
  <c r="C16" i="162"/>
  <c r="B17" i="162"/>
  <c r="C17" i="162"/>
  <c r="B18" i="162"/>
  <c r="C18" i="162"/>
  <c r="B19" i="162"/>
  <c r="C19" i="162"/>
  <c r="C15" i="162"/>
  <c r="J15" i="162" s="1"/>
  <c r="B15" i="162"/>
  <c r="B14" i="162"/>
  <c r="E6" i="162"/>
  <c r="B16" i="165" s="1"/>
  <c r="B17" i="165"/>
  <c r="B15" i="165"/>
  <c r="B13" i="165"/>
  <c r="B12" i="165"/>
  <c r="B9" i="165"/>
  <c r="B8" i="165"/>
  <c r="B4" i="165"/>
  <c r="R15" i="162"/>
  <c r="Q15" i="162"/>
  <c r="M15" i="162"/>
  <c r="L15" i="162"/>
  <c r="K15" i="162"/>
  <c r="K15" i="146"/>
  <c r="K15" i="144"/>
  <c r="K15" i="141"/>
  <c r="B22" i="143" s="1"/>
  <c r="K16" i="140"/>
  <c r="K15" i="140"/>
  <c r="K15" i="137"/>
  <c r="K15" i="159"/>
  <c r="C15" i="159"/>
  <c r="J15" i="159" s="1"/>
  <c r="B15" i="159"/>
  <c r="B14" i="159"/>
  <c r="E6" i="159"/>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6" i="157"/>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E3" i="140"/>
  <c r="C3" i="140"/>
  <c r="B18" i="143"/>
  <c r="B17" i="143"/>
  <c r="B15" i="143"/>
  <c r="B14" i="143"/>
  <c r="B13" i="143"/>
  <c r="B12" i="143"/>
  <c r="B9" i="143"/>
  <c r="B8" i="143"/>
  <c r="B4" i="143"/>
  <c r="N16" i="141"/>
  <c r="R15" i="141"/>
  <c r="Q15" i="141"/>
  <c r="N15" i="141"/>
  <c r="M15" i="141"/>
  <c r="B24" i="143" s="1"/>
  <c r="L15" i="141"/>
  <c r="B13" i="138"/>
  <c r="B12" i="138"/>
  <c r="B9"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5" i="137"/>
  <c r="J15" i="137"/>
  <c r="B15" i="137"/>
  <c r="I15" i="137" s="1"/>
  <c r="I16" i="159" l="1"/>
  <c r="S117" i="170" a="1"/>
  <c r="S117" i="170" s="1"/>
  <c r="B123" i="171" s="1"/>
  <c r="S81" i="168" a="1"/>
  <c r="S81" i="168" s="1"/>
  <c r="B256" i="171" s="1"/>
  <c r="S29" i="140" a="1"/>
  <c r="S29" i="140" s="1"/>
  <c r="S118" i="170" a="1"/>
  <c r="S118" i="170" s="1"/>
  <c r="B124" i="171" s="1"/>
  <c r="S157" i="146" a="1"/>
  <c r="S157" i="146" s="1"/>
  <c r="S161" i="146" a="1"/>
  <c r="S161" i="146" s="1"/>
  <c r="S165" i="146" a="1"/>
  <c r="S165" i="146" s="1"/>
  <c r="S169" i="146" a="1"/>
  <c r="S169" i="146" s="1"/>
  <c r="S173" i="146" a="1"/>
  <c r="S173" i="146" s="1"/>
  <c r="S179" i="146" a="1"/>
  <c r="S179" i="146" s="1"/>
  <c r="S188" i="146" a="1"/>
  <c r="S188" i="146" s="1"/>
  <c r="E6" i="170"/>
  <c r="B18" i="171" s="1"/>
  <c r="S32" i="140" a="1"/>
  <c r="S32" i="140" s="1"/>
  <c r="L24" i="108"/>
  <c r="C71" i="110" s="1"/>
  <c r="L23" i="108"/>
  <c r="C70" i="110" s="1"/>
  <c r="L22" i="108"/>
  <c r="C69" i="110" s="1"/>
  <c r="L9" i="108"/>
  <c r="C56" i="110" s="1"/>
  <c r="S16" i="140" a="1"/>
  <c r="S16" i="140" s="1"/>
  <c r="S142" i="140" a="1"/>
  <c r="S142" i="140" s="1"/>
  <c r="S100" i="140" a="1"/>
  <c r="S100" i="140" s="1"/>
  <c r="S70" i="140" a="1"/>
  <c r="S70" i="140" s="1"/>
  <c r="S52" i="140" a="1"/>
  <c r="S52" i="140" s="1"/>
  <c r="S129" i="140" a="1"/>
  <c r="S129" i="140" s="1"/>
  <c r="S148" i="140" a="1"/>
  <c r="S148" i="140" s="1"/>
  <c r="S111" i="140" a="1"/>
  <c r="S111" i="140" s="1"/>
  <c r="S69" i="140" a="1"/>
  <c r="S69" i="140" s="1"/>
  <c r="S51" i="140" a="1"/>
  <c r="S51" i="140" s="1"/>
  <c r="S136" i="140" a="1"/>
  <c r="S136" i="140" s="1"/>
  <c r="S93" i="140" a="1"/>
  <c r="S93" i="140" s="1"/>
  <c r="S45" i="140" a="1"/>
  <c r="S45" i="140" s="1"/>
  <c r="S27" i="140" a="1"/>
  <c r="S27" i="140" s="1"/>
  <c r="S99" i="140" a="1"/>
  <c r="S99" i="140" s="1"/>
  <c r="S117" i="140" a="1"/>
  <c r="S117" i="140" s="1"/>
  <c r="S76" i="140" a="1"/>
  <c r="S76" i="140" s="1"/>
  <c r="S22" i="140" a="1"/>
  <c r="S22" i="140" s="1"/>
  <c r="S87" i="140" a="1"/>
  <c r="S87" i="140" s="1"/>
  <c r="S21" i="140" a="1"/>
  <c r="S21" i="140" s="1"/>
  <c r="S130" i="140" a="1"/>
  <c r="S130" i="140" s="1"/>
  <c r="S123" i="140" a="1"/>
  <c r="S123" i="140" s="1"/>
  <c r="S94" i="140" a="1"/>
  <c r="S94" i="140" s="1"/>
  <c r="S75" i="140" a="1"/>
  <c r="S75" i="140" s="1"/>
  <c r="S46" i="140" a="1"/>
  <c r="S46" i="140" s="1"/>
  <c r="S40" i="140" a="1"/>
  <c r="S40" i="140" s="1"/>
  <c r="S34" i="140" a="1"/>
  <c r="S34" i="140" s="1"/>
  <c r="S28" i="140" a="1"/>
  <c r="S28" i="140" s="1"/>
  <c r="S16" i="170" a="1"/>
  <c r="S16" i="170" s="1"/>
  <c r="B22" i="171" s="1"/>
  <c r="I16" i="141"/>
  <c r="S137" i="140" a="1"/>
  <c r="S137" i="140" s="1"/>
  <c r="S143" i="140" a="1"/>
  <c r="S143" i="140" s="1"/>
  <c r="S149" i="140" a="1"/>
  <c r="S149" i="140" s="1"/>
  <c r="I15" i="141"/>
  <c r="S15" i="141" s="1" a="1"/>
  <c r="S15" i="141" s="1"/>
  <c r="B20" i="143" s="1"/>
  <c r="S37" i="140" a="1"/>
  <c r="S37" i="140" s="1"/>
  <c r="S36" i="140" a="1"/>
  <c r="S36" i="140" s="1"/>
  <c r="S35" i="140" a="1"/>
  <c r="S35" i="140" s="1"/>
  <c r="S56" i="140" a="1"/>
  <c r="S56" i="140" s="1"/>
  <c r="S50" i="140" a="1"/>
  <c r="S50" i="140" s="1"/>
  <c r="S50" i="153" a="1"/>
  <c r="S50" i="153" s="1"/>
  <c r="B56" i="156" s="1"/>
  <c r="S38" i="153" a="1"/>
  <c r="S38" i="153" s="1"/>
  <c r="B44" i="156" s="1"/>
  <c r="S35" i="148" a="1"/>
  <c r="S35" i="148" s="1"/>
  <c r="B86" i="156" s="1"/>
  <c r="B14" i="165"/>
  <c r="S112" i="140" a="1"/>
  <c r="S112" i="140" s="1"/>
  <c r="S104" i="140" a="1"/>
  <c r="S104" i="140" s="1"/>
  <c r="S96" i="140" a="1"/>
  <c r="S96" i="140" s="1"/>
  <c r="S88" i="140" a="1"/>
  <c r="S88" i="140" s="1"/>
  <c r="S80" i="140" a="1"/>
  <c r="S80" i="140" s="1"/>
  <c r="S72" i="140" a="1"/>
  <c r="S72" i="140" s="1"/>
  <c r="S64" i="140" a="1"/>
  <c r="S64" i="140" s="1"/>
  <c r="S114" i="140" a="1"/>
  <c r="S114" i="140" s="1"/>
  <c r="S106" i="140" a="1"/>
  <c r="S106" i="140" s="1"/>
  <c r="S98" i="140" a="1"/>
  <c r="S98" i="140" s="1"/>
  <c r="S90" i="140" a="1"/>
  <c r="S90" i="140" s="1"/>
  <c r="S82" i="140" a="1"/>
  <c r="S82" i="140" s="1"/>
  <c r="S74" i="140" a="1"/>
  <c r="S74" i="140" s="1"/>
  <c r="S66" i="140" a="1"/>
  <c r="S66" i="140" s="1"/>
  <c r="S58" i="140" a="1"/>
  <c r="S58" i="140"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4" i="146" a="1"/>
  <c r="S174" i="146" s="1"/>
  <c r="S178" i="146" a="1"/>
  <c r="S178" i="146" s="1"/>
  <c r="S182" i="146" a="1"/>
  <c r="S182" i="146" s="1"/>
  <c r="S186" i="146" a="1"/>
  <c r="S186" i="146" s="1"/>
  <c r="S190" i="146" a="1"/>
  <c r="S190" i="146" s="1"/>
  <c r="S194" i="146" a="1"/>
  <c r="S194" i="146" s="1"/>
  <c r="S159" i="146" a="1"/>
  <c r="S159" i="146" s="1"/>
  <c r="B31" i="158"/>
  <c r="B43" i="158"/>
  <c r="S32" i="151" a="1"/>
  <c r="S32" i="151" s="1"/>
  <c r="S170" i="170" a="1"/>
  <c r="S170" i="170" s="1"/>
  <c r="B176" i="171" s="1"/>
  <c r="I16" i="170"/>
  <c r="S15" i="172" a="1"/>
  <c r="S15" i="172" s="1"/>
  <c r="I15" i="172"/>
  <c r="I16" i="172"/>
  <c r="I15" i="170"/>
  <c r="S44" i="154" a="1"/>
  <c r="S44" i="154" s="1"/>
  <c r="B49" i="155" s="1"/>
  <c r="S35" i="151" a="1"/>
  <c r="S35" i="151" s="1"/>
  <c r="S29" i="151" a="1"/>
  <c r="S29" i="151" s="1"/>
  <c r="S23" i="151" a="1"/>
  <c r="S23" i="151" s="1"/>
  <c r="S17" i="151" a="1"/>
  <c r="S17" i="151" s="1"/>
  <c r="S143" i="169" a="1"/>
  <c r="S143" i="169" s="1"/>
  <c r="B436" i="171" s="1"/>
  <c r="S131" i="169" a="1"/>
  <c r="S131" i="169" s="1"/>
  <c r="B424" i="171" s="1"/>
  <c r="S137" i="169" a="1"/>
  <c r="S137" i="169" s="1"/>
  <c r="B430" i="171" s="1"/>
  <c r="S119" i="168" a="1"/>
  <c r="S119" i="168" s="1"/>
  <c r="B294" i="171" s="1"/>
  <c r="S107" i="168" a="1"/>
  <c r="S107" i="168" s="1"/>
  <c r="B282" i="171" s="1"/>
  <c r="S113" i="168" a="1"/>
  <c r="S113" i="168" s="1"/>
  <c r="B288" i="171" s="1"/>
  <c r="S89" i="168" a="1"/>
  <c r="S89" i="168" s="1"/>
  <c r="B264" i="171" s="1"/>
  <c r="S95" i="168" a="1"/>
  <c r="S95" i="168" s="1"/>
  <c r="B270" i="171" s="1"/>
  <c r="S77" i="168" a="1"/>
  <c r="S77" i="168" s="1"/>
  <c r="B252" i="171" s="1"/>
  <c r="S101" i="168" a="1"/>
  <c r="S101" i="168" s="1"/>
  <c r="B276" i="171"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15" i="159"/>
  <c r="S15" i="159" s="1" a="1"/>
  <c r="S15" i="159"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S15" i="140" a="1"/>
  <c r="S15" i="140" s="1"/>
  <c r="R15" i="137"/>
  <c r="Q15" i="137"/>
  <c r="L3" i="108"/>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9" i="112"/>
  <c r="E11" i="112"/>
  <c r="E12" i="112"/>
  <c r="E13" i="112"/>
  <c r="E14" i="112"/>
  <c r="E15" i="112"/>
  <c r="E16" i="112"/>
  <c r="E17" i="112"/>
  <c r="E18" i="112"/>
  <c r="B15" i="112"/>
  <c r="B16" i="112"/>
  <c r="B14" i="112"/>
  <c r="C27" i="136"/>
  <c r="C28" i="136"/>
  <c r="C12" i="136"/>
  <c r="C13" i="136"/>
  <c r="C17" i="136"/>
  <c r="C18"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C19" i="136" s="1"/>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B20" i="161" l="1"/>
  <c r="L8" i="108"/>
  <c r="C55" i="110" s="1"/>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<sst xmlns="http://schemas.openxmlformats.org/spreadsheetml/2006/main" count="2973" uniqueCount="1356">
  <si>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</si>
  <si>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</si>
  <si>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</si>
  <si>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</si>
  <si>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</si>
  <si>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</si>
  <si>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</si>
  <si>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</si>
  <si>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</si>
  <si>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</si>
  <si>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</si>
  <si>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</si>
  <si>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</si>
  <si>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</si>
  <si>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</si>
  <si>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</si>
  <si>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</si>
  <si>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</si>
  <si>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</si>
  <si>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</si>
  <si>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</si>
  <si>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</si>
  <si>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</si>
  <si>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</si>
  <si>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</si>
  <si>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</si>
  <si>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</si>
  <si>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</si>
  <si>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</si>
  <si>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</si>
  <si>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</si>
  <si>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</si>
  <si>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</si>
  <si>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</si>
  <si>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</si>
  <si>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</si>
  <si>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</si>
  <si>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</si>
  <si>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</si>
  <si>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</si>
  <si>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</si>
  <si>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</si>
  <si>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</si>
  <si>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</si>
  <si>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</si>
  <si>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</si>
  <si>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</si>
  <si>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</si>
  <si>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</si>
  <si>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</si>
  <si>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</si>
  <si>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</si>
  <si>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</si>
  <si>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</si>
  <si>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</si>
  <si>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</si>
  <si>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</si>
  <si>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</si>
  <si>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</si>
  <si>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</si>
  <si>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</si>
  <si>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</si>
  <si>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</si>
  <si>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</si>
  <si>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</si>
  <si>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</si>
  <si>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</si>
  <si>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</si>
  <si>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</si>
  <si>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</si>
  <si>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</si>
  <si>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</si>
  <si>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</si>
  <si>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</si>
  <si>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</si>
  <si>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</si>
  <si>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</si>
  <si>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</si>
  <si>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</si>
  <si>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</si>
  <si>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</si>
  <si>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</si>
  <si>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</si>
  <si>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</si>
  <si>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</si>
  <si>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</si>
  <si>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</si>
  <si>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</si>
  <si>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</si>
  <si>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</si>
  <si>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</si>
  <si>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</si>
  <si>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</si>
  <si>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</si>
  <si>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</si>
  <si>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A.1.7 Result validator</t>
  </si>
  <si>
    <t>A.1.7.1</t>
  </si>
  <si>
    <t>Result validator identifier</t>
  </si>
  <si>
    <t>A.1.7.2</t>
  </si>
  <si>
    <t>A.1.7.3</t>
  </si>
  <si>
    <t>The healthcare provider organisation information.</t>
  </si>
  <si>
    <t>A.1.7.4</t>
  </si>
  <si>
    <t>Validation date and time</t>
  </si>
  <si>
    <t>Date and time when the document was validated.</t>
  </si>
  <si>
    <t>LOINC</t>
  </si>
  <si>
    <t>A.2.1</t>
  </si>
  <si>
    <t>A.2.2</t>
  </si>
  <si>
    <t>A.2.3</t>
  </si>
  <si>
    <t>A.2.4</t>
  </si>
  <si>
    <t>A.2.5</t>
  </si>
  <si>
    <t>SNOMED CT</t>
  </si>
  <si>
    <t>A.4 Specimen information</t>
  </si>
  <si>
    <t>A.4.1</t>
  </si>
  <si>
    <t>Specimen identifier</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</si>
  <si>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</si>
  <si>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</si>
  <si>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</si>
  <si>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</si>
  <si>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</si>
  <si>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</si>
  <si>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</si>
  <si>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</si>
  <si>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</si>
  <si>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</si>
  <si>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</si>
  <si>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</si>
  <si>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</si>
  <si>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</si>
  <si>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</si>
  <si>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</si>
  <si>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</si>
  <si>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</si>
  <si>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</si>
  <si>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</si>
  <si>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</si>
  <si>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</si>
  <si>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</si>
  <si>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</si>
  <si>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</si>
  <si>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</si>
  <si>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A.5.1.1</t>
  </si>
  <si>
    <t>Narrative report</t>
  </si>
  <si>
    <t>A.5.1.2</t>
  </si>
  <si>
    <t>Comments, interpretation and recommendations</t>
  </si>
  <si>
    <t>Comments, such as a textual interpretation or advice accompanying the result report, for example.</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</si>
  <si>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</si>
  <si>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</si>
  <si>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</si>
  <si>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</si>
  <si>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</si>
  <si>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</si>
  <si>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</si>
  <si>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</si>
  <si>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</si>
  <si>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</si>
  <si>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</si>
  <si>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</si>
  <si>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</si>
  <si>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</si>
  <si>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</si>
  <si>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</si>
  <si>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</si>
  <si>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</si>
  <si>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</si>
  <si>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</si>
  <si>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</si>
  <si>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</si>
  <si>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</si>
  <si>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A.5.2.9</t>
  </si>
  <si>
    <t>Performer</t>
  </si>
  <si>
    <t>A.5.2.10</t>
  </si>
  <si>
    <t>Reporter</t>
  </si>
  <si>
    <t>With certain observation results, e.g. there may also be an interpreter or a person responsible for validation.</t>
  </si>
  <si>
    <t>A.5.2.11</t>
  </si>
  <si>
    <t>Observation result</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</si>
  <si>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</si>
  <si>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</si>
  <si>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</si>
  <si>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</si>
  <si>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</si>
  <si>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</si>
  <si>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</si>
  <si>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</si>
  <si>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</si>
  <si>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</si>
  <si>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</si>
  <si>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</si>
  <si>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</si>
  <si>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</si>
  <si>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</si>
  <si>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</si>
  <si>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</si>
  <si>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</si>
  <si>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</si>
  <si>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</si>
  <si>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</si>
  <si>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</si>
  <si>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</si>
  <si>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</si>
  <si>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</si>
  <si>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</si>
  <si>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</si>
  <si>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</si>
  <si>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specimen</t>
  </si>
  <si>
    <t>result</t>
  </si>
  <si>
    <t>Observation.conformsTo('http://hl7.eu/fhir/ig/xeh/StructureDefinition/Observation-results-laboratory-eu-xeh').specimen.resolve()</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</si>
  <si>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</si>
  <si>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</si>
  <si>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</si>
  <si>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</si>
  <si>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</si>
  <si>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</si>
  <si>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</si>
  <si>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</si>
  <si>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</si>
  <si>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</si>
  <si>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</si>
  <si>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to be mapped</t>
  </si>
  <si>
    <t>eHNLabPayer2Fhir</t>
  </si>
  <si>
    <t>eHN Lab Payer model to FHIR R4 Map</t>
  </si>
  <si>
    <t>Payer</t>
  </si>
  <si>
    <t>identifier</t>
  </si>
  <si>
    <t>name</t>
  </si>
  <si>
    <t>organization</t>
  </si>
  <si>
    <t>Organization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</si>
  <si>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</si>
  <si>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</si>
  <si>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</si>
  <si>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</si>
  <si>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</si>
  <si>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</si>
  <si>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</si>
  <si>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</si>
  <si>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</si>
  <si>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</si>
  <si>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</si>
  <si>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</si>
  <si>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eHNLabLegalAuthenticator2Fhir</t>
  </si>
  <si>
    <t>eHN Lab LegalAuthenticator model to FHIR R4 Map</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</si>
  <si>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</si>
  <si>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</si>
  <si>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</si>
  <si>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</si>
  <si>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</si>
  <si>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</si>
  <si>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</si>
  <si>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Composition.attester.where(mode=http://hl7.org/fhir/composition-attestation-mode#legal)</t>
  </si>
  <si>
    <t>Composition.attester.where(mode=http://hl7.org/fhir/composition-attestation-mode#professional)</t>
  </si>
  <si>
    <t>Author</t>
  </si>
  <si>
    <t>eHNLabAuthor2Fhir</t>
  </si>
  <si>
    <t>eHN Lab Author model to FHIR R4 Map</t>
  </si>
  <si>
    <t>HumanName</t>
  </si>
  <si>
    <t>Validator</t>
  </si>
  <si>
    <t>A.4.1 Specimen identifier</t>
  </si>
  <si>
    <t>A.4.2 Type of species</t>
  </si>
  <si>
    <t>A.4.3 Material</t>
  </si>
  <si>
    <t>A.4.4 Collection period</t>
  </si>
  <si>
    <t>A.4.5 Anatomic location</t>
  </si>
  <si>
    <t>A.4.6 Morphology</t>
  </si>
  <si>
    <t>A.4.7 Source Device</t>
  </si>
  <si>
    <t>A.4.8 Collection procedure/method</t>
  </si>
  <si>
    <t>A.4.9 Received date</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</si>
  <si>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</si>
  <si>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</si>
  <si>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</si>
  <si>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</si>
  <si>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</si>
  <si>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</si>
  <si>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</si>
  <si>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</si>
  <si>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</si>
  <si>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</si>
  <si>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</si>
  <si>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</si>
  <si>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</si>
  <si>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</si>
  <si>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</si>
  <si>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</si>
  <si>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</si>
  <si>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</si>
  <si>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</si>
  <si>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Result</t>
  </si>
  <si>
    <t>eHNLabResult2Fhir</t>
  </si>
  <si>
    <t>eHN Lab Result model to FHIR R4 Map</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</si>
  <si>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</si>
  <si>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</si>
  <si>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</si>
  <si>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</si>
  <si>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</si>
  <si>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</si>
  <si>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</si>
  <si>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</si>
  <si>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</si>
  <si>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</si>
  <si>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</si>
  <si>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</si>
  <si>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</si>
  <si>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</si>
  <si>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</si>
  <si>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</si>
  <si>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</si>
  <si>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</si>
  <si>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</si>
  <si>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</si>
  <si>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</si>
  <si>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</si>
  <si>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</si>
  <si>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</si>
  <si>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</si>
  <si>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</si>
  <si>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</si>
  <si>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</si>
  <si>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</si>
  <si>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</si>
  <si>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</si>
  <si>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observation.performer</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</si>
  <si>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</si>
  <si>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</si>
  <si>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</si>
  <si>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</si>
  <si>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</si>
  <si>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</si>
  <si>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</si>
  <si>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</si>
  <si>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</si>
  <si>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</si>
  <si>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</si>
  <si>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</si>
  <si>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</si>
  <si>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</si>
  <si>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</si>
  <si>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</si>
  <si>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</si>
  <si>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</si>
  <si>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</si>
  <si>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</si>
  <si>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</si>
  <si>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</si>
  <si>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</si>
  <si>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</si>
  <si>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</si>
  <si>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Entire report (textual summary inside the laboratory result report document) as issued by the laboratory. </t>
  </si>
  <si>
    <t>A.5.2 Observation details (report could consist of multiple observations)</t>
  </si>
  <si>
    <t>Result of the observation including text, numeric and coded results of the measurement and measurement uncertainty. Content of the observation result will vary according to the type of the observation.</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</si>
  <si>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</si>
  <si>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</si>
  <si>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</si>
  <si>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</si>
  <si>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</si>
  <si>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</si>
  <si>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</si>
  <si>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</si>
  <si>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</si>
  <si>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.party.resolve().ofType(Organization)</t>
  </si>
  <si>
    <t>.time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</si>
  <si>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</si>
  <si>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</si>
  <si>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</si>
  <si>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</si>
  <si>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</si>
  <si>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</si>
  <si>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</si>
  <si>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</si>
  <si>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</si>
  <si>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</si>
  <si>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</si>
  <si>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</si>
  <si>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</si>
  <si>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</si>
  <si>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</si>
  <si>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</si>
  <si>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</si>
  <si>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</si>
  <si>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</si>
  <si>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</si>
  <si>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</si>
  <si>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</si>
  <si>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</si>
  <si>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</si>
  <si>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</si>
  <si>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</si>
  <si>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</si>
  <si>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</si>
  <si>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</si>
  <si>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</si>
  <si>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</si>
  <si>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</si>
  <si>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</si>
  <si>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</si>
  <si>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</si>
  <si>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</si>
  <si>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</si>
  <si>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</si>
  <si>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</si>
  <si>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</si>
  <si>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</si>
  <si>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</si>
  <si>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</si>
  <si>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</si>
  <si>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</si>
  <si>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</si>
  <si>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</si>
  <si>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</si>
  <si>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</si>
  <si>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</si>
  <si>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</si>
  <si>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</si>
  <si>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</si>
  <si>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</si>
  <si>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</si>
  <si>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</si>
  <si>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</si>
  <si>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</si>
  <si>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</si>
  <si>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</si>
  <si>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</si>
  <si>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</si>
  <si>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</si>
  <si>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title</t>
  </si>
  <si>
    <t>custodian</t>
  </si>
  <si>
    <t>If no sub sections</t>
  </si>
  <si>
    <t>If sub sections</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</si>
  <si>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</si>
  <si>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</si>
  <si>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</si>
  <si>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</si>
  <si>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</si>
  <si>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</si>
  <si>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</si>
  <si>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</si>
  <si>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</si>
  <si>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</si>
  <si>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</si>
  <si>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</si>
  <si>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</si>
  <si>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</si>
  <si>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</si>
  <si>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</si>
  <si>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</si>
  <si>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</si>
  <si>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</si>
  <si>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</si>
  <si>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</si>
  <si>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</si>
  <si>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</si>
  <si>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</si>
  <si>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</si>
  <si>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</si>
  <si>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</si>
  <si>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</si>
  <si>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Payer2Fhir</t>
  </si>
  <si>
    <t>LegalAuth2Fhir</t>
  </si>
  <si>
    <t>Validator2Fhir</t>
  </si>
  <si>
    <t>ServiceRequest</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</si>
  <si>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</si>
  <si>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</si>
  <si>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</si>
  <si>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</si>
  <si>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</si>
  <si>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</si>
  <si>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</si>
  <si>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</si>
  <si>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</si>
  <si>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</si>
  <si>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</si>
  <si>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</si>
  <si>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</si>
  <si>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</si>
  <si>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</si>
  <si>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</si>
  <si>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</si>
  <si>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</si>
  <si>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</si>
  <si>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</si>
  <si>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</si>
  <si>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</si>
  <si>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</si>
  <si>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</si>
  <si>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</si>
  <si>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</si>
  <si>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</si>
  <si>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</si>
  <si>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</si>
  <si>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</si>
  <si>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</si>
  <si>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</si>
  <si>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</si>
  <si>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</si>
  <si>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</si>
  <si>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</si>
  <si>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</si>
  <si>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basedOn</t>
  </si>
  <si>
    <t>performer.qualification</t>
  </si>
  <si>
    <t>performer.organization.qualification</t>
  </si>
  <si>
    <t>extension:information-recipient</t>
  </si>
  <si>
    <t>author</t>
  </si>
  <si>
    <t>attester.party</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</si>
  <si>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</si>
  <si>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</si>
  <si>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</si>
  <si>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</si>
  <si>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</si>
  <si>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</si>
  <si>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</si>
  <si>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</si>
  <si>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</si>
  <si>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</si>
  <si>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</si>
  <si>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</si>
  <si>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</si>
  <si>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</si>
  <si>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</si>
  <si>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</si>
  <si>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</si>
  <si>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</si>
  <si>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</si>
  <si>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</si>
  <si>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</si>
  <si>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</si>
  <si>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</si>
  <si>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</si>
  <si>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</si>
  <si>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</si>
  <si>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</si>
  <si>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</si>
  <si>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</si>
  <si>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For interpreter: performer.extension:performerFunction = AUT (author)
If the person responsible for validation:  performer.extension:performerFunction = AUTHEN or LA</t>
  </si>
  <si>
    <t>performer ofType Organization</t>
  </si>
  <si>
    <t>A.5 - Results data elements</t>
  </si>
  <si>
    <t>A.4 - Specimen information</t>
  </si>
  <si>
    <t>subject.extension:patient-animal.extension:species</t>
  </si>
  <si>
    <t>//  Logical Model - Comments</t>
  </si>
  <si>
    <t>If it is the identifier of the report indipendently by its version. Otherwise you should refer to the Bundle.indentifier</t>
  </si>
  <si>
    <t>language</t>
  </si>
  <si>
    <t>confidentiality</t>
  </si>
  <si>
    <t>extension:versionNumber</t>
  </si>
  <si>
    <t>if it refers to the business report version</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</si>
  <si>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</si>
  <si>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</si>
  <si>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</si>
  <si>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</si>
  <si>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</si>
  <si>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</si>
  <si>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</si>
  <si>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</si>
  <si>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</si>
  <si>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</si>
  <si>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</si>
  <si>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</si>
  <si>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</si>
  <si>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</si>
  <si>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</si>
  <si>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</si>
  <si>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</si>
  <si>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</si>
  <si>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</si>
  <si>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</si>
  <si>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</si>
  <si>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</si>
  <si>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</si>
  <si>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</si>
  <si>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</si>
  <si>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</si>
  <si>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</si>
  <si>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</si>
  <si>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</si>
  <si>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</si>
  <si>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</si>
  <si>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</si>
  <si>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</si>
  <si>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</si>
  <si>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</si>
  <si>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</si>
  <si>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</si>
  <si>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</si>
  <si>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</si>
  <si>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</si>
  <si>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</si>
  <si>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</si>
  <si>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</si>
  <si>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</si>
  <si>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</si>
  <si>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</si>
  <si>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</si>
  <si>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</si>
  <si>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</si>
  <si>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performer ofType PractitionerRole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</si>
  <si>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</si>
  <si>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</si>
  <si>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</si>
  <si>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</si>
  <si>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</si>
  <si>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</si>
  <si>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</si>
  <si>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</si>
  <si>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</si>
  <si>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</si>
  <si>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</si>
  <si>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</si>
  <si>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</si>
  <si>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see Group 2 for details</t>
  </si>
  <si>
    <t>collection.extension:bodySite</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</si>
  <si>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</si>
  <si>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</si>
  <si>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</si>
  <si>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</si>
  <si>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</si>
  <si>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</si>
  <si>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</si>
  <si>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The person authenticated the content and accepted legal responsibility for its content.
attester.where(mode='legal')</t>
  </si>
  <si>
    <t>The person authenticated the content in their professional capacity.
attester.where(mode='professional')</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</si>
  <si>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</si>
  <si>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</si>
  <si>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</si>
  <si>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</si>
  <si>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</si>
  <si>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</si>
  <si>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</si>
  <si>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</si>
  <si>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</si>
  <si>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</si>
  <si>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</si>
  <si>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</si>
  <si>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</si>
  <si>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</si>
  <si>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</si>
  <si>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</si>
  <si>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</si>
  <si>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</si>
  <si>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</si>
  <si>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</si>
  <si>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</si>
  <si>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</si>
  <si>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</si>
  <si>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</si>
  <si>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</si>
  <si>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</si>
  <si>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</si>
  <si>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</si>
  <si>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</si>
  <si>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</si>
  <si>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</si>
  <si>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</si>
  <si>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</si>
  <si>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</si>
  <si>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</si>
  <si>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</si>
  <si>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</si>
  <si>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</si>
  <si>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</si>
  <si>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</si>
  <si>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</si>
  <si>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</si>
  <si>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</si>
  <si>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</si>
  <si>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</si>
  <si>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</si>
  <si>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</si>
  <si>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</si>
  <si>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</si>
  <si>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</si>
  <si>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</si>
  <si>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</si>
  <si>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</si>
  <si>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</si>
  <si>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</si>
  <si>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</si>
  <si>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</si>
  <si>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</si>
  <si>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</si>
  <si>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</si>
  <si>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</si>
  <si>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</si>
  <si>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</si>
  <si>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</si>
  <si>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</si>
  <si>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</si>
  <si>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</si>
  <si>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</si>
  <si>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</si>
  <si>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</si>
  <si>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</si>
  <si>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</si>
  <si>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</si>
  <si>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</si>
  <si>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</si>
  <si>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</si>
  <si>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ValidatorPsEhn</t>
  </si>
  <si>
    <t>SpecimenPsEhn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</si>
  <si>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</si>
  <si>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</si>
  <si>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</si>
  <si>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</si>
  <si>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</si>
  <si>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</si>
  <si>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</si>
  <si>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</si>
  <si>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</si>
  <si>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</si>
  <si>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</si>
  <si>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</si>
  <si>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</si>
  <si>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</si>
  <si>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</si>
  <si>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</si>
  <si>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</si>
  <si>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</si>
  <si>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</si>
  <si>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</si>
  <si>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</si>
  <si>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</si>
  <si>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</si>
  <si>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</si>
  <si>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</si>
  <si>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</si>
  <si>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</si>
  <si>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</si>
  <si>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</si>
  <si>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</si>
  <si>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</si>
  <si>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</si>
  <si>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</si>
  <si>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</si>
  <si>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</si>
  <si>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</si>
  <si>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</si>
  <si>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section:ps-no-subsections.entry.specimen</t>
  </si>
  <si>
    <t>section:ps-no-subsections.entry</t>
  </si>
  <si>
    <t>section:ps-subsections.section.entry.specimen</t>
  </si>
  <si>
    <t>section:ps-subsections.section.entry</t>
  </si>
  <si>
    <t>ps-subject.fsh</t>
  </si>
  <si>
    <t>ServiceRequest.conformsTo('http://hl7.eu/fhir/ig/xeh/StructureDefinition/ServiceRequest-ps-xeh').insurance.resolve().ofType(Coverage)</t>
  </si>
  <si>
    <t>ps-payer.fsh</t>
  </si>
  <si>
    <t>ps-author.fsh</t>
  </si>
  <si>
    <t>ps-legalAuth.fsh</t>
  </si>
  <si>
    <t>ps-validator.fsh</t>
  </si>
  <si>
    <t>ps-specimen.fsh</t>
  </si>
  <si>
    <t>ps-result.fsh</t>
  </si>
  <si>
    <t>section:ps-no-subsections.text</t>
  </si>
  <si>
    <t>section:ps-subsections.section.text</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</si>
  <si>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</si>
  <si>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</si>
  <si>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</si>
  <si>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</si>
  <si>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</si>
  <si>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</si>
  <si>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</si>
  <si>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</si>
  <si>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</si>
  <si>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</si>
  <si>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</si>
  <si>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</si>
  <si>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</si>
  <si>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</si>
  <si>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</si>
  <si>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</si>
  <si>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</si>
  <si>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</si>
  <si>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</si>
  <si>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</si>
  <si>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</si>
  <si>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</si>
  <si>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</si>
  <si>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</si>
  <si>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</si>
  <si>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</si>
  <si>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A.5.1 Patient Summary narrative</t>
  </si>
  <si>
    <t xml:space="preserve">Identifies the originator/author and provides provenance information about the source of the results data that may have not originated with the source of the whole Patient Summary document. </t>
  </si>
  <si>
    <t xml:space="preserve">A.5.1 Patient Summary narrative </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</si>
  <si>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</si>
  <si>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</si>
  <si>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</si>
  <si>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</si>
  <si>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</si>
  <si>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</si>
  <si>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</si>
  <si>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</si>
  <si>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</si>
  <si>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</si>
  <si>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</si>
  <si>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</si>
  <si>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</si>
  <si>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</si>
  <si>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</si>
  <si>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</si>
  <si>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</si>
  <si>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</si>
  <si>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</si>
  <si>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</si>
  <si>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</si>
  <si>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</si>
  <si>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</si>
  <si>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</si>
  <si>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</si>
  <si>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</si>
  <si>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</si>
  <si>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</si>
  <si>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</si>
  <si>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</si>
  <si>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</si>
  <si>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</si>
  <si>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</si>
  <si>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</si>
  <si>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</si>
  <si>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</si>
  <si>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</si>
  <si>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</si>
  <si>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</si>
  <si>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</si>
  <si>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</si>
  <si>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</si>
  <si>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</si>
  <si>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</si>
  <si>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</si>
  <si>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</si>
  <si>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</si>
  <si>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</si>
  <si>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</si>
  <si>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</si>
  <si>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</si>
  <si>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</si>
  <si>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</si>
  <si>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ConceptMap-eu-psRpt2FHIR</t>
  </si>
  <si>
    <t>subject2FHIR-eu-ps</t>
  </si>
  <si>
    <t>payer2FHIR-eu-ps</t>
  </si>
  <si>
    <t>author2FHIR-eu-ps</t>
  </si>
  <si>
    <t>legalAuth2FHIR-eu-ps</t>
  </si>
  <si>
    <t>validator2FHIR-eu-ps</t>
  </si>
  <si>
    <t>specimen2FHIR-eu-ps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</si>
  <si>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</si>
  <si>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</si>
  <si>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</si>
  <si>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</si>
  <si>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</si>
  <si>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</si>
  <si>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</si>
  <si>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</si>
  <si>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</si>
  <si>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</si>
  <si>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</si>
  <si>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</si>
  <si>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</si>
  <si>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</si>
  <si>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</si>
  <si>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</si>
  <si>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</si>
  <si>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</si>
  <si>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</si>
  <si>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</si>
  <si>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</si>
  <si>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</si>
  <si>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</si>
  <si>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</si>
  <si>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</si>
  <si>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</si>
  <si>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</si>
  <si>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</si>
  <si>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</si>
  <si>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</si>
  <si>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</si>
  <si>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</si>
  <si>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</si>
  <si>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</si>
  <si>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</si>
  <si>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</si>
  <si>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</si>
  <si>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</si>
  <si>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</si>
  <si>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</si>
  <si>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</si>
  <si>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</si>
  <si>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</si>
  <si>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</si>
  <si>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</si>
  <si>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</si>
  <si>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</si>
  <si>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</si>
  <si>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</si>
  <si>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</si>
  <si>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</si>
  <si>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</si>
  <si>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</si>
  <si>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</si>
  <si>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</si>
  <si>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</si>
  <si>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</si>
  <si>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</si>
  <si>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</si>
  <si>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</si>
  <si>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</si>
  <si>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</si>
  <si>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</si>
  <si>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</si>
  <si>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</si>
  <si>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</si>
  <si>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</si>
  <si>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</si>
  <si>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</si>
  <si>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</si>
  <si>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</si>
  <si>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</si>
  <si>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</si>
  <si>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</si>
  <si>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</si>
  <si>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</si>
  <si>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</si>
  <si>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</si>
  <si>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</si>
  <si>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</si>
  <si>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</si>
  <si>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</si>
  <si>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</si>
  <si>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</si>
  <si>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</si>
  <si>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</si>
  <si>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</si>
  <si>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</si>
  <si>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</si>
  <si>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</si>
  <si>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</si>
  <si>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</si>
  <si>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</si>
  <si>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</si>
  <si>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</si>
  <si>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</si>
  <si>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</si>
  <si>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</si>
  <si>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</si>
  <si>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</si>
  <si>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</si>
  <si>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</si>
  <si>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</si>
  <si>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</si>
  <si>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</si>
  <si>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</si>
  <si>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</si>
  <si>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</si>
  <si>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</si>
  <si>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</si>
  <si>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</si>
  <si>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</si>
  <si>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</si>
  <si>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</si>
  <si>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</si>
  <si>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</si>
  <si>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</si>
  <si>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</si>
  <si>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</si>
  <si>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</si>
  <si>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</si>
  <si>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</si>
  <si>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</si>
  <si>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</si>
  <si>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</si>
  <si>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</si>
  <si>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</si>
  <si>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</si>
  <si>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</si>
  <si>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</si>
  <si>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</si>
  <si>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</si>
  <si>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</si>
  <si>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</si>
  <si>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</si>
  <si>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</si>
  <si>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</si>
  <si>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</si>
  <si>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</si>
  <si>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</si>
  <si>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</si>
  <si>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</si>
  <si>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</si>
  <si>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</si>
  <si>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</si>
  <si>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</si>
  <si>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</si>
  <si>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</si>
  <si>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</si>
  <si>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</si>
  <si>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</si>
  <si>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</si>
  <si>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</si>
  <si>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</si>
  <si>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</si>
  <si>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Description of the functional assessment ICF</t>
  </si>
  <si>
    <t>Functional assessment date</t>
  </si>
  <si>
    <t>Date of the functional assessment</t>
  </si>
  <si>
    <t>Functional assessment result</t>
  </si>
  <si>
    <t>Functional assessment result value ICF</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</si>
  <si>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</si>
  <si>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</si>
  <si>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</si>
  <si>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</si>
  <si>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</si>
  <si>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</si>
  <si>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</si>
  <si>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</si>
  <si>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</si>
  <si>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</si>
  <si>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</si>
  <si>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</si>
  <si>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</si>
  <si>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</si>
  <si>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</si>
  <si>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</si>
  <si>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</si>
  <si>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</si>
  <si>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</si>
  <si>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</si>
  <si>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</si>
  <si>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</si>
  <si>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</si>
  <si>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</si>
  <si>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</si>
  <si>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</si>
  <si>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</si>
  <si>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</si>
  <si>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</si>
  <si>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</si>
  <si>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</si>
  <si>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</si>
  <si>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</si>
  <si>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</si>
  <si>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</si>
  <si>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</si>
  <si>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</si>
  <si>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</si>
  <si>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</si>
  <si>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</si>
  <si>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</si>
  <si>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</si>
  <si>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</si>
  <si>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</si>
  <si>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</si>
  <si>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</si>
  <si>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</si>
  <si>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</si>
  <si>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</si>
  <si>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</si>
  <si>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</si>
  <si>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</si>
  <si>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</si>
  <si>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</si>
  <si>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</si>
  <si>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</si>
  <si>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</si>
  <si>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</si>
  <si>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</si>
  <si>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</si>
  <si>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</si>
  <si>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</si>
  <si>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</si>
  <si>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</si>
  <si>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</si>
  <si>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</si>
  <si>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</si>
  <si>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</si>
  <si>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</si>
  <si>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</si>
  <si>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</si>
  <si>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</si>
  <si>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</si>
  <si>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</si>
  <si>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</si>
  <si>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</si>
  <si>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</si>
  <si>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</si>
  <si>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</si>
  <si>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</si>
  <si>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</si>
  <si>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</si>
  <si>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</si>
  <si>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</si>
  <si>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</si>
  <si>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</si>
  <si>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</si>
  <si>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</si>
  <si>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</si>
  <si>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</si>
  <si>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</si>
  <si>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</si>
  <si>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</si>
  <si>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</si>
  <si>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</si>
  <si>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</si>
  <si>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</si>
  <si>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</si>
  <si>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</si>
  <si>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</si>
  <si>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</si>
  <si>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</si>
  <si>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</si>
  <si>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</si>
  <si>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</si>
  <si>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</si>
  <si>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</si>
  <si>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</si>
  <si>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</si>
  <si>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</si>
  <si>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</si>
  <si>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</si>
  <si>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</si>
  <si>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</si>
  <si>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</si>
  <si>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</si>
  <si>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</si>
  <si>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</si>
  <si>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</si>
  <si>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</si>
  <si>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</si>
  <si>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</si>
  <si>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</si>
  <si>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</si>
  <si>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</si>
  <si>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</si>
  <si>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</si>
  <si>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</si>
  <si>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</si>
  <si>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</si>
  <si>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</si>
  <si>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</si>
  <si>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</si>
  <si>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</si>
  <si>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</si>
  <si>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</si>
  <si>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</si>
  <si>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</si>
  <si>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</si>
  <si>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</si>
  <si>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</si>
  <si>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</si>
  <si>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</si>
  <si>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</si>
  <si>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</si>
  <si>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</si>
  <si>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</si>
  <si>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</si>
  <si>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</si>
  <si>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</si>
  <si>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</si>
  <si>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</si>
  <si>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</si>
  <si>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</si>
  <si>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</si>
  <si>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</si>
  <si>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</si>
  <si>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</si>
  <si>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</si>
  <si>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</si>
  <si>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</si>
  <si>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</si>
  <si>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</si>
  <si>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</si>
  <si>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</si>
  <si>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</si>
  <si>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A.2.9 - Plan of Care</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</si>
  <si>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</si>
  <si>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</si>
  <si>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</si>
  <si>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</si>
  <si>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</si>
  <si>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</si>
  <si>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</si>
  <si>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</si>
  <si>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</si>
  <si>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</si>
  <si>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</si>
  <si>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</si>
  <si>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</si>
  <si>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</si>
  <si>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 section:sectionMedicalDevices</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</si>
  <si>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</si>
  <si>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</si>
  <si>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</si>
  <si>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</si>
  <si>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</si>
  <si>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</si>
  <si>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</si>
  <si>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</si>
  <si>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</si>
  <si>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</si>
  <si>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</si>
  <si>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</si>
  <si>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</si>
  <si>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</si>
  <si>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</si>
  <si>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</si>
  <si>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</si>
  <si>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</si>
  <si>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</si>
  <si>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</si>
  <si>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</si>
  <si>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</si>
  <si>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body.medicalHistory.medicalDevices</t>
  </si>
  <si>
    <t>body.medicalHistory.procedures</t>
  </si>
  <si>
    <t>body.medicalHistory.functionalStatus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</si>
  <si>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</si>
  <si>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</si>
  <si>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</si>
  <si>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</si>
  <si>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</si>
  <si>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</si>
  <si>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</si>
  <si>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</si>
  <si>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</si>
  <si>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</si>
  <si>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</si>
  <si>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</si>
  <si>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</si>
  <si>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</si>
  <si>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</si>
  <si>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</si>
  <si>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</si>
  <si>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</si>
  <si>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</si>
  <si>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</si>
  <si>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</si>
  <si>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</si>
  <si>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</si>
  <si>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</si>
  <si>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For FHIR R4 the more granular status is recorded in the DiagnosticReport.status. Mapping rules for valuing the Compisition.status are specified in http://hl7.eu/fhir/ig/xpandh/ps/ConceptMap/ConceptMap-eu-diagRptStatus2CompStatus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</si>
  <si>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</si>
  <si>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</si>
  <si>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</si>
  <si>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</si>
  <si>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</si>
  <si>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</si>
  <si>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http://hl7.eu/fhir/ig/xpandh/ps/StructureDefinition/Specimen-eu-ps</t>
  </si>
  <si>
    <t>http://hl7.eu/fhir/ig/xpandh/ps/StructureDefinition/bodyStructure-eu-ps</t>
  </si>
  <si>
    <t>http://hl7.eu/fhir/ig/xpandh/ps/StructureDefinition/Observation-resultsps-eu-ps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</si>
  <si>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</si>
  <si>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</si>
  <si>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</si>
  <si>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</si>
  <si>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</si>
  <si>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</si>
  <si>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</si>
  <si>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</si>
  <si>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</si>
  <si>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</si>
  <si>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</si>
  <si>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</si>
  <si>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</si>
  <si>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</si>
  <si>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</si>
  <si>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</si>
  <si>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</si>
  <si>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</si>
  <si>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</si>
  <si>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</si>
  <si>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</si>
  <si>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</si>
  <si>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</si>
  <si>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</si>
  <si>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</si>
  <si>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</si>
  <si>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</si>
  <si>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</si>
  <si>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</si>
  <si>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</si>
  <si>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</si>
  <si>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</si>
  <si>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</si>
  <si>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</si>
  <si>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</si>
  <si>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</si>
  <si>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</si>
  <si>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</si>
  <si>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</si>
  <si>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</si>
  <si>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</si>
  <si>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</si>
  <si>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</si>
  <si>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</si>
  <si>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</si>
  <si>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</si>
  <si>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</si>
  <si>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</si>
  <si>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</si>
  <si>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</si>
  <si>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</si>
  <si>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</si>
  <si>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</si>
  <si>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</si>
  <si>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entry of type Flag</t>
  </si>
  <si>
    <t>section:sectionImmunizations.entry</t>
  </si>
  <si>
    <t>section:sectionPastIllnessHx.entry</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</si>
  <si>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</si>
  <si>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</si>
  <si>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</si>
  <si>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</si>
  <si>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</si>
  <si>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</si>
  <si>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</si>
  <si>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</si>
  <si>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</si>
  <si>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</si>
  <si>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</si>
  <si>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</si>
  <si>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</si>
  <si>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</si>
  <si>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</si>
  <si>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Disease or agent that the vaccination provides protection against ICD-10* - Preferred system(s): SNOMED CT GPS</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</si>
  <si>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</si>
  <si>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</si>
  <si>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</si>
  <si>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</si>
  <si>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</si>
  <si>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</si>
  <si>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</si>
  <si>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</si>
  <si>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</si>
  <si>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</si>
  <si>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</si>
  <si>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</si>
  <si>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</si>
  <si>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</si>
  <si>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</si>
  <si>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</si>
  <si>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</si>
  <si>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</si>
  <si>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</si>
  <si>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</si>
  <si>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</si>
  <si>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</si>
  <si>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</si>
  <si>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A.5.2.8 Vaccination</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</si>
  <si>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</si>
  <si>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</si>
  <si>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extension:basedOn-vaccination-or-requisition.insurance</t>
  </si>
  <si>
    <t>extension(http://hl7.eu/fhir/ig/xpandh/ps/StructureDefinition/composition-basedOn-vaccination-or-requisition).resolve().ofType(ServiceRequest).insurance.resolve().ofType(Coverage)</t>
  </si>
  <si>
    <t>extension(http://hl7.eu/fhir/ig/xpandh/ps/StructureDefinition/composition-basedOn-vaccination-or-requisition).resolve().ofType(ServiceRequest)</t>
  </si>
  <si>
    <t>vaccination2FHIR-eu-ps</t>
  </si>
  <si>
    <t>vaccination-to-fhir-map.fsh</t>
  </si>
  <si>
    <t>A.1.4 Information recipient (intended recipient or recipients of the report, additional recipients might be identified by the vaccinationing party, e.g. GP, other specialist), if applicable</t>
  </si>
  <si>
    <t>observation.vaccination</t>
  </si>
  <si>
    <t>Identifies vaccination and vaccination placer this observation belongs to.</t>
  </si>
  <si>
    <t xml:space="preserve">Identifies vaccination and vaccination placer this observation belongs to. </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</si>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</sst>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52">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0" fillId="10" borderId="1" xfId="0" applyFill="1" applyBorder="1"/>
    <xf numFmtId="0" fontId="0" fillId="11" borderId="1" xfId="0" applyFill="1" applyBorder="1"/>
    <xf numFmtId="0" fontId="0" fillId="12"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3" borderId="0" xfId="0" applyFill="1"/>
    <xf numFmtId="0" fontId="0" fillId="4" borderId="0" xfId="0" applyFill="1"/>
    <xf numFmtId="0" fontId="14" fillId="11"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4" borderId="4" xfId="0" applyFill="1" applyBorder="1" applyAlignment="1">
      <alignment wrapText="1"/>
    </xf>
    <xf numFmtId="0" fontId="2" fillId="14" borderId="0" xfId="1" applyFill="1"/>
    <xf numFmtId="0" fontId="0" fillId="14" borderId="0" xfId="0" applyFill="1"/>
    <xf numFmtId="49" fontId="0" fillId="15"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6"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4" fillId="11" borderId="1" xfId="0" applyFont="1" applyFill="1" applyBorder="1"/>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9"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6" borderId="0" xfId="1" applyFill="1"/>
    <xf numFmtId="0" fontId="0" fillId="0" borderId="37" xfId="0" applyBorder="1"/>
    <xf numFmtId="0" fontId="9" fillId="0" borderId="35"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9" xfId="0" applyFont="1" applyBorder="1" applyAlignment="1">
      <alignment vertical="center" wrapText="1"/>
    </xf>
    <xf numFmtId="0" fontId="17" fillId="0" borderId="1"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3" borderId="1" xfId="0" applyFill="1" applyBorder="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33" xfId="0" applyFont="1" applyBorder="1" applyAlignment="1">
      <alignment horizontal="left" vertical="center" wrapText="1"/>
    </xf>
    <xf numFmtId="0" fontId="9" fillId="0" borderId="34" xfId="0" applyFont="1" applyBorder="1" applyAlignment="1">
      <alignment horizontal="left" vertical="center" wrapText="1"/>
    </xf>
    <xf numFmtId="0" fontId="9" fillId="0" borderId="35" xfId="0" applyFont="1" applyBorder="1" applyAlignment="1">
      <alignment horizontal="left" vertical="center" wrapText="1"/>
    </xf>
    <xf numFmtId="0" fontId="9" fillId="0" borderId="36" xfId="0" applyFont="1" applyBorder="1" applyAlignment="1">
      <alignment horizontal="lef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0" borderId="33" xfId="0" applyFont="1" applyBorder="1" applyAlignment="1">
      <alignment horizontal="center" vertical="center" wrapText="1"/>
    </xf>
    <xf numFmtId="0" fontId="9" fillId="0" borderId="35" xfId="0" applyFont="1" applyBorder="1" applyAlignment="1">
      <alignment horizontal="center" vertical="center" wrapText="1"/>
    </xf>
    <xf numFmtId="0" fontId="0" fillId="0" borderId="0" xfId="0"/>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0" xfId="1"/>
    <xf numFmtId="0" fontId="2" fillId="0" borderId="32" xfId="1" applyBorder="1" applyAlignment="1">
      <alignment horizontal="left"/>
    </xf>
    <xf numFmtId="0" fontId="2" fillId="0" borderId="0" xfId="1" applyAlignment="1">
      <alignment horizontal="left"/>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sheetMetadata" Target="metadata.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103</xdr:row>
          <xdr:rowOff>171450</xdr:rowOff>
        </xdr:from>
        <xdr:to>
          <xdr:col>2</xdr:col>
          <xdr:colOff>1117600</xdr:colOff>
          <xdr:row>105</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6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08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0A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C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E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1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5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A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D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0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3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7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hl7.eu/fhir/laboratory/StructureDefinition/LabReport"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9.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12.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11.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trlProp" Target="../ctrlProps/ctrlProp13.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trlProp" Target="../ctrlProps/ctrlProp15.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9.bin"/><Relationship Id="rId4" Type="http://schemas.openxmlformats.org/officeDocument/2006/relationships/ctrlProp" Target="../ctrlProps/ctrlProp17.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1.bin"/><Relationship Id="rId4" Type="http://schemas.openxmlformats.org/officeDocument/2006/relationships/ctrlProp" Target="../ctrlProps/ctrlProp19.xml"/></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5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4.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5.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3.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H60"/>
  <sheetViews>
    <sheetView topLeftCell="A9" workbookViewId="0">
      <selection activeCell="B42" sqref="B42:E55"/>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20" t="s">
        <v>39</v>
      </c>
      <c r="C3" s="121"/>
      <c r="D3" s="34" t="s">
        <v>40</v>
      </c>
      <c r="E3" s="34" t="s">
        <v>41</v>
      </c>
    </row>
    <row r="4" spans="2:5" ht="16.75" thickBot="1" x14ac:dyDescent="0.9">
      <c r="B4" s="122" t="s">
        <v>611</v>
      </c>
      <c r="C4" s="123"/>
      <c r="D4" s="123"/>
      <c r="E4" s="124"/>
    </row>
    <row r="5" spans="2:5" ht="16.75" thickBot="1" x14ac:dyDescent="0.9">
      <c r="B5" s="122" t="s">
        <v>199</v>
      </c>
      <c r="C5" s="123"/>
      <c r="D5" s="123"/>
      <c r="E5" s="124"/>
    </row>
    <row r="6" spans="2:5" ht="32.75" thickBot="1" x14ac:dyDescent="0.9">
      <c r="B6" s="35" t="s">
        <v>43</v>
      </c>
      <c r="C6" s="35" t="s">
        <v>612</v>
      </c>
      <c r="D6" t="s">
        <v>613</v>
      </c>
      <c r="E6" s="94"/>
    </row>
    <row r="7" spans="2:5" ht="48.75" thickBot="1" x14ac:dyDescent="0.9">
      <c r="B7" s="35" t="s">
        <v>45</v>
      </c>
      <c r="C7" s="36" t="s">
        <v>44</v>
      </c>
      <c r="D7" s="36" t="s">
        <v>192</v>
      </c>
      <c r="E7" s="37"/>
    </row>
    <row r="8" spans="2:5" ht="48.75" thickBot="1" x14ac:dyDescent="0.9">
      <c r="B8" s="35" t="s">
        <v>48</v>
      </c>
      <c r="C8" s="36" t="s">
        <v>46</v>
      </c>
      <c r="D8" s="36" t="s">
        <v>47</v>
      </c>
      <c r="E8" s="37"/>
    </row>
    <row r="9" spans="2:5" ht="48.75" thickBot="1" x14ac:dyDescent="0.9">
      <c r="B9" s="35" t="s">
        <v>52</v>
      </c>
      <c r="C9" s="36" t="s">
        <v>49</v>
      </c>
      <c r="D9" s="36" t="s">
        <v>50</v>
      </c>
      <c r="E9" s="38" t="s">
        <v>51</v>
      </c>
    </row>
    <row r="10" spans="2:5" ht="64.75" thickBot="1" x14ac:dyDescent="0.9">
      <c r="B10" s="95" t="s">
        <v>53</v>
      </c>
      <c r="C10" s="95" t="s">
        <v>54</v>
      </c>
      <c r="D10" s="96" t="s">
        <v>614</v>
      </c>
      <c r="E10" s="95" t="s">
        <v>55</v>
      </c>
    </row>
    <row r="11" spans="2:5" ht="32.75" thickBot="1" x14ac:dyDescent="0.9">
      <c r="B11" s="95" t="s">
        <v>53</v>
      </c>
      <c r="C11" s="95" t="s">
        <v>615</v>
      </c>
      <c r="D11" s="39" t="s">
        <v>616</v>
      </c>
      <c r="E11" s="95" t="s">
        <v>544</v>
      </c>
    </row>
    <row r="12" spans="2:5" ht="16.75" thickBot="1" x14ac:dyDescent="0.9">
      <c r="B12" s="125" t="s">
        <v>617</v>
      </c>
      <c r="C12" s="126"/>
      <c r="D12" s="126"/>
      <c r="E12" s="127"/>
    </row>
    <row r="13" spans="2:5" ht="16.75" thickBot="1" x14ac:dyDescent="0.9">
      <c r="B13" s="128" t="s">
        <v>618</v>
      </c>
      <c r="C13" s="129"/>
      <c r="D13" s="129"/>
      <c r="E13" s="130"/>
    </row>
    <row r="14" spans="2:5" ht="15.5" thickBot="1" x14ac:dyDescent="0.9">
      <c r="B14" s="82" t="s">
        <v>56</v>
      </c>
      <c r="C14" s="83" t="s">
        <v>619</v>
      </c>
      <c r="D14" s="83" t="s">
        <v>198</v>
      </c>
      <c r="E14" s="83"/>
    </row>
    <row r="15" spans="2:5" ht="15.5" thickBot="1" x14ac:dyDescent="0.9">
      <c r="B15" s="84" t="s">
        <v>620</v>
      </c>
      <c r="C15" s="85" t="s">
        <v>621</v>
      </c>
      <c r="D15" s="85" t="s">
        <v>622</v>
      </c>
      <c r="E15" s="85"/>
    </row>
    <row r="16" spans="2:5" ht="30.25" thickBot="1" x14ac:dyDescent="0.9">
      <c r="B16" s="84" t="s">
        <v>623</v>
      </c>
      <c r="C16" s="85" t="s">
        <v>624</v>
      </c>
      <c r="D16" s="85" t="s">
        <v>625</v>
      </c>
      <c r="E16" s="85"/>
    </row>
    <row r="17" spans="2:5" ht="30.25" thickBot="1" x14ac:dyDescent="0.9">
      <c r="B17" s="84" t="s">
        <v>626</v>
      </c>
      <c r="C17" s="85" t="s">
        <v>627</v>
      </c>
      <c r="D17" s="85" t="s">
        <v>628</v>
      </c>
      <c r="E17" s="85"/>
    </row>
    <row r="18" spans="2:5" ht="15.5" thickBot="1" x14ac:dyDescent="0.9">
      <c r="B18" s="84" t="s">
        <v>629</v>
      </c>
      <c r="C18" s="85" t="s">
        <v>630</v>
      </c>
      <c r="D18" s="85" t="s">
        <v>631</v>
      </c>
      <c r="E18" s="85"/>
    </row>
    <row r="19" spans="2:5" ht="15.5" thickBot="1" x14ac:dyDescent="0.9">
      <c r="B19" s="84" t="s">
        <v>632</v>
      </c>
      <c r="C19" s="85" t="s">
        <v>633</v>
      </c>
      <c r="D19" s="85" t="s">
        <v>634</v>
      </c>
      <c r="E19" s="85"/>
    </row>
    <row r="20" spans="2:5" ht="15.5" thickBot="1" x14ac:dyDescent="0.9">
      <c r="B20" s="84" t="s">
        <v>642</v>
      </c>
      <c r="C20" s="85" t="s">
        <v>541</v>
      </c>
      <c r="D20" s="85" t="s">
        <v>635</v>
      </c>
      <c r="E20" s="85" t="s">
        <v>544</v>
      </c>
    </row>
    <row r="21" spans="2:5" ht="15.5" thickBot="1" x14ac:dyDescent="0.9">
      <c r="B21" s="84" t="s">
        <v>636</v>
      </c>
      <c r="C21" s="85" t="s">
        <v>637</v>
      </c>
      <c r="D21" s="85" t="s">
        <v>638</v>
      </c>
      <c r="E21" s="85"/>
    </row>
    <row r="22" spans="2:5" ht="15.5" thickBot="1" x14ac:dyDescent="0.9">
      <c r="B22" s="84" t="s">
        <v>639</v>
      </c>
      <c r="C22" s="85" t="s">
        <v>640</v>
      </c>
      <c r="D22" s="85" t="s">
        <v>641</v>
      </c>
      <c r="E22" s="85"/>
    </row>
    <row r="23" spans="2:5" ht="42.75" customHeight="1" thickBot="1" x14ac:dyDescent="0.9">
      <c r="B23" s="125" t="s">
        <v>643</v>
      </c>
      <c r="C23" s="126"/>
      <c r="D23" s="126"/>
      <c r="E23" s="127"/>
    </row>
    <row r="24" spans="2:5" ht="30.25" thickBot="1" x14ac:dyDescent="0.9">
      <c r="B24" s="82" t="s">
        <v>644</v>
      </c>
      <c r="C24" s="83" t="s">
        <v>645</v>
      </c>
      <c r="D24" s="83" t="s">
        <v>646</v>
      </c>
      <c r="E24" s="83"/>
    </row>
    <row r="25" spans="2:5" ht="15.5" thickBot="1" x14ac:dyDescent="0.9">
      <c r="B25" s="84" t="s">
        <v>647</v>
      </c>
      <c r="C25" s="85" t="s">
        <v>648</v>
      </c>
      <c r="D25" s="85" t="s">
        <v>649</v>
      </c>
      <c r="E25" s="85"/>
    </row>
    <row r="26" spans="2:5" ht="15.5" thickBot="1" x14ac:dyDescent="0.9">
      <c r="B26" s="84" t="s">
        <v>650</v>
      </c>
      <c r="C26" s="85" t="s">
        <v>651</v>
      </c>
      <c r="D26" s="85" t="s">
        <v>652</v>
      </c>
      <c r="E26" s="85"/>
    </row>
    <row r="27" spans="2:5" ht="15.5" thickBot="1" x14ac:dyDescent="0.9">
      <c r="B27" s="84" t="s">
        <v>653</v>
      </c>
      <c r="C27" s="85" t="s">
        <v>637</v>
      </c>
      <c r="D27" s="85" t="s">
        <v>654</v>
      </c>
      <c r="E27" s="85"/>
    </row>
    <row r="28" spans="2:5" ht="15.5" thickBot="1" x14ac:dyDescent="0.9">
      <c r="B28" s="84" t="s">
        <v>655</v>
      </c>
      <c r="C28" s="85" t="s">
        <v>640</v>
      </c>
      <c r="D28" s="85" t="s">
        <v>656</v>
      </c>
      <c r="E28" s="85"/>
    </row>
    <row r="29" spans="2:5" ht="30.25" thickBot="1" x14ac:dyDescent="0.9">
      <c r="B29" s="84" t="s">
        <v>657</v>
      </c>
      <c r="C29" s="85" t="s">
        <v>658</v>
      </c>
      <c r="D29" s="85" t="s">
        <v>659</v>
      </c>
      <c r="E29" s="85"/>
    </row>
    <row r="30" spans="2:5" ht="30.25" thickBot="1" x14ac:dyDescent="0.9">
      <c r="B30" s="84" t="s">
        <v>660</v>
      </c>
      <c r="C30" s="85" t="s">
        <v>661</v>
      </c>
      <c r="D30" s="85" t="s">
        <v>662</v>
      </c>
      <c r="E30" s="85"/>
    </row>
    <row r="31" spans="2:5" ht="16.75" thickBot="1" x14ac:dyDescent="0.9">
      <c r="B31" s="125" t="s">
        <v>663</v>
      </c>
      <c r="C31" s="126"/>
      <c r="D31" s="126"/>
      <c r="E31" s="127"/>
    </row>
    <row r="32" spans="2:5" ht="30.25" thickBot="1" x14ac:dyDescent="0.9">
      <c r="B32" s="82" t="s">
        <v>664</v>
      </c>
      <c r="C32" s="83" t="s">
        <v>665</v>
      </c>
      <c r="D32" s="83" t="s">
        <v>666</v>
      </c>
      <c r="E32" s="83" t="s">
        <v>667</v>
      </c>
    </row>
    <row r="33" spans="2:8" ht="30.25" thickBot="1" x14ac:dyDescent="0.9">
      <c r="B33" s="84" t="s">
        <v>668</v>
      </c>
      <c r="C33" s="85" t="s">
        <v>669</v>
      </c>
      <c r="D33" s="85" t="s">
        <v>670</v>
      </c>
      <c r="E33" s="85"/>
    </row>
    <row r="34" spans="2:8" ht="30.25" thickBot="1" x14ac:dyDescent="0.9">
      <c r="B34" s="84" t="s">
        <v>671</v>
      </c>
      <c r="C34" s="85" t="s">
        <v>672</v>
      </c>
      <c r="D34" s="85" t="s">
        <v>673</v>
      </c>
      <c r="E34" s="85"/>
    </row>
    <row r="35" spans="2:8" x14ac:dyDescent="0.75">
      <c r="B35" s="132" t="s">
        <v>674</v>
      </c>
      <c r="C35" s="132" t="s">
        <v>44</v>
      </c>
      <c r="D35" s="40" t="s">
        <v>675</v>
      </c>
      <c r="E35" s="132"/>
    </row>
    <row r="36" spans="2:8" ht="15.5" thickBot="1" x14ac:dyDescent="0.9">
      <c r="B36" s="133"/>
      <c r="C36" s="133"/>
      <c r="D36" s="85" t="s">
        <v>676</v>
      </c>
      <c r="E36" s="133"/>
    </row>
    <row r="37" spans="2:8" ht="15.5" thickBot="1" x14ac:dyDescent="0.9">
      <c r="B37" s="84" t="s">
        <v>677</v>
      </c>
      <c r="C37" s="85" t="s">
        <v>637</v>
      </c>
      <c r="D37" s="85" t="s">
        <v>654</v>
      </c>
      <c r="E37" s="85"/>
    </row>
    <row r="38" spans="2:8" ht="15.5" thickBot="1" x14ac:dyDescent="0.9">
      <c r="B38" s="84" t="s">
        <v>678</v>
      </c>
      <c r="C38" s="85" t="s">
        <v>640</v>
      </c>
      <c r="D38" s="85" t="s">
        <v>679</v>
      </c>
      <c r="E38" s="85"/>
    </row>
    <row r="39" spans="2:8" ht="19.5" customHeight="1" x14ac:dyDescent="0.75">
      <c r="B39" s="131" t="s">
        <v>680</v>
      </c>
      <c r="C39" s="129"/>
      <c r="D39" s="129"/>
      <c r="E39" s="129"/>
    </row>
    <row r="40" spans="2:8" ht="15.5" thickBot="1" x14ac:dyDescent="0.9">
      <c r="B40" s="84" t="s">
        <v>60</v>
      </c>
      <c r="C40" s="85" t="s">
        <v>681</v>
      </c>
      <c r="D40" s="85" t="s">
        <v>682</v>
      </c>
      <c r="E40" s="85"/>
    </row>
    <row r="41" spans="2:8" ht="15.5" thickBot="1" x14ac:dyDescent="0.9">
      <c r="B41" s="101"/>
      <c r="C41" s="101"/>
      <c r="D41" s="101"/>
      <c r="E41" s="101"/>
    </row>
    <row r="42" spans="2:8" ht="15.5" thickBot="1" x14ac:dyDescent="0.9">
      <c r="B42" s="106" t="s">
        <v>830</v>
      </c>
      <c r="C42" s="107" t="s">
        <v>831</v>
      </c>
      <c r="D42" s="103"/>
      <c r="E42" s="103"/>
      <c r="H42" t="str">
        <f>B42&amp;" "&amp;C42</f>
        <v>A.1.4 Document data</v>
      </c>
    </row>
    <row r="43" spans="2:8" ht="15.5" thickBot="1" x14ac:dyDescent="0.9">
      <c r="B43" s="104" t="s">
        <v>71</v>
      </c>
      <c r="C43" s="105" t="s">
        <v>832</v>
      </c>
      <c r="D43" s="105" t="s">
        <v>833</v>
      </c>
      <c r="E43" s="105" t="s">
        <v>94</v>
      </c>
    </row>
    <row r="44" spans="2:8" ht="30.25" thickBot="1" x14ac:dyDescent="0.9">
      <c r="B44" s="104" t="s">
        <v>73</v>
      </c>
      <c r="C44" s="105" t="s">
        <v>834</v>
      </c>
      <c r="D44" s="105" t="s">
        <v>835</v>
      </c>
      <c r="E44" s="105"/>
    </row>
    <row r="45" spans="2:8" ht="59.75" thickBot="1" x14ac:dyDescent="0.9">
      <c r="B45" s="104" t="s">
        <v>76</v>
      </c>
      <c r="C45" s="105" t="s">
        <v>836</v>
      </c>
      <c r="D45" s="105" t="s">
        <v>837</v>
      </c>
      <c r="E45" s="105"/>
    </row>
    <row r="46" spans="2:8" ht="15.5" thickBot="1" x14ac:dyDescent="0.9">
      <c r="B46" s="104"/>
      <c r="C46" s="105"/>
      <c r="D46" s="105"/>
      <c r="E46" s="105"/>
    </row>
    <row r="47" spans="2:8" ht="15.5" thickBot="1" x14ac:dyDescent="0.9">
      <c r="B47" s="104"/>
      <c r="C47" s="105"/>
      <c r="D47" s="105"/>
      <c r="E47" s="105"/>
    </row>
    <row r="48" spans="2:8" ht="15.5" thickBot="1" x14ac:dyDescent="0.9">
      <c r="B48" s="108" t="s">
        <v>838</v>
      </c>
      <c r="C48" s="109" t="s">
        <v>839</v>
      </c>
      <c r="D48" s="105"/>
      <c r="E48" s="105"/>
      <c r="H48" t="str">
        <f>B48&amp;" "&amp;C48</f>
        <v>A.1.5 Author and Organisation</v>
      </c>
    </row>
    <row r="49" spans="2:8" ht="89.25" thickBot="1" x14ac:dyDescent="0.9">
      <c r="B49" s="104" t="s">
        <v>79</v>
      </c>
      <c r="C49" s="105" t="s">
        <v>840</v>
      </c>
      <c r="D49" s="105" t="s">
        <v>841</v>
      </c>
      <c r="E49" s="105"/>
    </row>
    <row r="50" spans="2:8" ht="30.25" thickBot="1" x14ac:dyDescent="0.9">
      <c r="B50" s="104" t="s">
        <v>81</v>
      </c>
      <c r="C50" s="105" t="s">
        <v>842</v>
      </c>
      <c r="D50" s="105" t="s">
        <v>843</v>
      </c>
      <c r="E50" s="105"/>
    </row>
    <row r="51" spans="2:8" ht="15.5" thickBot="1" x14ac:dyDescent="0.9">
      <c r="B51" s="104"/>
      <c r="C51" s="105"/>
      <c r="D51" s="105"/>
      <c r="E51" s="105"/>
    </row>
    <row r="52" spans="2:8" ht="15.5" thickBot="1" x14ac:dyDescent="0.9">
      <c r="B52" s="104"/>
      <c r="C52" s="105"/>
      <c r="D52" s="105"/>
      <c r="E52" s="105"/>
    </row>
    <row r="53" spans="2:8" ht="30.25" thickBot="1" x14ac:dyDescent="0.9">
      <c r="B53" s="108" t="s">
        <v>844</v>
      </c>
      <c r="C53" s="109" t="s">
        <v>845</v>
      </c>
      <c r="D53" s="105"/>
      <c r="E53" s="105"/>
      <c r="H53" t="str">
        <f>B53&amp;" "&amp;C53</f>
        <v>A.1.6 Additional information / Knowledge resources</v>
      </c>
    </row>
    <row r="54" spans="2:8" ht="74.5" thickBot="1" x14ac:dyDescent="0.9">
      <c r="B54" s="104" t="s">
        <v>86</v>
      </c>
      <c r="C54" s="105" t="s">
        <v>846</v>
      </c>
      <c r="D54" s="105" t="s">
        <v>847</v>
      </c>
      <c r="E54" s="105"/>
    </row>
    <row r="55" spans="2:8" ht="59.75" thickBot="1" x14ac:dyDescent="0.9">
      <c r="B55" s="104" t="s">
        <v>88</v>
      </c>
      <c r="C55" s="105" t="s">
        <v>661</v>
      </c>
      <c r="D55" s="105" t="s">
        <v>848</v>
      </c>
      <c r="E55" s="105"/>
    </row>
    <row r="56" spans="2:8" x14ac:dyDescent="0.75">
      <c r="B56" s="101"/>
      <c r="C56" s="101"/>
      <c r="D56" s="101"/>
      <c r="E56" s="101"/>
    </row>
    <row r="57" spans="2:8" x14ac:dyDescent="0.75">
      <c r="B57" s="101"/>
      <c r="C57" s="101"/>
      <c r="D57" s="101"/>
      <c r="E57" s="101"/>
    </row>
    <row r="58" spans="2:8" x14ac:dyDescent="0.75">
      <c r="B58" s="101"/>
      <c r="C58" s="101"/>
      <c r="D58" s="101"/>
      <c r="E58" s="101"/>
    </row>
    <row r="59" spans="2:8" x14ac:dyDescent="0.75">
      <c r="B59" s="101"/>
      <c r="C59" s="101"/>
      <c r="D59" s="101"/>
      <c r="E59" s="101"/>
    </row>
    <row r="60" spans="2:8" x14ac:dyDescent="0.75">
      <c r="B60" s="101"/>
      <c r="C60" s="101"/>
      <c r="D60" s="101"/>
      <c r="E60" s="101"/>
    </row>
  </sheetData>
  <mergeCells count="11">
    <mergeCell ref="B39:E39"/>
    <mergeCell ref="B35:B36"/>
    <mergeCell ref="C35:C36"/>
    <mergeCell ref="E35:E36"/>
    <mergeCell ref="B23:E23"/>
    <mergeCell ref="B31:E31"/>
    <mergeCell ref="B3:C3"/>
    <mergeCell ref="B4:E4"/>
    <mergeCell ref="B5:E5"/>
    <mergeCell ref="B12:E12"/>
    <mergeCell ref="B13:E13"/>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18" zoomScale="130" zoomScaleNormal="130" workbookViewId="0">
      <selection activeCell="A21" sqref="A21"/>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34" t="s">
        <v>39</v>
      </c>
      <c r="C3" s="135"/>
      <c r="D3" s="112" t="s">
        <v>40</v>
      </c>
      <c r="E3" s="112" t="s">
        <v>41</v>
      </c>
    </row>
    <row r="4" spans="1:5" ht="16" x14ac:dyDescent="0.75">
      <c r="B4" s="113"/>
      <c r="C4" s="113"/>
      <c r="D4" s="113"/>
      <c r="E4" s="113"/>
    </row>
    <row r="5" spans="1:5" ht="29.5" x14ac:dyDescent="0.75">
      <c r="B5" s="115" t="s">
        <v>903</v>
      </c>
      <c r="C5" s="115" t="s">
        <v>879</v>
      </c>
      <c r="D5" s="14"/>
      <c r="E5" s="14"/>
    </row>
    <row r="6" spans="1:5" x14ac:dyDescent="0.75">
      <c r="A6" t="str">
        <f>B6&amp;" - "&amp;C6</f>
        <v>A.2.1 - Alerts</v>
      </c>
      <c r="B6" s="115" t="s">
        <v>105</v>
      </c>
      <c r="C6" s="115" t="s">
        <v>880</v>
      </c>
      <c r="D6" s="14"/>
      <c r="E6" s="14"/>
    </row>
    <row r="7" spans="1:5" x14ac:dyDescent="0.75">
      <c r="A7" t="str">
        <f>B7&amp;" - "&amp;C7</f>
        <v>A.2.1.1 - Allergy</v>
      </c>
      <c r="B7" s="115" t="s">
        <v>904</v>
      </c>
      <c r="C7" s="115" t="s">
        <v>881</v>
      </c>
      <c r="D7" s="14"/>
      <c r="E7" s="14"/>
    </row>
    <row r="8" spans="1:5" x14ac:dyDescent="0.75">
      <c r="A8" t="str">
        <f t="shared" ref="A8:A17" si="0">B8&amp;" - "&amp;C8</f>
        <v>A.2.1.1.1 - Allergy description</v>
      </c>
      <c r="B8" s="116" t="s">
        <v>905</v>
      </c>
      <c r="C8" s="116" t="s">
        <v>882</v>
      </c>
      <c r="D8" s="116" t="s">
        <v>883</v>
      </c>
      <c r="E8" s="14"/>
    </row>
    <row r="9" spans="1:5" ht="29.5" x14ac:dyDescent="0.75">
      <c r="A9" t="str">
        <f t="shared" si="0"/>
        <v>A.2.1.1.2 - Type of propensity</v>
      </c>
      <c r="B9" s="116" t="s">
        <v>906</v>
      </c>
      <c r="C9" s="116" t="s">
        <v>884</v>
      </c>
      <c r="D9" s="116" t="s">
        <v>885</v>
      </c>
      <c r="E9" s="116" t="s">
        <v>886</v>
      </c>
    </row>
    <row r="10" spans="1:5" ht="29.5" x14ac:dyDescent="0.75">
      <c r="A10" t="str">
        <f t="shared" si="0"/>
        <v>A.2.1.1.3 - Allergy manifestation</v>
      </c>
      <c r="B10" s="116" t="s">
        <v>907</v>
      </c>
      <c r="C10" s="116" t="s">
        <v>887</v>
      </c>
      <c r="D10" s="116" t="s">
        <v>888</v>
      </c>
      <c r="E10" s="116" t="s">
        <v>886</v>
      </c>
    </row>
    <row r="11" spans="1:5" x14ac:dyDescent="0.75">
      <c r="A11" t="str">
        <f t="shared" si="0"/>
        <v>A.2.1.1.4 - Severity Severity</v>
      </c>
      <c r="B11" s="116" t="s">
        <v>908</v>
      </c>
      <c r="C11" s="116" t="s">
        <v>889</v>
      </c>
      <c r="D11" s="116" t="s">
        <v>890</v>
      </c>
      <c r="E11" s="116" t="s">
        <v>886</v>
      </c>
    </row>
    <row r="12" spans="1:5" ht="29.5" x14ac:dyDescent="0.75">
      <c r="A12" t="str">
        <f t="shared" si="0"/>
        <v>A.2.1.1.5 - Criticality</v>
      </c>
      <c r="B12" s="116" t="s">
        <v>909</v>
      </c>
      <c r="C12" s="116" t="s">
        <v>891</v>
      </c>
      <c r="D12" s="116" t="s">
        <v>892</v>
      </c>
      <c r="E12" s="116" t="s">
        <v>886</v>
      </c>
    </row>
    <row r="13" spans="1:5" x14ac:dyDescent="0.75">
      <c r="A13" t="str">
        <f t="shared" si="0"/>
        <v>A.2.1.1.6 - Onset date</v>
      </c>
      <c r="B13" s="116" t="s">
        <v>910</v>
      </c>
      <c r="C13" s="116" t="s">
        <v>893</v>
      </c>
      <c r="D13" s="116" t="s">
        <v>894</v>
      </c>
      <c r="E13" s="14"/>
    </row>
    <row r="14" spans="1:5" ht="29.5" x14ac:dyDescent="0.75">
      <c r="A14" t="str">
        <f t="shared" si="0"/>
        <v>A.2.1.1.7 - End Date</v>
      </c>
      <c r="B14" s="116" t="s">
        <v>911</v>
      </c>
      <c r="C14" s="116" t="s">
        <v>895</v>
      </c>
      <c r="D14" s="116" t="s">
        <v>896</v>
      </c>
      <c r="E14" s="116" t="s">
        <v>94</v>
      </c>
    </row>
    <row r="15" spans="1:5" x14ac:dyDescent="0.75">
      <c r="A15" t="str">
        <f t="shared" si="0"/>
        <v>A.2.1.1.8 - Status</v>
      </c>
      <c r="B15" s="116" t="s">
        <v>912</v>
      </c>
      <c r="C15" s="116" t="s">
        <v>897</v>
      </c>
      <c r="D15" s="116" t="s">
        <v>898</v>
      </c>
      <c r="E15" s="116" t="s">
        <v>886</v>
      </c>
    </row>
    <row r="16" spans="1:5" ht="29.5" x14ac:dyDescent="0.75">
      <c r="A16" t="str">
        <f t="shared" si="0"/>
        <v>A.2.1.1.9 - Certainty</v>
      </c>
      <c r="B16" s="116" t="s">
        <v>913</v>
      </c>
      <c r="C16" s="116" t="s">
        <v>899</v>
      </c>
      <c r="D16" s="116" t="s">
        <v>900</v>
      </c>
      <c r="E16" s="116" t="s">
        <v>886</v>
      </c>
    </row>
    <row r="17" spans="1:5" ht="59" x14ac:dyDescent="0.75">
      <c r="A17" t="str">
        <f t="shared" si="0"/>
        <v>A.2.1.1.10 - Agent or Allergen</v>
      </c>
      <c r="B17" s="116" t="s">
        <v>914</v>
      </c>
      <c r="C17" s="116" t="s">
        <v>915</v>
      </c>
      <c r="D17" s="116" t="s">
        <v>901</v>
      </c>
      <c r="E17" s="116" t="s">
        <v>902</v>
      </c>
    </row>
    <row r="18" spans="1:5" ht="48" x14ac:dyDescent="0.75">
      <c r="A18" t="str">
        <f>B18&amp;" "&amp;C18</f>
        <v>A.2.1.2 Medical alert information (other alerts not included in allergies)</v>
      </c>
      <c r="B18" s="113" t="s">
        <v>917</v>
      </c>
      <c r="C18" s="113" t="s">
        <v>916</v>
      </c>
      <c r="D18" s="113"/>
      <c r="E18" s="113"/>
    </row>
    <row r="19" spans="1:5" ht="162.25" x14ac:dyDescent="0.75">
      <c r="A19" t="str">
        <f>B19&amp;" "&amp;C19</f>
        <v>A.2.1.2.1 Healthcare alert description</v>
      </c>
      <c r="B19" s="113" t="s">
        <v>918</v>
      </c>
      <c r="C19" s="113" t="s">
        <v>919</v>
      </c>
      <c r="D19" s="1" t="s">
        <v>1327</v>
      </c>
      <c r="E19" s="113"/>
    </row>
    <row r="20" spans="1:5" ht="16.75" thickBot="1" x14ac:dyDescent="0.9">
      <c r="A20" t="str">
        <f>B20&amp;" - "&amp;C20</f>
        <v>A.2.2 - Medical history</v>
      </c>
      <c r="B20" s="113" t="s">
        <v>106</v>
      </c>
      <c r="C20" s="113" t="s">
        <v>953</v>
      </c>
      <c r="D20" s="113" t="s">
        <v>1016</v>
      </c>
      <c r="E20" s="113"/>
    </row>
    <row r="21" spans="1:5" ht="30.25" thickBot="1" x14ac:dyDescent="0.9">
      <c r="A21" t="str">
        <f>B21&amp;" - "&amp;C21</f>
        <v>A.2.2.1 - Vaccination/ prophylaxis information</v>
      </c>
      <c r="B21" s="106" t="s">
        <v>1143</v>
      </c>
      <c r="C21" s="107" t="s">
        <v>1142</v>
      </c>
      <c r="D21" s="103"/>
      <c r="E21" s="103"/>
    </row>
    <row r="22" spans="1:5" ht="15.5" thickBot="1" x14ac:dyDescent="0.9">
      <c r="B22" s="104" t="s">
        <v>1017</v>
      </c>
      <c r="C22" s="105" t="s">
        <v>920</v>
      </c>
      <c r="D22" s="105" t="s">
        <v>921</v>
      </c>
      <c r="E22" s="105" t="s">
        <v>886</v>
      </c>
    </row>
    <row r="23" spans="1:5" ht="30.25" thickBot="1" x14ac:dyDescent="0.9">
      <c r="B23" s="104" t="s">
        <v>1018</v>
      </c>
      <c r="C23" s="105" t="s">
        <v>922</v>
      </c>
      <c r="D23" s="105" t="s">
        <v>923</v>
      </c>
      <c r="E23" s="105" t="s">
        <v>924</v>
      </c>
    </row>
    <row r="24" spans="1:5" ht="30.25" thickBot="1" x14ac:dyDescent="0.9">
      <c r="B24" s="104" t="s">
        <v>1019</v>
      </c>
      <c r="C24" s="105" t="s">
        <v>925</v>
      </c>
      <c r="D24" s="105" t="s">
        <v>926</v>
      </c>
      <c r="E24" s="105"/>
    </row>
    <row r="25" spans="1:5" ht="30.25" thickBot="1" x14ac:dyDescent="0.9">
      <c r="B25" s="104" t="s">
        <v>1020</v>
      </c>
      <c r="C25" s="105" t="s">
        <v>927</v>
      </c>
      <c r="D25" s="105" t="s">
        <v>928</v>
      </c>
      <c r="E25" s="105"/>
    </row>
    <row r="26" spans="1:5" ht="30.25" thickBot="1" x14ac:dyDescent="0.9">
      <c r="B26" s="104" t="s">
        <v>1021</v>
      </c>
      <c r="C26" s="105" t="s">
        <v>929</v>
      </c>
      <c r="D26" s="105" t="s">
        <v>930</v>
      </c>
      <c r="E26" s="105"/>
    </row>
    <row r="27" spans="1:5" ht="30.25" thickBot="1" x14ac:dyDescent="0.9">
      <c r="B27" s="104" t="s">
        <v>1022</v>
      </c>
      <c r="C27" s="105" t="s">
        <v>931</v>
      </c>
      <c r="D27" s="105" t="s">
        <v>1323</v>
      </c>
      <c r="E27" s="105"/>
    </row>
    <row r="28" spans="1:5" ht="15.5" thickBot="1" x14ac:dyDescent="0.9">
      <c r="B28" s="104" t="s">
        <v>1023</v>
      </c>
      <c r="C28" s="105" t="s">
        <v>932</v>
      </c>
      <c r="D28" s="105" t="s">
        <v>933</v>
      </c>
      <c r="E28" s="105"/>
    </row>
    <row r="29" spans="1:5" ht="15.5" thickBot="1" x14ac:dyDescent="0.9">
      <c r="B29" s="104" t="s">
        <v>1024</v>
      </c>
      <c r="C29" s="105" t="s">
        <v>934</v>
      </c>
      <c r="D29" s="105" t="s">
        <v>935</v>
      </c>
      <c r="E29" s="105" t="s">
        <v>94</v>
      </c>
    </row>
    <row r="30" spans="1:5" ht="15.5" thickBot="1" x14ac:dyDescent="0.9">
      <c r="B30" s="104" t="s">
        <v>1025</v>
      </c>
      <c r="C30" s="105" t="s">
        <v>936</v>
      </c>
      <c r="D30" s="105" t="s">
        <v>937</v>
      </c>
      <c r="E30" s="105"/>
    </row>
    <row r="31" spans="1:5" ht="30.25" thickBot="1" x14ac:dyDescent="0.9">
      <c r="B31" s="104" t="s">
        <v>1026</v>
      </c>
      <c r="C31" s="105" t="s">
        <v>938</v>
      </c>
      <c r="D31" s="105" t="s">
        <v>939</v>
      </c>
      <c r="E31" s="105"/>
    </row>
    <row r="32" spans="1:5" ht="15.5" thickBot="1" x14ac:dyDescent="0.9">
      <c r="B32" s="104" t="s">
        <v>1027</v>
      </c>
      <c r="C32" s="105" t="s">
        <v>940</v>
      </c>
      <c r="D32" s="105" t="s">
        <v>941</v>
      </c>
      <c r="E32" s="105" t="s">
        <v>544</v>
      </c>
    </row>
    <row r="33" spans="1:5" ht="15.5" thickBot="1" x14ac:dyDescent="0.9">
      <c r="B33" s="104" t="s">
        <v>1028</v>
      </c>
      <c r="C33" s="105" t="s">
        <v>942</v>
      </c>
      <c r="D33" s="105" t="s">
        <v>943</v>
      </c>
      <c r="E33" s="105" t="s">
        <v>94</v>
      </c>
    </row>
    <row r="34" spans="1:5" ht="30.25" thickBot="1" x14ac:dyDescent="0.9">
      <c r="A34" t="str">
        <f>B34&amp;" - "&amp;C34</f>
        <v>A.2.2.2 - Resolved, closed or inactive problems</v>
      </c>
      <c r="B34" s="108" t="s">
        <v>1029</v>
      </c>
      <c r="C34" s="109" t="s">
        <v>944</v>
      </c>
      <c r="D34" s="105"/>
      <c r="E34" s="105"/>
    </row>
    <row r="35" spans="1:5" ht="45" thickBot="1" x14ac:dyDescent="0.9">
      <c r="B35" s="104" t="s">
        <v>1030</v>
      </c>
      <c r="C35" s="105" t="s">
        <v>945</v>
      </c>
      <c r="D35" s="105" t="s">
        <v>946</v>
      </c>
      <c r="E35" s="105" t="s">
        <v>947</v>
      </c>
    </row>
    <row r="36" spans="1:5" ht="15.5" thickBot="1" x14ac:dyDescent="0.9">
      <c r="B36" s="104" t="s">
        <v>1031</v>
      </c>
      <c r="C36" s="105" t="s">
        <v>893</v>
      </c>
      <c r="D36" s="105" t="s">
        <v>948</v>
      </c>
      <c r="E36" s="105" t="s">
        <v>94</v>
      </c>
    </row>
    <row r="37" spans="1:5" ht="15.5" thickBot="1" x14ac:dyDescent="0.9">
      <c r="B37" s="104" t="s">
        <v>1032</v>
      </c>
      <c r="C37" s="105" t="s">
        <v>949</v>
      </c>
      <c r="D37" s="105" t="s">
        <v>950</v>
      </c>
      <c r="E37" s="105" t="s">
        <v>94</v>
      </c>
    </row>
    <row r="38" spans="1:5" ht="74.5" thickBot="1" x14ac:dyDescent="0.9">
      <c r="B38" s="104" t="s">
        <v>1033</v>
      </c>
      <c r="C38" s="105" t="s">
        <v>951</v>
      </c>
      <c r="D38" s="105" t="s">
        <v>952</v>
      </c>
      <c r="E38" s="105"/>
    </row>
    <row r="39" spans="1:5" ht="15.5" thickBot="1" x14ac:dyDescent="0.9">
      <c r="A39" t="str">
        <f>B39&amp;" - "&amp;C39</f>
        <v>A.2.2.3 - Medical history</v>
      </c>
      <c r="B39" s="108" t="s">
        <v>1035</v>
      </c>
      <c r="C39" s="109" t="s">
        <v>953</v>
      </c>
      <c r="D39" s="105"/>
      <c r="E39" s="105"/>
    </row>
    <row r="40" spans="1:5" ht="45" thickBot="1" x14ac:dyDescent="0.9">
      <c r="B40" s="104" t="s">
        <v>1034</v>
      </c>
      <c r="C40" s="105" t="s">
        <v>953</v>
      </c>
      <c r="D40" s="105" t="s">
        <v>954</v>
      </c>
      <c r="E40" s="105"/>
    </row>
    <row r="41" spans="1:5" ht="15.5" thickBot="1" x14ac:dyDescent="0.9">
      <c r="B41" s="104" t="s">
        <v>107</v>
      </c>
      <c r="C41" s="105" t="s">
        <v>955</v>
      </c>
      <c r="D41" s="105"/>
      <c r="E41" s="105"/>
    </row>
    <row r="42" spans="1:5" ht="15.5" thickBot="1" x14ac:dyDescent="0.9">
      <c r="B42" s="104" t="s">
        <v>1036</v>
      </c>
      <c r="C42" s="105" t="s">
        <v>956</v>
      </c>
      <c r="D42" s="105"/>
      <c r="E42" s="105"/>
    </row>
    <row r="43" spans="1:5" ht="45" thickBot="1" x14ac:dyDescent="0.9">
      <c r="B43" s="104" t="s">
        <v>1037</v>
      </c>
      <c r="C43" s="105" t="s">
        <v>957</v>
      </c>
      <c r="D43" s="105" t="s">
        <v>958</v>
      </c>
      <c r="E43" s="105" t="s">
        <v>959</v>
      </c>
    </row>
    <row r="44" spans="1:5" ht="15.5" thickBot="1" x14ac:dyDescent="0.9">
      <c r="B44" s="104" t="s">
        <v>1038</v>
      </c>
      <c r="C44" s="105" t="s">
        <v>893</v>
      </c>
      <c r="D44" s="105" t="s">
        <v>948</v>
      </c>
      <c r="E44" s="105" t="s">
        <v>94</v>
      </c>
    </row>
    <row r="45" spans="1:5" ht="30.25" thickBot="1" x14ac:dyDescent="0.9">
      <c r="B45" s="104" t="s">
        <v>1039</v>
      </c>
      <c r="C45" s="105" t="s">
        <v>960</v>
      </c>
      <c r="D45" s="105" t="s">
        <v>961</v>
      </c>
      <c r="E45" s="105" t="s">
        <v>962</v>
      </c>
    </row>
    <row r="46" spans="1:5" ht="30.25" thickBot="1" x14ac:dyDescent="0.9">
      <c r="A46" t="str">
        <f>B46&amp;" - "&amp;C46</f>
        <v>A.2.3.2 - Medical devices and implants</v>
      </c>
      <c r="B46" s="108" t="s">
        <v>1040</v>
      </c>
      <c r="C46" s="109" t="s">
        <v>963</v>
      </c>
      <c r="D46" s="105"/>
      <c r="E46" s="105"/>
    </row>
    <row r="47" spans="1:5" ht="45" thickBot="1" x14ac:dyDescent="0.9">
      <c r="B47" s="104" t="s">
        <v>1041</v>
      </c>
      <c r="C47" s="105" t="s">
        <v>964</v>
      </c>
      <c r="D47" s="105" t="s">
        <v>965</v>
      </c>
      <c r="E47" s="105" t="s">
        <v>966</v>
      </c>
    </row>
    <row r="48" spans="1:5" ht="15.5" thickBot="1" x14ac:dyDescent="0.9">
      <c r="B48" s="104" t="s">
        <v>1042</v>
      </c>
      <c r="C48" s="105" t="s">
        <v>967</v>
      </c>
      <c r="D48" s="105" t="s">
        <v>968</v>
      </c>
      <c r="E48" s="105"/>
    </row>
    <row r="49" spans="1:5" ht="15.5" thickBot="1" x14ac:dyDescent="0.9">
      <c r="B49" s="104" t="s">
        <v>1043</v>
      </c>
      <c r="C49" s="105" t="s">
        <v>969</v>
      </c>
      <c r="D49" s="105" t="s">
        <v>970</v>
      </c>
      <c r="E49" s="105" t="s">
        <v>94</v>
      </c>
    </row>
    <row r="50" spans="1:5" ht="30.25" thickBot="1" x14ac:dyDescent="0.9">
      <c r="B50" s="104" t="s">
        <v>1044</v>
      </c>
      <c r="C50" s="105" t="s">
        <v>949</v>
      </c>
      <c r="D50" s="105" t="s">
        <v>971</v>
      </c>
      <c r="E50" s="105" t="s">
        <v>94</v>
      </c>
    </row>
    <row r="51" spans="1:5" ht="15.5" thickBot="1" x14ac:dyDescent="0.9">
      <c r="A51" t="str">
        <f>B51&amp;" - "&amp;C51</f>
        <v>A.2.3.3 - Procedures</v>
      </c>
      <c r="B51" s="108" t="s">
        <v>1148</v>
      </c>
      <c r="C51" s="109" t="s">
        <v>972</v>
      </c>
      <c r="D51" s="105"/>
      <c r="E51" s="105"/>
    </row>
    <row r="52" spans="1:5" ht="15.5" thickBot="1" x14ac:dyDescent="0.9">
      <c r="B52" s="104" t="s">
        <v>1045</v>
      </c>
      <c r="C52" s="105" t="s">
        <v>973</v>
      </c>
      <c r="D52" s="105" t="s">
        <v>974</v>
      </c>
      <c r="E52" s="105" t="s">
        <v>975</v>
      </c>
    </row>
    <row r="53" spans="1:5" ht="15.5" thickBot="1" x14ac:dyDescent="0.9">
      <c r="B53" s="104" t="s">
        <v>1046</v>
      </c>
      <c r="C53" s="105" t="s">
        <v>976</v>
      </c>
      <c r="D53" s="105" t="s">
        <v>977</v>
      </c>
      <c r="E53" s="105" t="s">
        <v>975</v>
      </c>
    </row>
    <row r="54" spans="1:5" ht="15.5" thickBot="1" x14ac:dyDescent="0.9">
      <c r="B54" s="104" t="s">
        <v>1047</v>
      </c>
      <c r="C54" s="105" t="s">
        <v>978</v>
      </c>
      <c r="D54" s="105" t="s">
        <v>970</v>
      </c>
      <c r="E54" s="105" t="s">
        <v>94</v>
      </c>
    </row>
    <row r="55" spans="1:5" ht="15.5" thickBot="1" x14ac:dyDescent="0.9">
      <c r="A55" t="str">
        <f>B55&amp;" - "&amp;C55</f>
        <v>A.2.3.4 - Functional status</v>
      </c>
      <c r="B55" s="108" t="s">
        <v>1048</v>
      </c>
      <c r="C55" s="109" t="s">
        <v>979</v>
      </c>
      <c r="D55" s="105"/>
      <c r="E55" s="105"/>
    </row>
    <row r="56" spans="1:5" ht="30.25" thickBot="1" x14ac:dyDescent="0.9">
      <c r="B56" s="104" t="s">
        <v>1049</v>
      </c>
      <c r="C56" s="105" t="s">
        <v>5</v>
      </c>
      <c r="D56" s="105" t="s">
        <v>980</v>
      </c>
      <c r="E56" s="105"/>
    </row>
    <row r="57" spans="1:5" ht="15.5" thickBot="1" x14ac:dyDescent="0.9">
      <c r="B57" s="104" t="s">
        <v>1050</v>
      </c>
      <c r="C57" s="105" t="s">
        <v>981</v>
      </c>
      <c r="D57" s="105" t="s">
        <v>982</v>
      </c>
      <c r="E57" s="105" t="s">
        <v>94</v>
      </c>
    </row>
    <row r="58" spans="1:5" ht="30.25" thickBot="1" x14ac:dyDescent="0.9">
      <c r="B58" s="104" t="s">
        <v>1051</v>
      </c>
      <c r="C58" s="105" t="s">
        <v>983</v>
      </c>
      <c r="D58" s="105" t="s">
        <v>984</v>
      </c>
      <c r="E58" s="105"/>
    </row>
    <row r="59" spans="1:5" ht="30.25" thickBot="1" x14ac:dyDescent="0.9">
      <c r="B59" s="104" t="s">
        <v>1052</v>
      </c>
      <c r="C59" s="105" t="s">
        <v>985</v>
      </c>
      <c r="D59" s="105" t="s">
        <v>986</v>
      </c>
      <c r="E59" s="105" t="s">
        <v>94</v>
      </c>
    </row>
    <row r="60" spans="1:5" ht="30.25" thickBot="1" x14ac:dyDescent="0.9">
      <c r="B60" s="104" t="s">
        <v>1053</v>
      </c>
      <c r="C60" s="105" t="s">
        <v>987</v>
      </c>
      <c r="D60" s="105" t="s">
        <v>988</v>
      </c>
      <c r="E60" s="105"/>
    </row>
    <row r="61" spans="1:5" ht="15.5" thickBot="1" x14ac:dyDescent="0.9">
      <c r="A61" t="str">
        <f>B61&amp;" - "&amp;C61</f>
        <v>A.2.4 - Medication summary</v>
      </c>
      <c r="B61" s="108" t="s">
        <v>108</v>
      </c>
      <c r="C61" s="109" t="s">
        <v>989</v>
      </c>
      <c r="D61" s="105"/>
      <c r="E61" s="105"/>
    </row>
    <row r="62" spans="1:5" ht="45" thickBot="1" x14ac:dyDescent="0.9">
      <c r="B62" s="104" t="s">
        <v>1054</v>
      </c>
      <c r="C62" s="105" t="s">
        <v>990</v>
      </c>
      <c r="D62" s="105" t="s">
        <v>991</v>
      </c>
      <c r="E62" s="105"/>
    </row>
    <row r="63" spans="1:5" ht="45" thickBot="1" x14ac:dyDescent="0.9">
      <c r="B63" s="104" t="s">
        <v>1055</v>
      </c>
      <c r="C63" s="105" t="s">
        <v>992</v>
      </c>
      <c r="D63" s="105" t="s">
        <v>993</v>
      </c>
      <c r="E63" s="105" t="s">
        <v>959</v>
      </c>
    </row>
    <row r="64" spans="1:5" ht="30.25" thickBot="1" x14ac:dyDescent="0.9">
      <c r="B64" s="104" t="s">
        <v>1056</v>
      </c>
      <c r="C64" s="105" t="s">
        <v>994</v>
      </c>
      <c r="D64" s="105" t="s">
        <v>995</v>
      </c>
      <c r="E64" s="105"/>
    </row>
    <row r="65" spans="1:5" ht="30.25" thickBot="1" x14ac:dyDescent="0.9">
      <c r="B65" s="104" t="s">
        <v>1057</v>
      </c>
      <c r="C65" s="105" t="s">
        <v>996</v>
      </c>
      <c r="D65" s="105" t="s">
        <v>997</v>
      </c>
      <c r="E65" s="105"/>
    </row>
    <row r="66" spans="1:5" ht="30.25" thickBot="1" x14ac:dyDescent="0.9">
      <c r="B66" s="104" t="s">
        <v>1058</v>
      </c>
      <c r="C66" s="105" t="s">
        <v>998</v>
      </c>
      <c r="D66" s="105" t="s">
        <v>999</v>
      </c>
      <c r="E66" s="105"/>
    </row>
    <row r="67" spans="1:5" ht="45" thickBot="1" x14ac:dyDescent="0.9">
      <c r="B67" s="104" t="s">
        <v>1059</v>
      </c>
      <c r="C67" s="105" t="s">
        <v>1000</v>
      </c>
      <c r="D67" s="105" t="s">
        <v>1001</v>
      </c>
      <c r="E67" s="105"/>
    </row>
    <row r="68" spans="1:5" ht="30.25" thickBot="1" x14ac:dyDescent="0.9">
      <c r="B68" s="104" t="s">
        <v>1060</v>
      </c>
      <c r="C68" s="105" t="s">
        <v>1002</v>
      </c>
      <c r="D68" s="105" t="s">
        <v>1003</v>
      </c>
      <c r="E68" s="105"/>
    </row>
    <row r="69" spans="1:5" ht="30.25" thickBot="1" x14ac:dyDescent="0.9">
      <c r="B69" s="104" t="s">
        <v>1061</v>
      </c>
      <c r="C69" s="105" t="s">
        <v>1004</v>
      </c>
      <c r="D69" s="105" t="s">
        <v>1005</v>
      </c>
      <c r="E69" s="105" t="s">
        <v>1006</v>
      </c>
    </row>
    <row r="70" spans="1:5" ht="30.25" thickBot="1" x14ac:dyDescent="0.9">
      <c r="B70" s="104" t="s">
        <v>1062</v>
      </c>
      <c r="C70" s="105" t="s">
        <v>1007</v>
      </c>
      <c r="D70" s="105" t="s">
        <v>1008</v>
      </c>
      <c r="E70" s="105"/>
    </row>
    <row r="71" spans="1:5" ht="30.25" thickBot="1" x14ac:dyDescent="0.9">
      <c r="B71" s="104" t="s">
        <v>1063</v>
      </c>
      <c r="C71" s="105" t="s">
        <v>1009</v>
      </c>
      <c r="D71" s="105" t="s">
        <v>1010</v>
      </c>
      <c r="E71" s="105" t="s">
        <v>94</v>
      </c>
    </row>
    <row r="72" spans="1:5" ht="15.5" thickBot="1" x14ac:dyDescent="0.9">
      <c r="A72" t="str">
        <f>B72&amp;" - "&amp;C72</f>
        <v>A.2.5 - Social history</v>
      </c>
      <c r="B72" s="108" t="s">
        <v>109</v>
      </c>
      <c r="C72" s="109" t="s">
        <v>1011</v>
      </c>
      <c r="D72" s="105"/>
      <c r="E72" s="105"/>
    </row>
    <row r="73" spans="1:5" ht="45" thickBot="1" x14ac:dyDescent="0.9">
      <c r="B73" s="104" t="s">
        <v>1064</v>
      </c>
      <c r="C73" s="105" t="s">
        <v>1012</v>
      </c>
      <c r="D73" s="105" t="s">
        <v>1013</v>
      </c>
      <c r="E73" s="105" t="s">
        <v>886</v>
      </c>
    </row>
    <row r="74" spans="1:5" ht="15.5" thickBot="1" x14ac:dyDescent="0.9">
      <c r="B74" s="104" t="s">
        <v>1065</v>
      </c>
      <c r="C74" s="105" t="s">
        <v>1014</v>
      </c>
      <c r="D74" s="105" t="s">
        <v>1015</v>
      </c>
      <c r="E74" s="105"/>
    </row>
    <row r="75" spans="1:5" x14ac:dyDescent="0.75">
      <c r="A75" t="str">
        <f>B75&amp;" - "&amp;C75</f>
        <v xml:space="preserve">A.2.6 Pregnancy history - </v>
      </c>
      <c r="B75" s="62" t="s">
        <v>1066</v>
      </c>
    </row>
    <row r="76" spans="1:5" ht="15.5" thickBot="1" x14ac:dyDescent="0.9">
      <c r="B76" t="s">
        <v>1067</v>
      </c>
    </row>
    <row r="77" spans="1:5" ht="15.5" thickBot="1" x14ac:dyDescent="0.9">
      <c r="B77" s="114" t="s">
        <v>1105</v>
      </c>
      <c r="C77" s="103" t="s">
        <v>1068</v>
      </c>
      <c r="D77" s="103" t="s">
        <v>1069</v>
      </c>
      <c r="E77" s="103" t="s">
        <v>94</v>
      </c>
    </row>
    <row r="78" spans="1:5" ht="30.25" thickBot="1" x14ac:dyDescent="0.9">
      <c r="B78" s="114" t="s">
        <v>1106</v>
      </c>
      <c r="C78" s="105" t="s">
        <v>897</v>
      </c>
      <c r="D78" s="105" t="s">
        <v>1070</v>
      </c>
      <c r="E78" s="105" t="s">
        <v>886</v>
      </c>
    </row>
    <row r="79" spans="1:5" ht="15.5" thickBot="1" x14ac:dyDescent="0.9">
      <c r="B79" s="114" t="s">
        <v>1107</v>
      </c>
      <c r="C79" s="105" t="s">
        <v>1071</v>
      </c>
      <c r="D79" s="105" t="s">
        <v>1072</v>
      </c>
      <c r="E79" s="105" t="s">
        <v>94</v>
      </c>
    </row>
    <row r="80" spans="1:5" ht="30.25" thickBot="1" x14ac:dyDescent="0.9">
      <c r="B80" s="104" t="s">
        <v>1108</v>
      </c>
      <c r="C80" s="105" t="s">
        <v>1073</v>
      </c>
      <c r="D80" s="105"/>
      <c r="E80" s="105"/>
    </row>
    <row r="81" spans="1:5" ht="30.25" thickBot="1" x14ac:dyDescent="0.9">
      <c r="B81" s="104" t="s">
        <v>1109</v>
      </c>
      <c r="C81" s="105" t="s">
        <v>1074</v>
      </c>
      <c r="D81" s="105" t="s">
        <v>1075</v>
      </c>
      <c r="E81" s="105" t="s">
        <v>886</v>
      </c>
    </row>
    <row r="82" spans="1:5" ht="30.25" thickBot="1" x14ac:dyDescent="0.9">
      <c r="B82" s="104" t="s">
        <v>1110</v>
      </c>
      <c r="C82" s="105" t="s">
        <v>1076</v>
      </c>
      <c r="D82" s="105"/>
      <c r="E82" s="105"/>
    </row>
    <row r="83" spans="1:5" ht="15.5" thickBot="1" x14ac:dyDescent="0.9">
      <c r="B83" s="104" t="s">
        <v>1111</v>
      </c>
      <c r="C83" s="105" t="s">
        <v>1077</v>
      </c>
      <c r="D83" s="105" t="s">
        <v>1078</v>
      </c>
      <c r="E83" s="105" t="s">
        <v>94</v>
      </c>
    </row>
    <row r="84" spans="1:5" ht="15.5" thickBot="1" x14ac:dyDescent="0.9">
      <c r="B84" s="104" t="s">
        <v>1112</v>
      </c>
      <c r="C84" s="105" t="s">
        <v>1079</v>
      </c>
      <c r="D84" s="105" t="s">
        <v>1080</v>
      </c>
      <c r="E84" s="105" t="s">
        <v>886</v>
      </c>
    </row>
    <row r="85" spans="1:5" ht="15.5" thickBot="1" x14ac:dyDescent="0.9">
      <c r="B85" s="104" t="s">
        <v>1113</v>
      </c>
      <c r="C85" s="105" t="s">
        <v>1081</v>
      </c>
      <c r="D85" s="105" t="s">
        <v>1082</v>
      </c>
      <c r="E85" s="105"/>
    </row>
    <row r="86" spans="1:5" ht="15.5" thickBot="1" x14ac:dyDescent="0.9">
      <c r="A86" t="str">
        <f>B86&amp;" - "&amp;C86</f>
        <v>A.2.7 - Patient provided data</v>
      </c>
      <c r="B86" s="108" t="s">
        <v>1114</v>
      </c>
      <c r="C86" s="109" t="s">
        <v>1083</v>
      </c>
      <c r="D86" s="105"/>
      <c r="E86" s="105"/>
    </row>
    <row r="87" spans="1:5" ht="15.5" thickBot="1" x14ac:dyDescent="0.9">
      <c r="A87" t="str">
        <f>B87&amp;" - "&amp;C87</f>
        <v>A.2.7.1 - Travel history</v>
      </c>
      <c r="B87" s="108" t="s">
        <v>1115</v>
      </c>
      <c r="C87" s="109" t="s">
        <v>1084</v>
      </c>
      <c r="D87" s="105"/>
      <c r="E87" s="105"/>
    </row>
    <row r="88" spans="1:5" ht="15.5" thickBot="1" x14ac:dyDescent="0.9">
      <c r="B88" s="104" t="s">
        <v>1116</v>
      </c>
      <c r="C88" s="105" t="s">
        <v>541</v>
      </c>
      <c r="D88" s="105" t="s">
        <v>1085</v>
      </c>
      <c r="E88" s="105" t="s">
        <v>544</v>
      </c>
    </row>
    <row r="89" spans="1:5" ht="15.5" thickBot="1" x14ac:dyDescent="0.9">
      <c r="B89" s="104" t="s">
        <v>1117</v>
      </c>
      <c r="C89" s="105" t="s">
        <v>1086</v>
      </c>
      <c r="D89" s="105" t="s">
        <v>1087</v>
      </c>
      <c r="E89" s="105" t="s">
        <v>94</v>
      </c>
    </row>
    <row r="90" spans="1:5" ht="15.5" thickBot="1" x14ac:dyDescent="0.9">
      <c r="A90" t="str">
        <f>B90&amp;" - "&amp;C90</f>
        <v>A.2.7.2 - Advance Directive</v>
      </c>
      <c r="B90" s="108" t="s">
        <v>1118</v>
      </c>
      <c r="C90" s="109" t="s">
        <v>1088</v>
      </c>
      <c r="D90" s="105"/>
      <c r="E90" s="105"/>
    </row>
    <row r="91" spans="1:5" ht="15.5" thickBot="1" x14ac:dyDescent="0.9">
      <c r="B91" s="104" t="s">
        <v>1119</v>
      </c>
      <c r="C91" s="105" t="s">
        <v>1089</v>
      </c>
      <c r="D91" s="105" t="s">
        <v>1090</v>
      </c>
      <c r="E91" s="105" t="s">
        <v>886</v>
      </c>
    </row>
    <row r="92" spans="1:5" ht="15.5" thickBot="1" x14ac:dyDescent="0.9">
      <c r="A92" t="str">
        <f>B92&amp;" - "&amp;C92</f>
        <v>A.2.8 - Results</v>
      </c>
      <c r="B92" s="108" t="s">
        <v>1120</v>
      </c>
      <c r="C92" s="109" t="s">
        <v>1091</v>
      </c>
      <c r="D92" s="105"/>
      <c r="E92" s="105"/>
    </row>
    <row r="93" spans="1:5" ht="30.25" thickBot="1" x14ac:dyDescent="0.9">
      <c r="B93" s="104" t="s">
        <v>1121</v>
      </c>
      <c r="C93" s="105" t="s">
        <v>1132</v>
      </c>
      <c r="D93" s="105" t="s">
        <v>1133</v>
      </c>
      <c r="E93" s="105"/>
    </row>
    <row r="94" spans="1:5" ht="15.5" thickBot="1" x14ac:dyDescent="0.9">
      <c r="B94" s="104" t="s">
        <v>1122</v>
      </c>
      <c r="C94" s="105" t="s">
        <v>1092</v>
      </c>
      <c r="D94" s="105" t="s">
        <v>147</v>
      </c>
      <c r="E94" s="105" t="s">
        <v>94</v>
      </c>
    </row>
    <row r="95" spans="1:5" ht="59.75" thickBot="1" x14ac:dyDescent="0.9">
      <c r="B95" s="104" t="s">
        <v>1123</v>
      </c>
      <c r="C95" s="105" t="s">
        <v>1093</v>
      </c>
      <c r="D95" s="105" t="s">
        <v>1094</v>
      </c>
      <c r="E95" s="105"/>
    </row>
    <row r="96" spans="1:5" ht="15.5" thickBot="1" x14ac:dyDescent="0.9">
      <c r="B96" s="104" t="s">
        <v>1124</v>
      </c>
      <c r="C96" s="105" t="s">
        <v>182</v>
      </c>
      <c r="D96" s="105" t="s">
        <v>1131</v>
      </c>
      <c r="E96" s="105"/>
    </row>
    <row r="97" spans="1:5" ht="30.25" thickBot="1" x14ac:dyDescent="0.9">
      <c r="B97" s="104" t="s">
        <v>1125</v>
      </c>
      <c r="C97" s="105" t="s">
        <v>1095</v>
      </c>
      <c r="D97" s="105" t="s">
        <v>1096</v>
      </c>
      <c r="E97" s="105" t="s">
        <v>1097</v>
      </c>
    </row>
    <row r="98" spans="1:5" ht="59.75" thickBot="1" x14ac:dyDescent="0.9">
      <c r="B98" s="104" t="s">
        <v>1126</v>
      </c>
      <c r="C98" s="105" t="s">
        <v>1098</v>
      </c>
      <c r="D98" s="105" t="s">
        <v>1099</v>
      </c>
      <c r="E98" s="105" t="s">
        <v>1100</v>
      </c>
    </row>
    <row r="99" spans="1:5" ht="30.25" thickBot="1" x14ac:dyDescent="0.9">
      <c r="B99" s="104" t="s">
        <v>1127</v>
      </c>
      <c r="C99" s="105" t="s">
        <v>169</v>
      </c>
      <c r="D99" s="105" t="s">
        <v>1101</v>
      </c>
      <c r="E99" s="105"/>
    </row>
    <row r="100" spans="1:5" ht="15.5" thickBot="1" x14ac:dyDescent="0.9">
      <c r="B100" s="104" t="s">
        <v>1128</v>
      </c>
      <c r="C100" s="105" t="s">
        <v>171</v>
      </c>
      <c r="D100" s="105" t="s">
        <v>172</v>
      </c>
      <c r="E100" s="105"/>
    </row>
    <row r="101" spans="1:5" ht="30.25" thickBot="1" x14ac:dyDescent="0.9">
      <c r="A101" t="str">
        <f>B101&amp;" - "&amp;C101</f>
        <v>A.2.9 - Plan of Care</v>
      </c>
      <c r="B101" s="104" t="s">
        <v>1129</v>
      </c>
      <c r="C101" s="105" t="s">
        <v>1102</v>
      </c>
      <c r="D101" s="105" t="s">
        <v>1103</v>
      </c>
      <c r="E101" s="105"/>
    </row>
    <row r="102" spans="1:5" ht="45" thickBot="1" x14ac:dyDescent="0.9">
      <c r="B102" s="104" t="s">
        <v>1130</v>
      </c>
      <c r="C102" s="105" t="s">
        <v>1104</v>
      </c>
      <c r="D102" s="105" t="s">
        <v>1328</v>
      </c>
      <c r="E102" s="105"/>
    </row>
  </sheetData>
  <mergeCells count="1">
    <mergeCell ref="B3:C3"/>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62"/>
  <sheetViews>
    <sheetView topLeftCell="C19" workbookViewId="0">
      <selection activeCell="G27" sqref="G27"/>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86" t="s">
        <v>537</v>
      </c>
      <c r="B2" s="110" t="s">
        <v>849</v>
      </c>
      <c r="J2" s="32" t="s">
        <v>36</v>
      </c>
      <c r="L2" s="32" t="s">
        <v>385</v>
      </c>
    </row>
    <row r="3" spans="1:12" ht="15.5" thickBot="1" x14ac:dyDescent="0.9">
      <c r="J3" s="32" t="str">
        <f>J1</f>
        <v>// -------------------------------------------------------------------------------</v>
      </c>
      <c r="L3" s="32" t="str">
        <f>L1</f>
        <v>// -------------------------------------------------------------------------------</v>
      </c>
    </row>
    <row r="4" spans="1:12" x14ac:dyDescent="0.75">
      <c r="A4" s="6" t="s">
        <v>14</v>
      </c>
      <c r="B4" s="16" t="s">
        <v>868</v>
      </c>
      <c r="J4" s="24" t="str">
        <f>CONCATENATE("Logical: ",B4)</f>
        <v>Logical: PatientSummaryEhn</v>
      </c>
    </row>
    <row r="5" spans="1:12" x14ac:dyDescent="0.75">
      <c r="A5" s="17" t="s">
        <v>19</v>
      </c>
      <c r="B5" s="33" t="s">
        <v>869</v>
      </c>
      <c r="J5" s="24" t="str">
        <f>CONCATENATE("Id: ",B5)</f>
        <v>Id: PatientSummary</v>
      </c>
    </row>
    <row r="6" spans="1:12" x14ac:dyDescent="0.75">
      <c r="A6" s="17" t="s">
        <v>13</v>
      </c>
      <c r="B6" s="18" t="s">
        <v>761</v>
      </c>
      <c r="J6" s="25" t="str">
        <f>CONCATENATE("Title: ##34#",B6,"##34#")</f>
        <v>Title: ##34#A - Patient Summary##34#</v>
      </c>
    </row>
    <row r="7" spans="1:12" x14ac:dyDescent="0.75">
      <c r="A7" s="45" t="s">
        <v>5</v>
      </c>
      <c r="B7" s="46" t="s">
        <v>762</v>
      </c>
      <c r="C7" s="12" t="s">
        <v>6</v>
      </c>
      <c r="D7" s="2" t="s">
        <v>7</v>
      </c>
      <c r="E7" s="3" t="s">
        <v>8</v>
      </c>
      <c r="F7" s="3" t="s">
        <v>9</v>
      </c>
      <c r="G7" s="3" t="s">
        <v>10</v>
      </c>
      <c r="H7" s="61" t="s">
        <v>384</v>
      </c>
      <c r="J7" s="25" t="str">
        <f>CONCATENATE("Description: "," ##334#",B7,"##334#",)</f>
        <v>Description:  ##334#Patient Summary. eHN guideline model.##334#</v>
      </c>
    </row>
    <row r="8" spans="1:12" ht="29.5" x14ac:dyDescent="0.75">
      <c r="A8" s="9">
        <v>1</v>
      </c>
      <c r="B8" s="9" t="s">
        <v>187</v>
      </c>
      <c r="C8" s="9" t="s">
        <v>42</v>
      </c>
      <c r="D8" s="14" t="s">
        <v>42</v>
      </c>
      <c r="E8" s="9">
        <v>1</v>
      </c>
      <c r="F8" s="9">
        <v>1</v>
      </c>
      <c r="G8" s="9" t="s">
        <v>4</v>
      </c>
      <c r="H8" s="14"/>
      <c r="I8" s="44"/>
      <c r="J8" s="14" t="str">
        <f t="shared" ref="J8:J47"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188</v>
      </c>
      <c r="C9" s="9" t="s">
        <v>1262</v>
      </c>
      <c r="D9" s="9" t="s">
        <v>201</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40" si="1">IF(H9="",IF(J9="*  ..  ##34###34# ##334###334#",J9,""),IF(J9="*  ..  ##34###34# ##334###334#",J9,CONCATENATE("* ",B9," ^comment = ##334#",H9,"##334#")))</f>
        <v/>
      </c>
    </row>
    <row r="10" spans="1:12" ht="29.5" x14ac:dyDescent="0.75">
      <c r="A10" s="9">
        <v>3</v>
      </c>
      <c r="B10" s="9" t="s">
        <v>870</v>
      </c>
      <c r="C10" s="9" t="s">
        <v>680</v>
      </c>
      <c r="D10" s="9" t="s">
        <v>680</v>
      </c>
      <c r="E10" s="9">
        <v>0</v>
      </c>
      <c r="F10" s="9">
        <v>1</v>
      </c>
      <c r="G10" s="111" t="s">
        <v>4</v>
      </c>
      <c r="H10" s="14"/>
      <c r="I10" s="44" t="s">
        <v>220</v>
      </c>
      <c r="J10" s="14" t="str">
        <f t="shared" si="0"/>
        <v>* header.insuranceInfo 0..1 BackboneElement ##34#A.1.3 Insurance information##34# ##334#A.1.3 Insurance information##334#</v>
      </c>
      <c r="L10" s="14" t="str">
        <f t="shared" si="1"/>
        <v/>
      </c>
    </row>
    <row r="11" spans="1:12" ht="29.5" x14ac:dyDescent="0.75">
      <c r="A11" s="9">
        <v>4</v>
      </c>
      <c r="B11" s="9" t="s">
        <v>871</v>
      </c>
      <c r="C11" s="14" t="s">
        <v>850</v>
      </c>
      <c r="D11" s="14" t="s">
        <v>850</v>
      </c>
      <c r="E11" s="9">
        <v>1</v>
      </c>
      <c r="F11" s="9">
        <v>1</v>
      </c>
      <c r="G11" s="111" t="s">
        <v>4</v>
      </c>
      <c r="H11" s="14"/>
      <c r="I11" s="9"/>
      <c r="J11" s="14" t="str">
        <f t="shared" si="0"/>
        <v>* header.documentData 1..1 BackboneElement ##34#A.1.4 Document data##34# ##334#A.1.4 Document data##334#</v>
      </c>
      <c r="L11" s="14" t="str">
        <f t="shared" si="1"/>
        <v/>
      </c>
    </row>
    <row r="12" spans="1:12" ht="29.5" x14ac:dyDescent="0.75">
      <c r="A12" s="9">
        <v>5</v>
      </c>
      <c r="B12" s="9" t="s">
        <v>872</v>
      </c>
      <c r="C12" s="14" t="s">
        <v>853</v>
      </c>
      <c r="D12" s="14" t="s">
        <v>860</v>
      </c>
      <c r="E12" s="9">
        <v>1</v>
      </c>
      <c r="F12" s="9">
        <v>1</v>
      </c>
      <c r="G12" s="9" t="s">
        <v>2</v>
      </c>
      <c r="H12" s="14"/>
      <c r="I12" s="9"/>
      <c r="J12" s="14" t="str">
        <f t="shared" si="0"/>
        <v>* header.documentData.created 1..1 dateTime ##34#A.1.4.1 Date created##34# ##334#A.1.4.1 Date created - Date on which PS was generated##334#</v>
      </c>
      <c r="L12" s="14" t="str">
        <f t="shared" si="1"/>
        <v/>
      </c>
    </row>
    <row r="13" spans="1:12" ht="44.25" x14ac:dyDescent="0.75">
      <c r="A13" s="9">
        <v>6</v>
      </c>
      <c r="B13" s="9" t="s">
        <v>873</v>
      </c>
      <c r="C13" s="14" t="s">
        <v>854</v>
      </c>
      <c r="D13" s="14" t="s">
        <v>867</v>
      </c>
      <c r="E13" s="9">
        <v>0</v>
      </c>
      <c r="F13" s="9">
        <v>1</v>
      </c>
      <c r="G13" s="9" t="s">
        <v>2</v>
      </c>
      <c r="H13" s="14"/>
      <c r="I13" s="9"/>
      <c r="J13" s="14" t="str">
        <f t="shared" si="0"/>
        <v>* header.documentData.lastUpdate 0..1 dateTime ##34#A.1.4.2 Date of last update##34# ##334#A.1.4.2 Date of last update - Date on which PS was updated (date of most recent version)
Preferred system: ISO 8601##334#</v>
      </c>
      <c r="L13" s="14" t="str">
        <f t="shared" si="1"/>
        <v/>
      </c>
    </row>
    <row r="14" spans="1:12" ht="59" x14ac:dyDescent="0.75">
      <c r="A14" s="9">
        <v>7</v>
      </c>
      <c r="B14" s="9" t="s">
        <v>874</v>
      </c>
      <c r="C14" s="14" t="s">
        <v>855</v>
      </c>
      <c r="D14" s="14" t="s">
        <v>861</v>
      </c>
      <c r="E14" s="9">
        <v>1</v>
      </c>
      <c r="F14" s="9">
        <v>1</v>
      </c>
      <c r="G14" s="9" t="s">
        <v>4</v>
      </c>
      <c r="H14" s="14"/>
      <c r="I14" s="48"/>
      <c r="J14"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4" s="14" t="str">
        <f t="shared" si="1"/>
        <v/>
      </c>
    </row>
    <row r="15" spans="1:12" ht="29.5" x14ac:dyDescent="0.75">
      <c r="A15" s="9">
        <v>8</v>
      </c>
      <c r="B15" s="9" t="s">
        <v>875</v>
      </c>
      <c r="C15" s="9" t="s">
        <v>851</v>
      </c>
      <c r="D15" s="9" t="s">
        <v>851</v>
      </c>
      <c r="E15" s="9">
        <v>1</v>
      </c>
      <c r="F15" s="9" t="s">
        <v>11</v>
      </c>
      <c r="G15" s="9" t="s">
        <v>4</v>
      </c>
      <c r="H15" s="14"/>
      <c r="I15" s="44"/>
      <c r="J15" s="14" t="str">
        <f t="shared" si="0"/>
        <v>* header.participant 1..* BackboneElement ##34#A.1.5 Author and Organisation##34# ##334#A.1.5 Author and Organisation##334#</v>
      </c>
      <c r="L15" s="14" t="str">
        <f t="shared" si="1"/>
        <v/>
      </c>
    </row>
    <row r="16" spans="1:12" ht="29.5" x14ac:dyDescent="0.75">
      <c r="A16" s="9">
        <v>9</v>
      </c>
      <c r="B16" s="9" t="s">
        <v>876</v>
      </c>
      <c r="C16" s="9" t="s">
        <v>856</v>
      </c>
      <c r="D16" s="9" t="s">
        <v>862</v>
      </c>
      <c r="E16" s="9">
        <v>1</v>
      </c>
      <c r="F16" s="9" t="s">
        <v>11</v>
      </c>
      <c r="G16" s="9" t="s">
        <v>0</v>
      </c>
      <c r="H16" s="14"/>
      <c r="I16" s="44"/>
      <c r="J16"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6" s="14" t="str">
        <f t="shared" si="1"/>
        <v/>
      </c>
    </row>
    <row r="17" spans="1:13" ht="29.5" x14ac:dyDescent="0.75">
      <c r="A17" s="9">
        <v>10</v>
      </c>
      <c r="B17" s="9" t="s">
        <v>877</v>
      </c>
      <c r="C17" s="9" t="s">
        <v>857</v>
      </c>
      <c r="D17" s="14" t="s">
        <v>863</v>
      </c>
      <c r="E17" s="9">
        <v>0</v>
      </c>
      <c r="F17" s="9" t="s">
        <v>11</v>
      </c>
      <c r="G17" s="9" t="s">
        <v>1</v>
      </c>
      <c r="H17" s="14"/>
      <c r="I17" s="44"/>
      <c r="J17" s="14" t="str">
        <f t="shared" si="0"/>
        <v>* header.participant.legalAuth 0..* CodeableConcept ##34#A.1.5.2 Legal authenticator##34# ##334#A.1.5.2 Legal authenticator - Legal entity (Health Professional or Health Care Provider) who authenticated the Patient Summary##334#</v>
      </c>
      <c r="L17" s="14" t="str">
        <f t="shared" si="1"/>
        <v/>
      </c>
    </row>
    <row r="18" spans="1:13" ht="29.5" x14ac:dyDescent="0.75">
      <c r="A18" s="9">
        <v>11</v>
      </c>
      <c r="B18" s="9" t="s">
        <v>1134</v>
      </c>
      <c r="C18" s="9" t="s">
        <v>852</v>
      </c>
      <c r="D18" s="14" t="s">
        <v>864</v>
      </c>
      <c r="E18" s="9">
        <v>0</v>
      </c>
      <c r="F18" s="9" t="s">
        <v>11</v>
      </c>
      <c r="G18" s="9" t="s">
        <v>4</v>
      </c>
      <c r="H18" s="14"/>
      <c r="I18" s="44"/>
      <c r="J18" s="14" t="str">
        <f t="shared" si="0"/>
        <v>* header.additionalInfo 0..* BackboneElement ##34#A.1.6 Additional information / Knowledge resources##34# ##334#A.1.6 Additional information / Knowledge resources - ##334#</v>
      </c>
      <c r="K18" s="15"/>
      <c r="L18" s="14" t="str">
        <f t="shared" si="1"/>
        <v/>
      </c>
      <c r="M18" s="9"/>
    </row>
    <row r="19" spans="1:13" ht="59" x14ac:dyDescent="0.75">
      <c r="A19" s="9">
        <v>12</v>
      </c>
      <c r="B19" s="9" t="s">
        <v>1135</v>
      </c>
      <c r="C19" s="9" t="s">
        <v>858</v>
      </c>
      <c r="D19" s="14" t="s">
        <v>865</v>
      </c>
      <c r="E19" s="9">
        <v>0</v>
      </c>
      <c r="F19" s="9" t="s">
        <v>11</v>
      </c>
      <c r="G19" s="9" t="s">
        <v>784</v>
      </c>
      <c r="H19" s="14"/>
      <c r="J19"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19" s="14" t="str">
        <f t="shared" si="1"/>
        <v/>
      </c>
    </row>
    <row r="20" spans="1:13" ht="59" x14ac:dyDescent="0.75">
      <c r="A20" s="9">
        <v>13</v>
      </c>
      <c r="B20" s="9" t="s">
        <v>1136</v>
      </c>
      <c r="C20" s="9" t="s">
        <v>859</v>
      </c>
      <c r="D20" s="14" t="s">
        <v>866</v>
      </c>
      <c r="E20" s="9">
        <v>0</v>
      </c>
      <c r="F20" s="9" t="s">
        <v>11</v>
      </c>
      <c r="G20" s="9" t="s">
        <v>784</v>
      </c>
      <c r="H20" s="14"/>
      <c r="J20"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0" s="14" t="str">
        <f t="shared" si="1"/>
        <v/>
      </c>
    </row>
    <row r="21" spans="1:13" ht="29.5" x14ac:dyDescent="0.75">
      <c r="A21" s="9">
        <v>14</v>
      </c>
      <c r="B21" s="9" t="s">
        <v>1137</v>
      </c>
      <c r="C21" s="9" t="s">
        <v>1263</v>
      </c>
      <c r="D21" s="14" t="s">
        <v>1138</v>
      </c>
      <c r="E21" s="9">
        <v>1</v>
      </c>
      <c r="F21" s="9">
        <v>1</v>
      </c>
      <c r="G21" s="9" t="s">
        <v>4</v>
      </c>
      <c r="H21" s="14"/>
      <c r="J21" s="14" t="str">
        <f t="shared" si="0"/>
        <v>* body 1..1 BackboneElement ##34#A.2 Patient summary body data elements##34# ##334#A.2 - Patient summary body data elements##334#</v>
      </c>
      <c r="L21" s="14" t="str">
        <f t="shared" si="1"/>
        <v/>
      </c>
    </row>
    <row r="22" spans="1:13" ht="29.5" x14ac:dyDescent="0.75">
      <c r="A22" s="9">
        <v>15</v>
      </c>
      <c r="B22" s="9" t="s">
        <v>1181</v>
      </c>
      <c r="C22" s="9" t="s">
        <v>1264</v>
      </c>
      <c r="D22" s="9" t="s">
        <v>1139</v>
      </c>
      <c r="E22" s="9">
        <v>1</v>
      </c>
      <c r="F22" s="9">
        <v>1</v>
      </c>
      <c r="G22" s="9" t="s">
        <v>4</v>
      </c>
      <c r="H22" s="14"/>
      <c r="J22" s="14" t="str">
        <f t="shared" si="0"/>
        <v>* body.alerts 1..1 BackboneElement ##34#A.2.1 Alerts##34# ##334#A.2.1 - Alerts##334#</v>
      </c>
      <c r="L22" s="14" t="str">
        <f t="shared" si="1"/>
        <v/>
      </c>
    </row>
    <row r="23" spans="1:13" ht="29.5" customHeight="1" x14ac:dyDescent="0.75">
      <c r="A23" s="9">
        <v>16</v>
      </c>
      <c r="B23" s="48" t="s">
        <v>1188</v>
      </c>
      <c r="C23" s="9" t="s">
        <v>1265</v>
      </c>
      <c r="D23" s="9" t="s">
        <v>1140</v>
      </c>
      <c r="E23" s="9">
        <v>0</v>
      </c>
      <c r="F23" s="48" t="s">
        <v>11</v>
      </c>
      <c r="G23" s="9" t="str">
        <f>$B$2&amp;"/StructureDefinition/"&amp;I23</f>
        <v>http://hl7.eu/fhir/ig/xpandh/ps/StructureDefinition/Allergy</v>
      </c>
      <c r="H23" s="14"/>
      <c r="I23" t="s">
        <v>881</v>
      </c>
      <c r="J23" s="14" t="str">
        <f t="shared" si="0"/>
        <v>* body.alerts.allergy 0..* http://hl7.eu/fhir/ig/xpandh/ps/StructureDefinition/Allergy ##34#A.2.1.1 Allergy##34# ##334#A.2.1.1 - Allergy##334#</v>
      </c>
      <c r="L23" s="14" t="str">
        <f t="shared" si="1"/>
        <v/>
      </c>
    </row>
    <row r="24" spans="1:13" ht="29.5" x14ac:dyDescent="0.75">
      <c r="A24" s="9">
        <v>17</v>
      </c>
      <c r="B24" s="9" t="s">
        <v>1189</v>
      </c>
      <c r="C24" s="9" t="s">
        <v>1266</v>
      </c>
      <c r="D24" s="9" t="s">
        <v>1141</v>
      </c>
      <c r="E24" s="9">
        <v>0</v>
      </c>
      <c r="F24" s="9" t="s">
        <v>11</v>
      </c>
      <c r="G24" s="9" t="s">
        <v>4</v>
      </c>
      <c r="H24" s="14"/>
      <c r="J24" s="14" t="str">
        <f t="shared" si="0"/>
        <v>* body.alerts.alert 0..* BackboneElement ##34#A.2.1.2 Medical alert information (other alerts not included in allergies)##34# ##334#A.2.1.2 - Medical alert information (other alerts not included in allergies)##334#</v>
      </c>
      <c r="L24" s="14" t="str">
        <f t="shared" si="1"/>
        <v/>
      </c>
    </row>
    <row r="25" spans="1:13" ht="221.25" x14ac:dyDescent="0.75">
      <c r="A25" s="9"/>
      <c r="B25" s="9" t="s">
        <v>1280</v>
      </c>
      <c r="C25" t="s">
        <v>1261</v>
      </c>
      <c r="D25" s="1" t="s">
        <v>1327</v>
      </c>
      <c r="E25" s="9">
        <v>0</v>
      </c>
      <c r="F25" s="9" t="s">
        <v>11</v>
      </c>
      <c r="G25" s="9" t="s">
        <v>3</v>
      </c>
      <c r="H25" s="14"/>
      <c r="J25"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5" s="14" t="str">
        <f t="shared" si="1"/>
        <v/>
      </c>
    </row>
    <row r="26" spans="1:13" ht="29.5" x14ac:dyDescent="0.75">
      <c r="A26" s="9">
        <v>18</v>
      </c>
      <c r="B26" s="9" t="s">
        <v>1182</v>
      </c>
      <c r="C26" s="9" t="s">
        <v>1016</v>
      </c>
      <c r="D26" s="9" t="s">
        <v>1144</v>
      </c>
      <c r="E26" s="9">
        <v>1</v>
      </c>
      <c r="F26" s="9">
        <v>1</v>
      </c>
      <c r="G26" s="9" t="s">
        <v>4</v>
      </c>
      <c r="H26" s="14"/>
      <c r="J26" s="14" t="str">
        <f t="shared" si="0"/>
        <v>* body.medicalHistory 1..1 BackboneElement ##34#A.2.2 Medical history##34# ##334#A.2.2 - Medical history##334#</v>
      </c>
      <c r="L26" s="14" t="str">
        <f t="shared" si="1"/>
        <v/>
      </c>
    </row>
    <row r="27" spans="1:13" ht="29.5" x14ac:dyDescent="0.75">
      <c r="A27" s="9">
        <v>19</v>
      </c>
      <c r="B27" s="9" t="s">
        <v>1190</v>
      </c>
      <c r="C27" s="9" t="s">
        <v>1267</v>
      </c>
      <c r="D27" s="9" t="s">
        <v>1145</v>
      </c>
      <c r="E27" s="9">
        <v>0</v>
      </c>
      <c r="F27" s="9" t="s">
        <v>11</v>
      </c>
      <c r="G27" s="9" t="str">
        <f>$B$2&amp;"/StructureDefinition/"&amp;I27</f>
        <v>http://hl7.eu/fhir/ig/xpandh/ps/StructureDefinition/Vaccination</v>
      </c>
      <c r="H27" s="14"/>
      <c r="I27" t="s">
        <v>1288</v>
      </c>
      <c r="J27" s="14" t="str">
        <f t="shared" si="0"/>
        <v>* body.medicalHistory.vaccination 0..* http://hl7.eu/fhir/ig/xpandh/ps/StructureDefinition/Vaccination ##34#A.2.2.1 Vaccination/ prophylaxis information##34# ##334#A.2.2.1 - Vaccination/ prophylaxis information##334#</v>
      </c>
      <c r="L27" s="14" t="str">
        <f t="shared" si="1"/>
        <v/>
      </c>
    </row>
    <row r="28" spans="1:13" ht="29.5" x14ac:dyDescent="0.75">
      <c r="A28" s="9">
        <v>20</v>
      </c>
      <c r="B28" s="9" t="s">
        <v>1191</v>
      </c>
      <c r="C28" s="9" t="s">
        <v>1268</v>
      </c>
      <c r="D28" s="9" t="s">
        <v>1146</v>
      </c>
      <c r="E28" s="9">
        <v>0</v>
      </c>
      <c r="F28" s="9" t="s">
        <v>11</v>
      </c>
      <c r="G28" s="9" t="s">
        <v>4</v>
      </c>
      <c r="H28" s="14"/>
      <c r="J28" s="14" t="str">
        <f t="shared" si="0"/>
        <v>* body.medicalHistory.inactiveProblem 0..* BackboneElement ##34#A.2.2.2 Resolved, closed or inactive problems##34# ##334#A.2.2.2 - Resolved, closed or inactive problems##334#</v>
      </c>
      <c r="L28" s="14" t="str">
        <f t="shared" si="1"/>
        <v/>
      </c>
    </row>
    <row r="29" spans="1:13" ht="29.5" x14ac:dyDescent="0.75">
      <c r="A29" s="9">
        <v>21</v>
      </c>
      <c r="B29" s="9" t="s">
        <v>1192</v>
      </c>
      <c r="C29" s="9" t="s">
        <v>1269</v>
      </c>
      <c r="D29" s="9" t="s">
        <v>1147</v>
      </c>
      <c r="E29" s="9">
        <v>0</v>
      </c>
      <c r="F29" s="9">
        <v>1</v>
      </c>
      <c r="G29" s="9" t="s">
        <v>4</v>
      </c>
      <c r="H29" s="14"/>
      <c r="J29" s="14" t="str">
        <f t="shared" si="0"/>
        <v>* body.medicalHistory.anamnesis 0..1 BackboneElement ##34#A.2.2.3 Medical history##34# ##334#A.2.2.3 - Medical history##334#</v>
      </c>
      <c r="L29" s="14" t="str">
        <f t="shared" si="1"/>
        <v/>
      </c>
    </row>
    <row r="30" spans="1:13" ht="29.5" x14ac:dyDescent="0.75">
      <c r="A30" s="9">
        <v>22</v>
      </c>
      <c r="B30" s="111" t="s">
        <v>1193</v>
      </c>
      <c r="C30" s="1" t="s">
        <v>1270</v>
      </c>
      <c r="D30" s="14" t="s">
        <v>1149</v>
      </c>
      <c r="E30" s="9">
        <v>1</v>
      </c>
      <c r="F30" s="9">
        <v>1</v>
      </c>
      <c r="G30" s="9" t="s">
        <v>4</v>
      </c>
      <c r="J30" s="14" t="str">
        <f t="shared" si="0"/>
        <v>* body.medicalHistory.medicalDevices 1..1 BackboneElement ##34#A.2.3.2 Medical devices and implants##34# ##334#A.2.3.2 - Medical devices and implants##334#</v>
      </c>
      <c r="L30" s="14" t="str">
        <f>IF(H30="",IF(J30="*  ..  ##34###34# ##334###334#",J30,""),IF(J30="*  ..  ##34###34# ##334###334#",J30,CONCATENATE("* ",B30," ^comment = ##334#",H30,"##334#")))</f>
        <v/>
      </c>
    </row>
    <row r="31" spans="1:13" ht="29.5" x14ac:dyDescent="0.75">
      <c r="A31" s="9">
        <v>23</v>
      </c>
      <c r="B31" s="111" t="s">
        <v>1194</v>
      </c>
      <c r="C31" s="1" t="s">
        <v>1271</v>
      </c>
      <c r="D31" s="14" t="s">
        <v>1150</v>
      </c>
      <c r="E31" s="9">
        <v>1</v>
      </c>
      <c r="F31" s="9">
        <v>1</v>
      </c>
      <c r="G31" s="9" t="s">
        <v>4</v>
      </c>
      <c r="J31" s="14" t="str">
        <f t="shared" si="0"/>
        <v>* body.medicalHistory.procedures 1..1 BackboneElement ##34#A.2.3.3 Procedures##34# ##334#A.2.3.3 - Procedures##334#</v>
      </c>
      <c r="L31" s="14" t="str">
        <f t="shared" si="1"/>
        <v/>
      </c>
    </row>
    <row r="32" spans="1:13" ht="29.5" x14ac:dyDescent="0.75">
      <c r="A32" s="9">
        <v>24</v>
      </c>
      <c r="B32" s="111" t="s">
        <v>1195</v>
      </c>
      <c r="C32" s="1" t="s">
        <v>1272</v>
      </c>
      <c r="D32" s="14" t="s">
        <v>1151</v>
      </c>
      <c r="E32" s="9">
        <v>0</v>
      </c>
      <c r="F32" s="9">
        <v>1</v>
      </c>
      <c r="G32" s="9" t="s">
        <v>4</v>
      </c>
      <c r="J32" s="14" t="str">
        <f t="shared" si="0"/>
        <v>* body.medicalHistory.functionalStatus 0..1 BackboneElement ##34#A.2.3.4 Functional status##34# ##334#A.2.3.4 - Functional status##334#</v>
      </c>
      <c r="L32" s="14" t="str">
        <f t="shared" si="1"/>
        <v/>
      </c>
    </row>
    <row r="33" spans="1:14" ht="29.5" x14ac:dyDescent="0.75">
      <c r="A33" s="9">
        <v>25</v>
      </c>
      <c r="B33" s="9" t="s">
        <v>1183</v>
      </c>
      <c r="C33" t="s">
        <v>1273</v>
      </c>
      <c r="D33" s="9" t="s">
        <v>1153</v>
      </c>
      <c r="E33" s="9">
        <v>1</v>
      </c>
      <c r="F33" s="9">
        <v>1</v>
      </c>
      <c r="G33" s="9" t="s">
        <v>4</v>
      </c>
      <c r="H33" s="14"/>
      <c r="J33" s="14" t="str">
        <f t="shared" si="0"/>
        <v>* body.medicationSummary 1..1 BackboneElement ##34#A.2.4 Medication summary##34# ##334#A.2.4 - Medication summary##334#</v>
      </c>
      <c r="L33" s="14" t="str">
        <f t="shared" si="1"/>
        <v/>
      </c>
    </row>
    <row r="34" spans="1:14" ht="29.5" x14ac:dyDescent="0.75">
      <c r="A34" s="9">
        <v>26</v>
      </c>
      <c r="B34" s="9" t="s">
        <v>1184</v>
      </c>
      <c r="C34" s="22" t="s">
        <v>1274</v>
      </c>
      <c r="D34" s="9" t="s">
        <v>1152</v>
      </c>
      <c r="E34" s="9">
        <v>0</v>
      </c>
      <c r="F34" s="9">
        <v>1</v>
      </c>
      <c r="G34" s="9" t="s">
        <v>4</v>
      </c>
      <c r="H34" s="14"/>
      <c r="J34" s="14" t="str">
        <f t="shared" si="0"/>
        <v>* body.socialHistory 0..1 BackboneElement ##34#A.2.5 Social history##34# ##334#A.2.5 - Social history##334#</v>
      </c>
      <c r="L34" s="14" t="str">
        <f t="shared" si="1"/>
        <v/>
      </c>
    </row>
    <row r="35" spans="1:14" ht="29.5" x14ac:dyDescent="0.75">
      <c r="A35" s="9">
        <v>27</v>
      </c>
      <c r="B35" s="9" t="s">
        <v>1185</v>
      </c>
      <c r="C35" s="22" t="s">
        <v>1066</v>
      </c>
      <c r="D35" s="9" t="s">
        <v>1066</v>
      </c>
      <c r="E35" s="9">
        <v>0</v>
      </c>
      <c r="F35" s="9">
        <v>1</v>
      </c>
      <c r="G35" s="9" t="s">
        <v>4</v>
      </c>
      <c r="H35" s="14"/>
      <c r="J35" s="14" t="str">
        <f t="shared" si="0"/>
        <v>* body.pregnancyHistory 0..1 BackboneElement ##34#A.2.6 Pregnancy history##34# ##334#A.2.6 Pregnancy history##334#</v>
      </c>
      <c r="L35" s="14" t="str">
        <f t="shared" si="1"/>
        <v/>
      </c>
    </row>
    <row r="36" spans="1:14" ht="29.5" x14ac:dyDescent="0.75">
      <c r="A36" s="9">
        <v>28</v>
      </c>
      <c r="B36" s="9" t="s">
        <v>1196</v>
      </c>
      <c r="C36" s="22" t="s">
        <v>1275</v>
      </c>
      <c r="D36" s="22" t="s">
        <v>1178</v>
      </c>
      <c r="E36" s="9">
        <v>0</v>
      </c>
      <c r="F36" s="9">
        <v>1</v>
      </c>
      <c r="G36" s="9" t="s">
        <v>4</v>
      </c>
      <c r="H36" s="14"/>
      <c r="J36" s="14" t="str">
        <f t="shared" si="0"/>
        <v>* body.patientData 0..1 BackboneElement ##34#A.2.7 Patient provided data##34# ##334#A.2.7 - Patient provided data##334#</v>
      </c>
      <c r="L36" s="14"/>
    </row>
    <row r="37" spans="1:14" ht="29.5" x14ac:dyDescent="0.75">
      <c r="A37" s="9">
        <v>29</v>
      </c>
      <c r="B37" s="9" t="s">
        <v>1197</v>
      </c>
      <c r="C37" s="22" t="s">
        <v>1276</v>
      </c>
      <c r="D37" s="22" t="s">
        <v>1179</v>
      </c>
      <c r="E37" s="9">
        <v>0</v>
      </c>
      <c r="F37" s="9">
        <v>1</v>
      </c>
      <c r="G37" s="9" t="s">
        <v>4</v>
      </c>
      <c r="H37" s="14"/>
      <c r="J37" s="14" t="str">
        <f t="shared" si="0"/>
        <v>* body.patientData.travelHistory 0..1 BackboneElement ##34#A.2.7.1 Travel history##34# ##334#A.2.7.1 - Travel history##334#</v>
      </c>
      <c r="L37" s="14"/>
    </row>
    <row r="38" spans="1:14" ht="29.5" x14ac:dyDescent="0.75">
      <c r="A38" s="9">
        <v>30</v>
      </c>
      <c r="B38" s="111" t="s">
        <v>1198</v>
      </c>
      <c r="C38" t="s">
        <v>1277</v>
      </c>
      <c r="D38" t="s">
        <v>1180</v>
      </c>
      <c r="E38" s="9">
        <v>0</v>
      </c>
      <c r="F38" s="9">
        <v>1</v>
      </c>
      <c r="G38" s="9" t="s">
        <v>4</v>
      </c>
      <c r="H38"/>
      <c r="J38" s="14" t="str">
        <f t="shared" si="0"/>
        <v>* body.patientData.advanceDirective 0..1 BackboneElement ##34#A.2.7.2 Advance Directive##34# ##334#A.2.7.2 - Advance Directive##334#</v>
      </c>
      <c r="N38"/>
    </row>
    <row r="39" spans="1:14" ht="29.5" x14ac:dyDescent="0.75">
      <c r="A39" s="9">
        <v>31</v>
      </c>
      <c r="B39" s="9" t="s">
        <v>1186</v>
      </c>
      <c r="C39" s="22" t="s">
        <v>1278</v>
      </c>
      <c r="D39" s="9" t="s">
        <v>1154</v>
      </c>
      <c r="E39" s="9">
        <v>0</v>
      </c>
      <c r="F39" s="9">
        <v>1</v>
      </c>
      <c r="G39" s="9" t="s">
        <v>4</v>
      </c>
      <c r="H39" s="14"/>
      <c r="J39" s="14" t="str">
        <f t="shared" si="0"/>
        <v>* body.results 0..1 BackboneElement ##34#A.2.8 Results##34# ##334#A.2.8 - Results##334#</v>
      </c>
      <c r="L39" s="14" t="str">
        <f t="shared" si="1"/>
        <v/>
      </c>
    </row>
    <row r="40" spans="1:14" ht="29.5" x14ac:dyDescent="0.75">
      <c r="A40" s="9">
        <v>32</v>
      </c>
      <c r="B40" s="9" t="s">
        <v>1187</v>
      </c>
      <c r="C40" s="22" t="s">
        <v>1279</v>
      </c>
      <c r="D40" s="9" t="s">
        <v>1155</v>
      </c>
      <c r="E40" s="9">
        <v>0</v>
      </c>
      <c r="F40" s="9">
        <v>1</v>
      </c>
      <c r="G40" s="9" t="s">
        <v>4</v>
      </c>
      <c r="H40" s="14"/>
      <c r="J40" s="14" t="str">
        <f t="shared" si="0"/>
        <v>* body.planOfCare 0..1 BackboneElement ##34#A.2.9 Plan of Care##34# ##334#A.2.9 - Plan of Care##334#</v>
      </c>
      <c r="L40" s="14" t="str">
        <f t="shared" si="1"/>
        <v/>
      </c>
    </row>
    <row r="41" spans="1:14" x14ac:dyDescent="0.75">
      <c r="A41" s="9" t="str">
        <f t="shared" ref="A41" si="2">$B$21&amp;"."&amp;B41</f>
        <v>body.</v>
      </c>
      <c r="B41" s="9"/>
      <c r="C41" s="9"/>
      <c r="D41" s="14"/>
      <c r="E41" s="9"/>
      <c r="F41" s="9"/>
      <c r="G41" s="9"/>
      <c r="H41" s="14"/>
      <c r="J41" s="14" t="str">
        <f t="shared" si="0"/>
        <v>*  ..  ##34###34# ##334###334#</v>
      </c>
      <c r="L41" s="14"/>
    </row>
    <row r="42" spans="1:14" x14ac:dyDescent="0.75">
      <c r="A42" s="9"/>
      <c r="B42" s="9"/>
      <c r="C42" s="9"/>
      <c r="D42" s="14"/>
      <c r="E42" s="9"/>
      <c r="F42" s="9"/>
      <c r="G42" s="9"/>
      <c r="H42" s="14"/>
      <c r="J42" s="14" t="str">
        <f t="shared" si="0"/>
        <v>*  ..  ##34###34# ##334###334#</v>
      </c>
      <c r="L42" s="14"/>
    </row>
    <row r="43" spans="1:14" x14ac:dyDescent="0.75">
      <c r="A43" s="9"/>
      <c r="B43" s="9"/>
      <c r="C43" s="9"/>
      <c r="D43" s="14"/>
      <c r="E43" s="9"/>
      <c r="F43" s="9"/>
      <c r="G43" s="9"/>
      <c r="H43" s="14"/>
      <c r="J43" s="14" t="str">
        <f t="shared" si="0"/>
        <v>*  ..  ##34###34# ##334###334#</v>
      </c>
      <c r="L43" s="14"/>
    </row>
    <row r="44" spans="1:14" x14ac:dyDescent="0.75">
      <c r="A44" s="9"/>
      <c r="B44" s="9"/>
      <c r="C44" s="9"/>
      <c r="D44" s="14"/>
      <c r="E44" s="9"/>
      <c r="F44" s="9"/>
      <c r="G44" s="9"/>
      <c r="H44" s="14"/>
      <c r="J44" s="14" t="str">
        <f t="shared" si="0"/>
        <v>*  ..  ##34###34# ##334###334#</v>
      </c>
      <c r="L44" s="14"/>
    </row>
    <row r="45" spans="1:14" x14ac:dyDescent="0.75">
      <c r="A45" s="9"/>
      <c r="B45" s="9"/>
      <c r="C45" s="9"/>
      <c r="D45" s="14"/>
      <c r="E45" s="9"/>
      <c r="F45" s="9"/>
      <c r="G45" s="9"/>
      <c r="H45" s="14"/>
      <c r="J45" s="14" t="str">
        <f t="shared" si="0"/>
        <v>*  ..  ##34###34# ##334###334#</v>
      </c>
      <c r="L45" s="14"/>
    </row>
    <row r="46" spans="1:14" x14ac:dyDescent="0.75">
      <c r="A46" s="9"/>
      <c r="B46" s="9"/>
      <c r="C46" s="9"/>
      <c r="D46" s="14"/>
      <c r="E46" s="9"/>
      <c r="F46" s="9"/>
      <c r="G46" s="9"/>
      <c r="H46" s="14"/>
      <c r="J46" s="14" t="str">
        <f t="shared" si="0"/>
        <v>*  ..  ##34###34# ##334###334#</v>
      </c>
      <c r="L46" s="14"/>
    </row>
    <row r="47" spans="1:14" x14ac:dyDescent="0.75">
      <c r="A47" s="9"/>
      <c r="B47" s="9"/>
      <c r="C47" s="9"/>
      <c r="D47" s="14"/>
      <c r="E47" s="9"/>
      <c r="F47" s="9"/>
      <c r="G47" s="9"/>
      <c r="H47" s="14"/>
      <c r="J47" s="14" t="str">
        <f t="shared" si="0"/>
        <v>*  ..  ##34###34# ##334###334#</v>
      </c>
      <c r="L47" s="14"/>
    </row>
    <row r="48" spans="1:14" x14ac:dyDescent="0.75">
      <c r="A48" s="9"/>
      <c r="B48" s="9"/>
      <c r="C48" s="9"/>
      <c r="D48" s="14"/>
      <c r="E48" s="9"/>
      <c r="F48" s="9"/>
      <c r="G48" s="9"/>
      <c r="H48" s="14"/>
      <c r="J48" s="14"/>
      <c r="L48" s="14"/>
    </row>
    <row r="49" spans="1:12" x14ac:dyDescent="0.75">
      <c r="A49" s="9"/>
      <c r="B49" s="9"/>
      <c r="C49" s="9"/>
      <c r="D49" s="14"/>
      <c r="E49" s="9"/>
      <c r="F49" s="9"/>
      <c r="G49" s="9"/>
      <c r="H49" s="14"/>
      <c r="J49" s="14"/>
      <c r="L49" s="14"/>
    </row>
    <row r="50" spans="1:12" x14ac:dyDescent="0.75">
      <c r="A50" s="9"/>
      <c r="B50" s="9"/>
      <c r="C50" s="9"/>
      <c r="D50" s="14"/>
      <c r="E50" s="9"/>
      <c r="F50" s="9"/>
      <c r="G50" s="9"/>
      <c r="H50" s="14"/>
      <c r="J50" s="14"/>
      <c r="L50" s="14"/>
    </row>
    <row r="52" spans="1:12" ht="15.5" thickBot="1" x14ac:dyDescent="0.9"/>
    <row r="53" spans="1:12" ht="15.5" thickBot="1" x14ac:dyDescent="0.9">
      <c r="B53" t="str">
        <f>C53&amp;" "&amp;D53</f>
        <v>A.1.4 Document data</v>
      </c>
      <c r="C53" s="106" t="s">
        <v>830</v>
      </c>
      <c r="D53" s="107" t="s">
        <v>831</v>
      </c>
      <c r="E53" s="103"/>
      <c r="F53" s="103"/>
    </row>
    <row r="54" spans="1:12" ht="59.75" thickBot="1" x14ac:dyDescent="0.9">
      <c r="B54" t="str">
        <f t="shared" ref="B54:B62" si="3">C54&amp;" "&amp;D54</f>
        <v>A.1.4.1 Date created</v>
      </c>
      <c r="C54" s="104" t="s">
        <v>71</v>
      </c>
      <c r="D54" s="105" t="s">
        <v>832</v>
      </c>
      <c r="E54" s="105" t="s">
        <v>833</v>
      </c>
      <c r="F54" s="105" t="s">
        <v>94</v>
      </c>
      <c r="G54" t="str">
        <f>B54&amp;" - "&amp;E54</f>
        <v>A.1.4.1 Date created - Date on which PS was generated</v>
      </c>
    </row>
    <row r="55" spans="1:12" ht="133.5" thickBot="1" x14ac:dyDescent="0.9">
      <c r="B55" t="str">
        <f t="shared" si="3"/>
        <v>A.1.4.2 Date of last update</v>
      </c>
      <c r="C55" s="104" t="s">
        <v>73</v>
      </c>
      <c r="D55" s="105" t="s">
        <v>834</v>
      </c>
      <c r="E55" s="105" t="s">
        <v>835</v>
      </c>
      <c r="F55" s="105"/>
      <c r="G55" t="str">
        <f t="shared" ref="G55:G62" si="4">B55&amp;" - "&amp;E55</f>
        <v>A.1.4.2 Date of last update - Date on which PS was updated (date of most recent version) ISO 8601</v>
      </c>
    </row>
    <row r="56" spans="1:12" ht="354.75" thickBot="1" x14ac:dyDescent="0.9">
      <c r="B56" t="str">
        <f t="shared" si="3"/>
        <v>A.1.4.3 Nature of the PS</v>
      </c>
      <c r="C56" s="104" t="s">
        <v>76</v>
      </c>
      <c r="D56" s="105" t="s">
        <v>836</v>
      </c>
      <c r="E56" s="105" t="s">
        <v>837</v>
      </c>
      <c r="F56" s="105"/>
      <c r="G56" t="str">
        <f t="shared" si="4"/>
        <v>A.1.4.3 Nature of the PS - Defines the context in which it was generated. Distinguishes between three methodological approaches for generating the PS: direct human intervention by an HP, automatically generated approach and mixed approach</v>
      </c>
    </row>
    <row r="57" spans="1:12" ht="15.5" thickBot="1" x14ac:dyDescent="0.9">
      <c r="B57" t="str">
        <f t="shared" si="3"/>
        <v>A.1.5 Author and Organisation</v>
      </c>
      <c r="C57" s="108" t="s">
        <v>838</v>
      </c>
      <c r="D57" s="109" t="s">
        <v>839</v>
      </c>
      <c r="E57" s="105"/>
      <c r="F57" s="105"/>
      <c r="G57" t="str">
        <f t="shared" si="4"/>
        <v xml:space="preserve">A.1.5 Author and Organisation - </v>
      </c>
    </row>
    <row r="58" spans="1:12" ht="409.6" thickBot="1" x14ac:dyDescent="0.9">
      <c r="B58" t="str">
        <f t="shared" si="3"/>
        <v>A.1.5.1 Author organization</v>
      </c>
      <c r="C58" s="104" t="s">
        <v>79</v>
      </c>
      <c r="D58" s="105" t="s">
        <v>840</v>
      </c>
      <c r="E58" s="105" t="s">
        <v>841</v>
      </c>
      <c r="F58" s="105"/>
      <c r="G58" t="str">
        <f t="shared" si="4"/>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59" spans="1:12" ht="163" thickBot="1" x14ac:dyDescent="0.9">
      <c r="B59" t="str">
        <f t="shared" si="3"/>
        <v>A.1.5.2 Legal authenticator</v>
      </c>
      <c r="C59" s="104" t="s">
        <v>81</v>
      </c>
      <c r="D59" s="105" t="s">
        <v>842</v>
      </c>
      <c r="E59" s="105" t="s">
        <v>843</v>
      </c>
      <c r="F59" s="105"/>
      <c r="G59" t="str">
        <f t="shared" si="4"/>
        <v>A.1.5.2 Legal authenticator - Legal entity (Health Professional or Health Care Provider) who authenticated the Patient Summary</v>
      </c>
    </row>
    <row r="60" spans="1:12" ht="15.5" thickBot="1" x14ac:dyDescent="0.9">
      <c r="B60" t="str">
        <f t="shared" si="3"/>
        <v>A.1.6 Additional information / Knowledge resources</v>
      </c>
      <c r="C60" s="108" t="s">
        <v>844</v>
      </c>
      <c r="D60" s="109" t="s">
        <v>845</v>
      </c>
      <c r="E60" s="105"/>
      <c r="F60" s="105"/>
      <c r="G60" t="str">
        <f t="shared" si="4"/>
        <v xml:space="preserve">A.1.6 Additional information / Knowledge resources - </v>
      </c>
    </row>
    <row r="61" spans="1:12" ht="409.6" thickBot="1" x14ac:dyDescent="0.9">
      <c r="B61" t="str">
        <f t="shared" si="3"/>
        <v>A.1.6.1 External reference</v>
      </c>
      <c r="C61" s="104" t="s">
        <v>86</v>
      </c>
      <c r="D61" s="105" t="s">
        <v>846</v>
      </c>
      <c r="E61" s="105" t="s">
        <v>847</v>
      </c>
      <c r="F61" s="105"/>
      <c r="G61" t="str">
        <f t="shared" si="4"/>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62" spans="1:12" ht="399" thickBot="1" x14ac:dyDescent="0.9">
      <c r="B62" t="str">
        <f t="shared" si="3"/>
        <v>A.1.6.2 Related with</v>
      </c>
      <c r="C62" s="104" t="s">
        <v>88</v>
      </c>
      <c r="D62" s="105" t="s">
        <v>661</v>
      </c>
      <c r="E62" s="105" t="s">
        <v>848</v>
      </c>
      <c r="F62" s="105"/>
      <c r="G62" t="str">
        <f t="shared" si="4"/>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1"/>
  <sheetViews>
    <sheetView workbookViewId="0">
      <selection activeCell="C82" sqref="C82"/>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50" t="s">
        <v>878</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x14ac:dyDescent="0.75">
      <c r="C10" s="14" t="str">
        <f>IF(PS!J10="*  ..  ##34###34# ##334###334#","//--- END",PS!J10)</f>
        <v>* header.insuranceInfo 0..1 BackboneElement ##34#A.1.3 Insurance information##34# ##334#A.1.3 Insurance information##334#</v>
      </c>
    </row>
    <row r="11" spans="3:7" x14ac:dyDescent="0.75">
      <c r="C11" s="14" t="str">
        <f>IF(PS!J11="*  ..  ##34###34# ##334###334#","//--- END",PS!J11)</f>
        <v>* header.documentData 1..1 BackboneElement ##34#A.1.4 Document data##34# ##334#A.1.4 Document data##334#</v>
      </c>
    </row>
    <row r="12" spans="3:7" x14ac:dyDescent="0.75">
      <c r="C12" s="14" t="str">
        <f>IF(PS!J12="*  ..  ##34###34# ##334###334#","//--- END",PS!J12)</f>
        <v>* header.documentData.created 1..1 dateTime ##34#A.1.4.1 Date created##34# ##334#A.1.4.1 Date created - Date on which PS was generated##334#</v>
      </c>
    </row>
    <row r="13" spans="3:7" x14ac:dyDescent="0.75">
      <c r="C13" s="14" t="str">
        <f>IF(PS!J13="*  ..  ##34###34# ##334###334#","//--- END",PS!J13)</f>
        <v>* header.documentData.lastUpdate 0..1 dateTime ##34#A.1.4.2 Date of last update##34# ##334#A.1.4.2 Date of last update - Date on which PS was updated (date of most recent version)
Preferred system: ISO 8601##334#</v>
      </c>
    </row>
    <row r="14" spans="3:7" x14ac:dyDescent="0.75">
      <c r="C14" s="14" t="str">
        <f>IF(PS!J14="*  ..  ##34###34# ##334###334#","//--- END",PS!J14)</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5" spans="3:7" x14ac:dyDescent="0.75">
      <c r="C15" s="14" t="str">
        <f>IF(PS!J15="*  ..  ##34###34# ##334###334#","//--- END",PS!J15)</f>
        <v>* header.participant 1..* BackboneElement ##34#A.1.5 Author and Organisation##34# ##334#A.1.5 Author and Organisation##334#</v>
      </c>
    </row>
    <row r="16" spans="3:7" x14ac:dyDescent="0.75">
      <c r="C16" s="14" t="str">
        <f>IF(PS!J16="*  ..  ##34###34# ##334###334#","//--- END",PS!J16)</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7" spans="3:3" x14ac:dyDescent="0.75">
      <c r="C17" s="14" t="str">
        <f>IF(PS!J17="*  ..  ##34###34# ##334###334#","//--- END",PS!J17)</f>
        <v>* header.participant.legalAuth 0..* CodeableConcept ##34#A.1.5.2 Legal authenticator##34# ##334#A.1.5.2 Legal authenticator - Legal entity (Health Professional or Health Care Provider) who authenticated the Patient Summary##334#</v>
      </c>
    </row>
    <row r="18" spans="3:3" x14ac:dyDescent="0.75">
      <c r="C18" s="14" t="str">
        <f>IF(PS!J18="*  ..  ##34###34# ##334###334#","//--- END",PS!J18)</f>
        <v>* header.additionalInfo 0..* BackboneElement ##34#A.1.6 Additional information / Knowledge resources##34# ##334#A.1.6 Additional information / Knowledge resources - ##334#</v>
      </c>
    </row>
    <row r="19" spans="3:3" ht="59" x14ac:dyDescent="0.75">
      <c r="C19" s="14" t="str">
        <f>IF(PS!J19="*  ..  ##34###34# ##334###334#","//--- END",PS!J19)</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0" spans="3:3" ht="44.25" x14ac:dyDescent="0.75">
      <c r="C20" s="14" t="str">
        <f>IF(PS!J20="*  ..  ##34###34# ##334###334#","//--- END",PS!J20)</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1" spans="3:3" ht="29.5" x14ac:dyDescent="0.75">
      <c r="C21" s="14" t="str">
        <f>IF(PS!J21="*  ..  ##34###34# ##334###334#","//--- END",PS!J21)</f>
        <v>* body 1..1 BackboneElement ##34#A.2 Patient summary body data elements##34# ##334#A.2 - Patient summary body data elements##334#</v>
      </c>
    </row>
    <row r="22" spans="3:3" x14ac:dyDescent="0.75">
      <c r="C22" s="14" t="str">
        <f>IF(PS!J22="*  ..  ##34###34# ##334###334#","//--- END",PS!J22)</f>
        <v>* body.alerts 1..1 BackboneElement ##34#A.2.1 Alerts##34# ##334#A.2.1 - Alerts##334#</v>
      </c>
    </row>
    <row r="23" spans="3:3" ht="29.5" x14ac:dyDescent="0.75">
      <c r="C23" s="14" t="str">
        <f>IF(PS!J23="*  ..  ##34###34# ##334###334#","//--- END",PS!J23)</f>
        <v>* body.alerts.allergy 0..* http://hl7.eu/fhir/ig/xpandh/ps/StructureDefinition/Allergy ##34#A.2.1.1 Allergy##34# ##334#A.2.1.1 - Allergy##334#</v>
      </c>
    </row>
    <row r="24" spans="3:3" ht="29.5" x14ac:dyDescent="0.75">
      <c r="C24" s="14" t="str">
        <f>IF(PS!J24="*  ..  ##34###34# ##334###334#","//--- END",PS!J24)</f>
        <v>* body.alerts.alert 0..* BackboneElement ##34#A.2.1.2 Medical alert information (other alerts not included in allergies)##34# ##334#A.2.1.2 - Medical alert information (other alerts not included in allergies)##334#</v>
      </c>
    </row>
    <row r="25" spans="3:3" x14ac:dyDescent="0.75">
      <c r="C25" s="14" t="str">
        <f>IF(PS!J26="*  ..  ##34###34# ##334###334#","//--- END",PS!J26)</f>
        <v>* body.medicalHistory 1..1 BackboneElement ##34#A.2.2 Medical history##34# ##334#A.2.2 - Medical history##334#</v>
      </c>
    </row>
    <row r="26" spans="3:3" ht="29.5" x14ac:dyDescent="0.75">
      <c r="C26" s="14" t="str">
        <f>IF(PS!J27="*  ..  ##34###34# ##334###334#","//--- END",PS!J27)</f>
        <v>* body.medicalHistory.vaccination 0..* http://hl7.eu/fhir/ig/xpandh/ps/StructureDefinition/Vaccination ##34#A.2.2.1 Vaccination/ prophylaxis information##34# ##334#A.2.2.1 - Vaccination/ prophylaxis information##334#</v>
      </c>
    </row>
    <row r="27" spans="3:3" ht="29.5" x14ac:dyDescent="0.75">
      <c r="C27" s="14" t="str">
        <f>IF(PS!J28="*  ..  ##34###34# ##334###334#","//--- END",PS!J28)</f>
        <v>* body.medicalHistory.inactiveProblem 0..* BackboneElement ##34#A.2.2.2 Resolved, closed or inactive problems##34# ##334#A.2.2.2 - Resolved, closed or inactive problems##334#</v>
      </c>
    </row>
    <row r="28" spans="3:3" ht="29.5" x14ac:dyDescent="0.75">
      <c r="C28" s="14" t="str">
        <f>IF(PS!J29="*  ..  ##34###34# ##334###334#","//--- END",PS!J29)</f>
        <v>* body.medicalHistory.anamnesis 0..1 BackboneElement ##34#A.2.2.3 Medical history##34# ##334#A.2.2.3 - Medical history##334#</v>
      </c>
    </row>
    <row r="29" spans="3:3" ht="29.5" x14ac:dyDescent="0.75">
      <c r="C29" s="14" t="str">
        <f>IF(PS!J30="*  ..  ##34###34# ##334###334#","//--- END",PS!J30)</f>
        <v>* body.medicalHistory.medicalDevices 1..1 BackboneElement ##34#A.2.3.2 Medical devices and implants##34# ##334#A.2.3.2 - Medical devices and implants##334#</v>
      </c>
    </row>
    <row r="30" spans="3:3" x14ac:dyDescent="0.75">
      <c r="C30" s="14" t="str">
        <f>IF(PS!J31="*  ..  ##34###34# ##334###334#","//--- END",PS!J31)</f>
        <v>* body.medicalHistory.procedures 1..1 BackboneElement ##34#A.2.3.3 Procedures##34# ##334#A.2.3.3 - Procedures##334#</v>
      </c>
    </row>
    <row r="31" spans="3:3" ht="29.5" x14ac:dyDescent="0.75">
      <c r="C31" s="14" t="str">
        <f>IF(PS!J32="*  ..  ##34###34# ##334###334#","//--- END",PS!J32)</f>
        <v>* body.medicalHistory.functionalStatus 0..1 BackboneElement ##34#A.2.3.4 Functional status##34# ##334#A.2.3.4 - Functional status##334#</v>
      </c>
    </row>
    <row r="32" spans="3:3" ht="29.5" x14ac:dyDescent="0.75">
      <c r="C32" s="14" t="str">
        <f>IF(PS!J33="*  ..  ##34###34# ##334###334#","//--- END",PS!J33)</f>
        <v>* body.medicationSummary 1..1 BackboneElement ##34#A.2.4 Medication summary##34# ##334#A.2.4 - Medication summary##334#</v>
      </c>
    </row>
    <row r="33" spans="3:3" x14ac:dyDescent="0.75">
      <c r="C33" s="14" t="str">
        <f>IF(PS!J34="*  ..  ##34###34# ##334###334#","//--- END",PS!J34)</f>
        <v>* body.socialHistory 0..1 BackboneElement ##34#A.2.5 Social history##34# ##334#A.2.5 - Social history##334#</v>
      </c>
    </row>
    <row r="34" spans="3:3" x14ac:dyDescent="0.75">
      <c r="C34" s="14" t="str">
        <f>IF(PS!J35="*  ..  ##34###34# ##334###334#","//--- END",PS!J35)</f>
        <v>* body.pregnancyHistory 0..1 BackboneElement ##34#A.2.6 Pregnancy history##34# ##334#A.2.6 Pregnancy history##334#</v>
      </c>
    </row>
    <row r="35" spans="3:3" x14ac:dyDescent="0.75">
      <c r="C35" s="14" t="str">
        <f>IF(PS!J36="*  ..  ##34###34# ##334###334#","//--- END",PS!J36)</f>
        <v>* body.patientData 0..1 BackboneElement ##34#A.2.7 Patient provided data##34# ##334#A.2.7 - Patient provided data##334#</v>
      </c>
    </row>
    <row r="36" spans="3:3" ht="29.5" x14ac:dyDescent="0.75">
      <c r="C36" s="14" t="str">
        <f>IF(PS!J37="*  ..  ##34###34# ##334###334#","//--- END",PS!J37)</f>
        <v>* body.patientData.travelHistory 0..1 BackboneElement ##34#A.2.7.1 Travel history##34# ##334#A.2.7.1 - Travel history##334#</v>
      </c>
    </row>
    <row r="37" spans="3:3" ht="29.5" x14ac:dyDescent="0.75">
      <c r="C37" s="14" t="str">
        <f>IF(PS!J38="*  ..  ##34###34# ##334###334#","//--- END",PS!J38)</f>
        <v>* body.patientData.advanceDirective 0..1 BackboneElement ##34#A.2.7.2 Advance Directive##34# ##334#A.2.7.2 - Advance Directive##334#</v>
      </c>
    </row>
    <row r="38" spans="3:3" x14ac:dyDescent="0.75">
      <c r="C38" s="14" t="str">
        <f>IF(PS!J39="*  ..  ##34###34# ##334###334#","//--- END",PS!J39)</f>
        <v>* body.results 0..1 BackboneElement ##34#A.2.8 Results##34# ##334#A.2.8 - Results##334#</v>
      </c>
    </row>
    <row r="39" spans="3:3" x14ac:dyDescent="0.75">
      <c r="C39" s="14" t="str">
        <f>IF(PS!J40="*  ..  ##34###34# ##334###334#","//--- END",PS!J40)</f>
        <v>* body.planOfCare 0..1 BackboneElement ##34#A.2.9 Plan of Care##34# ##334#A.2.9 - Plan of Care##334#</v>
      </c>
    </row>
    <row r="40" spans="3:3" x14ac:dyDescent="0.75">
      <c r="C40" s="14" t="str">
        <f>IF(PS!J41="*  ..  ##34###34# ##334###334#","//--- END",PS!J41)</f>
        <v>//--- END</v>
      </c>
    </row>
    <row r="41" spans="3:3" x14ac:dyDescent="0.75">
      <c r="C41" s="14" t="str">
        <f>IF(PS!J42="*  ..  ##34###34# ##334###334#","//--- END",PS!J42)</f>
        <v>//--- END</v>
      </c>
    </row>
    <row r="42" spans="3:3" x14ac:dyDescent="0.75">
      <c r="C42" s="14" t="str">
        <f>IF(PS!J43="*  ..  ##34###34# ##334###334#","//--- END",PS!J43)</f>
        <v>//--- END</v>
      </c>
    </row>
    <row r="52" spans="3:3" x14ac:dyDescent="0.75">
      <c r="C52" s="31" t="s">
        <v>386</v>
      </c>
    </row>
    <row r="53" spans="3:3" x14ac:dyDescent="0.75">
      <c r="C53" s="32" t="s">
        <v>531</v>
      </c>
    </row>
    <row r="54" spans="3:3" x14ac:dyDescent="0.75">
      <c r="C54" s="32" t="s">
        <v>386</v>
      </c>
    </row>
    <row r="55" spans="3:3" x14ac:dyDescent="0.75">
      <c r="C55" s="14" t="str">
        <f>IF(PS!L8="*  ..  ##34###34# ##334###334#","//--- END",PS!L8)</f>
        <v/>
      </c>
    </row>
    <row r="56" spans="3:3" x14ac:dyDescent="0.75">
      <c r="C56" s="14" t="str">
        <f>IF(PS!L9="*  ..  ##34###34# ##334###334#","//--- END",PS!L9)</f>
        <v/>
      </c>
    </row>
    <row r="57" spans="3:3" x14ac:dyDescent="0.75">
      <c r="C57" s="14" t="str">
        <f>IF(PS!L10="*  ..  ##34###34# ##334###334#","//--- END",PS!L10)</f>
        <v/>
      </c>
    </row>
    <row r="58" spans="3:3" x14ac:dyDescent="0.75">
      <c r="C58" s="14" t="str">
        <f>IF(PS!L11="*  ..  ##34###34# ##334###334#","//--- END",PS!L11)</f>
        <v/>
      </c>
    </row>
    <row r="59" spans="3:3" x14ac:dyDescent="0.75">
      <c r="C59" s="14" t="str">
        <f>IF(PS!L12="*  ..  ##34###34# ##334###334#","//--- END",PS!L12)</f>
        <v/>
      </c>
    </row>
    <row r="60" spans="3:3" x14ac:dyDescent="0.75">
      <c r="C60" s="14" t="str">
        <f>IF(PS!L13="*  ..  ##34###34# ##334###334#","//--- END",PS!L13)</f>
        <v/>
      </c>
    </row>
    <row r="61" spans="3:3" x14ac:dyDescent="0.75">
      <c r="C61" s="14" t="str">
        <f>IF(PS!L14="*  ..  ##34###34# ##334###334#","//--- END",PS!L14)</f>
        <v/>
      </c>
    </row>
    <row r="62" spans="3:3" x14ac:dyDescent="0.75">
      <c r="C62" s="14" t="str">
        <f>IF(PS!L15="*  ..  ##34###34# ##334###334#","//--- END",PS!L15)</f>
        <v/>
      </c>
    </row>
    <row r="63" spans="3:3" x14ac:dyDescent="0.75">
      <c r="C63" s="14" t="str">
        <f>IF(PS!L16="*  ..  ##34###34# ##334###334#","//--- END",PS!L16)</f>
        <v/>
      </c>
    </row>
    <row r="64" spans="3:3" x14ac:dyDescent="0.75">
      <c r="C64" s="14" t="str">
        <f>IF(PS!L17="*  ..  ##34###34# ##334###334#","//--- END",PS!L17)</f>
        <v/>
      </c>
    </row>
    <row r="65" spans="3:3" x14ac:dyDescent="0.75">
      <c r="C65" s="14" t="str">
        <f>IF(PS!L18="*  ..  ##34###34# ##334###334#","//--- END",PS!L18)</f>
        <v/>
      </c>
    </row>
    <row r="66" spans="3:3" x14ac:dyDescent="0.75">
      <c r="C66" s="14" t="str">
        <f>IF(PS!L19="*  ..  ##34###34# ##334###334#","//--- END",PS!L19)</f>
        <v/>
      </c>
    </row>
    <row r="67" spans="3:3" x14ac:dyDescent="0.75">
      <c r="C67" s="14" t="str">
        <f>IF(PS!L20="*  ..  ##34###34# ##334###334#","//--- END",PS!L20)</f>
        <v/>
      </c>
    </row>
    <row r="68" spans="3:3" x14ac:dyDescent="0.75">
      <c r="C68" s="14" t="str">
        <f>IF(PS!L21="*  ..  ##34###34# ##334###334#","//--- END",PS!L21)</f>
        <v/>
      </c>
    </row>
    <row r="69" spans="3:3" x14ac:dyDescent="0.75">
      <c r="C69" s="14" t="str">
        <f>IF(PS!L22="*  ..  ##34###34# ##334###334#","//--- END",PS!L22)</f>
        <v/>
      </c>
    </row>
    <row r="70" spans="3:3" x14ac:dyDescent="0.75">
      <c r="C70" s="14" t="str">
        <f>IF(PS!L23="*  ..  ##34###34# ##334###334#","//--- END",PS!L23)</f>
        <v/>
      </c>
    </row>
    <row r="71" spans="3:3" x14ac:dyDescent="0.75">
      <c r="C71" s="14" t="str">
        <f>IF(PS!L24="*  ..  ##34###34# ##334###334#","//--- END",PS!L24)</f>
        <v/>
      </c>
    </row>
    <row r="72" spans="3:3" x14ac:dyDescent="0.75">
      <c r="C72" s="14" t="str">
        <f>IF(PS!L26="*  ..  ##34###34# ##334###334#","//--- END",PS!L26)</f>
        <v/>
      </c>
    </row>
    <row r="73" spans="3:3" x14ac:dyDescent="0.75">
      <c r="C73" s="14" t="str">
        <f>IF(PS!L27="*  ..  ##34###34# ##334###334#","//--- END",PS!L27)</f>
        <v/>
      </c>
    </row>
    <row r="74" spans="3:3" x14ac:dyDescent="0.75">
      <c r="C74" s="14" t="str">
        <f>IF(PS!L28="*  ..  ##34###34# ##334###334#","//--- END",PS!L28)</f>
        <v/>
      </c>
    </row>
    <row r="75" spans="3:3" x14ac:dyDescent="0.75">
      <c r="C75" s="14" t="str">
        <f>IF(PS!L29="*  ..  ##34###34# ##334###334#","//--- END",PS!L29)</f>
        <v/>
      </c>
    </row>
    <row r="76" spans="3:3" x14ac:dyDescent="0.75">
      <c r="C76" s="14" t="str">
        <f>IF(PS!L30="*  ..  ##34###34# ##334###334#","//--- END",PS!L30)</f>
        <v/>
      </c>
    </row>
    <row r="77" spans="3:3" x14ac:dyDescent="0.75">
      <c r="C77" s="14" t="str">
        <f>IF(PS!L31="*  ..  ##34###34# ##334###334#","//--- END",PS!L31)</f>
        <v/>
      </c>
    </row>
    <row r="78" spans="3:3" x14ac:dyDescent="0.75">
      <c r="C78" s="14" t="str">
        <f>IF(PS!L32="*  ..  ##34###34# ##334###334#","//--- END",PS!L32)</f>
        <v/>
      </c>
    </row>
    <row r="79" spans="3:3" x14ac:dyDescent="0.75">
      <c r="C79" s="14" t="str">
        <f>IF(PS!L33="*  ..  ##34###34# ##334###334#","//--- END",PS!L33)</f>
        <v/>
      </c>
    </row>
    <row r="80" spans="3:3" x14ac:dyDescent="0.75">
      <c r="C80" s="14" t="str">
        <f>IF(PS!L34="*  ..  ##34###34# ##334###334#","//--- END",PS!L34)</f>
        <v/>
      </c>
    </row>
    <row r="81" spans="3:3" x14ac:dyDescent="0.75">
      <c r="C81" s="14" t="str">
        <f>IF(PS!L35="*  ..  ##34###34# ##334###334#","//--- END",PS!L35)</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103</xdr:row>
                    <xdr:rowOff>171450</xdr:rowOff>
                  </from>
                  <to>
                    <xdr:col>2</xdr:col>
                    <xdr:colOff>1117600</xdr:colOff>
                    <xdr:row>105</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222"/>
  <sheetViews>
    <sheetView topLeftCell="A31" zoomScale="85" zoomScaleNormal="85" workbookViewId="0">
      <selection activeCell="D35" sqref="D35"/>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1156</v>
      </c>
      <c r="D3" s="66" t="s">
        <v>414</v>
      </c>
      <c r="E3" t="s">
        <v>1217</v>
      </c>
    </row>
    <row r="4" spans="1:19" x14ac:dyDescent="0.75">
      <c r="B4" s="66" t="s">
        <v>19</v>
      </c>
      <c r="C4" s="49" t="s">
        <v>1160</v>
      </c>
      <c r="D4" s="66" t="s">
        <v>415</v>
      </c>
      <c r="E4" s="77" t="s">
        <v>1218</v>
      </c>
    </row>
    <row r="5" spans="1:19" x14ac:dyDescent="0.75">
      <c r="B5" s="66" t="s">
        <v>13</v>
      </c>
      <c r="C5" s="21" t="s">
        <v>1162</v>
      </c>
      <c r="D5" s="66"/>
      <c r="E5" s="10"/>
    </row>
    <row r="6" spans="1:19" ht="29.5" x14ac:dyDescent="0.75">
      <c r="B6" s="66" t="s">
        <v>35</v>
      </c>
      <c r="C6" s="117" t="s">
        <v>1217</v>
      </c>
      <c r="D6" s="66" t="s">
        <v>412</v>
      </c>
      <c r="E6" s="136" t="s">
        <v>1217</v>
      </c>
      <c r="F6" s="136"/>
      <c r="G6" s="136"/>
    </row>
    <row r="7" spans="1:19" x14ac:dyDescent="0.75">
      <c r="B7" s="66" t="s">
        <v>18</v>
      </c>
      <c r="C7" s="118" t="s">
        <v>849</v>
      </c>
      <c r="D7" s="66" t="s">
        <v>413</v>
      </c>
      <c r="E7" s="136" t="s">
        <v>1219</v>
      </c>
      <c r="F7" s="136"/>
      <c r="G7" s="136"/>
    </row>
    <row r="8" spans="1:19" ht="44.25" x14ac:dyDescent="0.75">
      <c r="B8" s="66" t="s">
        <v>410</v>
      </c>
      <c r="C8" s="21" t="s">
        <v>1162</v>
      </c>
      <c r="D8" s="66"/>
      <c r="E8" s="10"/>
      <c r="I8" s="14" t="s">
        <v>387</v>
      </c>
      <c r="J8" s="14" t="s">
        <v>388</v>
      </c>
      <c r="K8" s="14" t="s">
        <v>389</v>
      </c>
      <c r="L8" s="14" t="s">
        <v>390</v>
      </c>
      <c r="M8" s="9" t="s">
        <v>391</v>
      </c>
      <c r="P8" s="62" t="s">
        <v>392</v>
      </c>
      <c r="Q8" s="62">
        <v>6</v>
      </c>
    </row>
    <row r="9" spans="1:19" ht="29.5" x14ac:dyDescent="0.75">
      <c r="B9" s="66" t="s">
        <v>411</v>
      </c>
      <c r="C9" s="1" t="s">
        <v>763</v>
      </c>
      <c r="D9" s="66"/>
      <c r="E9"/>
      <c r="I9" s="14"/>
      <c r="J9" s="9"/>
      <c r="K9" s="9"/>
      <c r="L9" s="9"/>
      <c r="M9" s="9"/>
    </row>
    <row r="10" spans="1:19" x14ac:dyDescent="0.75">
      <c r="B10" s="66"/>
      <c r="D10" s="66"/>
      <c r="E10"/>
      <c r="I10" s="14"/>
      <c r="J10" s="9"/>
      <c r="K10" s="9"/>
      <c r="L10" s="9"/>
      <c r="M10" s="9"/>
    </row>
    <row r="11" spans="1:19" x14ac:dyDescent="0.75">
      <c r="E11" s="10"/>
      <c r="I11" s="24" t="s">
        <v>393</v>
      </c>
      <c r="J11" s="63" t="s">
        <v>394</v>
      </c>
      <c r="K11" s="24" t="s">
        <v>395</v>
      </c>
      <c r="L11" s="63" t="s">
        <v>396</v>
      </c>
      <c r="M11" s="64" t="s">
        <v>397</v>
      </c>
      <c r="N11" s="67" t="s">
        <v>384</v>
      </c>
    </row>
    <row r="12" spans="1:19" x14ac:dyDescent="0.75">
      <c r="E12" s="65"/>
      <c r="I12" s="14"/>
      <c r="J12" s="9"/>
      <c r="K12" s="9"/>
      <c r="L12" s="9"/>
      <c r="M12" s="9"/>
    </row>
    <row r="13" spans="1:19" x14ac:dyDescent="0.75">
      <c r="D13" s="14"/>
      <c r="E13" s="9"/>
      <c r="F13" s="64" t="s">
        <v>397</v>
      </c>
      <c r="G13" s="67" t="s">
        <v>384</v>
      </c>
      <c r="H13" s="67"/>
      <c r="I13" s="14"/>
      <c r="J13" s="9"/>
      <c r="K13" s="64"/>
      <c r="L13" s="64"/>
      <c r="M13" s="64"/>
      <c r="N13" s="67"/>
    </row>
    <row r="14" spans="1:19" x14ac:dyDescent="0.75">
      <c r="A14" s="22"/>
      <c r="B14" s="8" t="s">
        <v>869</v>
      </c>
      <c r="C14" s="14"/>
      <c r="D14" s="4" t="s">
        <v>189</v>
      </c>
      <c r="E14" s="8"/>
      <c r="F14" s="9"/>
      <c r="G14" s="9"/>
      <c r="I14" s="14"/>
      <c r="J14" s="9"/>
      <c r="K14" s="9"/>
      <c r="L14" s="9"/>
      <c r="M14" s="64"/>
      <c r="N14" s="67"/>
    </row>
    <row r="15" spans="1:19" ht="44.25" x14ac:dyDescent="0.75">
      <c r="A15" s="22"/>
      <c r="B15" s="9" t="str">
        <f>PS!B8</f>
        <v>header</v>
      </c>
      <c r="C15" s="9" t="str">
        <f>PS!C8</f>
        <v>A.1 Report header data elements</v>
      </c>
      <c r="D15" s="14"/>
      <c r="E15" s="9"/>
      <c r="F15" s="68" t="s">
        <v>399</v>
      </c>
      <c r="G15" s="68"/>
      <c r="H15" s="69"/>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INDEX('PS-ConceptMap-1'!$I$15:$N$273,Q15+1,R15)</f>
        <v>* group[=].element[+].code = #PatientSummary.header</v>
      </c>
    </row>
    <row r="16" spans="1:19" ht="44.25" x14ac:dyDescent="0.75">
      <c r="A16" s="22"/>
      <c r="B16" s="9" t="str">
        <f>PS!B9</f>
        <v>header.subject</v>
      </c>
      <c r="C16" s="9" t="str">
        <f>PS!C9</f>
        <v>A.1.1 A1.2 Patient/subject</v>
      </c>
      <c r="D16" s="14" t="s">
        <v>407</v>
      </c>
      <c r="E16" s="9"/>
      <c r="F16" s="68" t="s">
        <v>399</v>
      </c>
      <c r="G16" s="68"/>
      <c r="H16" s="69"/>
      <c r="I16" s="14" t="str">
        <f t="shared" ref="I16:I31" si="4">"* group[=].element[+].code = #"&amp;$B$14&amp;"."&amp;B16</f>
        <v>* group[=].element[+].code = #PatientSummary.header.subject</v>
      </c>
      <c r="J16" s="14" t="str">
        <f t="shared" ref="J16:J32" si="5">"* group[=].element[=].display = ##34#"&amp;C16&amp;"##34#"</f>
        <v>* group[=].element[=].display = ##34#A.1.1 A1.2 Patient/subject##34#</v>
      </c>
      <c r="K16" s="14" t="str">
        <f t="shared" ref="K16:K31" si="6">IF(F16="unmatched","//-- unmatched",IF(D16="","* group[=].element[=].target.code = #"&amp;$D$14,"* group[=].element[=].target.code = #"&amp;$D$14&amp;"."&amp;D16))</f>
        <v>* group[=].element[=].target.code = #Composition.subject</v>
      </c>
      <c r="L16" s="14" t="str">
        <f t="shared" ref="L16:L32" si="7">IF(F16="unmatched","//-- unmatched","* group[=].element[=].target.display = ##34#"&amp;E16&amp;"##34#")</f>
        <v>* group[=].element[=].target.display = ##34###34#</v>
      </c>
      <c r="M16" s="14" t="str">
        <f t="shared" ref="M16:M32" si="8">"* group[=].element[=].target.equivalence = #"&amp;F16</f>
        <v>* group[=].element[=].target.equivalence = #relatedto</v>
      </c>
      <c r="N16" s="14" t="str">
        <f t="shared" ref="N16:N32" si="9">IF(G16&lt;&gt;"",CONCATENATE("* group[=].element[=].target.comment = ","##34#",G16,"##34#"),"")</f>
        <v/>
      </c>
      <c r="P16" s="9">
        <v>2</v>
      </c>
      <c r="Q16" s="9">
        <f t="shared" ref="Q16:Q222" si="10">IF(MOD(P16,$Q$8)=0,P16/$Q$8-1,INT(P16/$Q$8))</f>
        <v>0</v>
      </c>
      <c r="R16" s="9">
        <f t="shared" ref="R16:R31" si="11">IF(MOD(P16,$Q$8)=0,$Q$8,MOD(P16,$Q$8))</f>
        <v>2</v>
      </c>
      <c r="S16" s="14" t="str" cm="1">
        <f t="array" ref="S16">INDEX('PS-ConceptMap-1'!$I$15:$N$273,Q16+1,R16)</f>
        <v>* group[=].element[=].display = ##34#A.1 Report header data elements##34#</v>
      </c>
    </row>
    <row r="17" spans="1:19" ht="44.25" x14ac:dyDescent="0.75">
      <c r="A17" s="22"/>
      <c r="B17" s="9" t="str">
        <f>PS!B10</f>
        <v>header.insuranceInfo</v>
      </c>
      <c r="C17" s="9" t="str">
        <f>PS!C10</f>
        <v>A.1.3 Insurance information</v>
      </c>
      <c r="D17" s="14" t="s">
        <v>407</v>
      </c>
      <c r="E17" s="9"/>
      <c r="F17" s="68" t="s">
        <v>399</v>
      </c>
      <c r="G17" s="4" t="s">
        <v>821</v>
      </c>
      <c r="H17" s="69"/>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group[=].element[=].target.comment = ##34#To be checked##34#</v>
      </c>
      <c r="P17" s="9">
        <v>3</v>
      </c>
      <c r="Q17" s="9">
        <f t="shared" si="10"/>
        <v>0</v>
      </c>
      <c r="R17" s="9">
        <f t="shared" si="11"/>
        <v>3</v>
      </c>
      <c r="S17" s="14" t="str" cm="1">
        <f t="array" ref="S17">INDEX('PS-ConceptMap-1'!$I$15:$N$273,Q17+1,R17)</f>
        <v>* group[=].element[=].target.code = #Composition</v>
      </c>
    </row>
    <row r="18" spans="1:19" ht="44.25" x14ac:dyDescent="0.75">
      <c r="A18" s="22"/>
      <c r="B18" s="9" t="str">
        <f>PS!B11</f>
        <v>header.documentData</v>
      </c>
      <c r="C18" s="9" t="str">
        <f>PS!C11</f>
        <v>A.1.4 Document data</v>
      </c>
      <c r="D18" s="14"/>
      <c r="E18" s="9"/>
      <c r="F18" s="68" t="s">
        <v>399</v>
      </c>
      <c r="G18" s="68"/>
      <c r="H18" s="69"/>
      <c r="I18" s="14" t="str">
        <f t="shared" si="4"/>
        <v>* group[=].element[+].code = #PatientSummary.header.documentData</v>
      </c>
      <c r="J18" s="14" t="str">
        <f t="shared" si="5"/>
        <v>* group[=].element[=].display = ##34#A.1.4 Document data##34#</v>
      </c>
      <c r="K18" s="14" t="str">
        <f t="shared" si="6"/>
        <v>* group[=].element[=].target.code = #Composition</v>
      </c>
      <c r="L18" s="14" t="str">
        <f t="shared" si="7"/>
        <v>* group[=].element[=].target.display = ##34###34#</v>
      </c>
      <c r="M18" s="14" t="str">
        <f t="shared" si="8"/>
        <v>* group[=].element[=].target.equivalence = #relatedto</v>
      </c>
      <c r="N18" s="14" t="str">
        <f t="shared" si="9"/>
        <v/>
      </c>
      <c r="P18" s="9">
        <v>4</v>
      </c>
      <c r="Q18" s="9">
        <f t="shared" si="10"/>
        <v>0</v>
      </c>
      <c r="R18" s="9">
        <f t="shared" si="11"/>
        <v>4</v>
      </c>
      <c r="S18" s="14" t="str" cm="1">
        <f t="array" ref="S18">INDEX('PS-ConceptMap-1'!$I$15:$N$273,Q18+1,R18)</f>
        <v>* group[=].element[=].target.display = ##34###34#</v>
      </c>
    </row>
    <row r="19" spans="1:19" ht="44.25" x14ac:dyDescent="0.75">
      <c r="A19" s="22"/>
      <c r="B19" s="9" t="str">
        <f>PS!B12</f>
        <v>header.documentData.created</v>
      </c>
      <c r="C19" s="9" t="str">
        <f>PS!C12</f>
        <v>A.1.4.1 Date created</v>
      </c>
      <c r="D19" s="14" t="s">
        <v>417</v>
      </c>
      <c r="E19" s="9"/>
      <c r="F19" s="68" t="s">
        <v>399</v>
      </c>
      <c r="G19" s="68"/>
      <c r="H19" s="69"/>
      <c r="I19" s="14" t="str">
        <f t="shared" si="4"/>
        <v>* group[=].element[+].code = #PatientSummary.header.documentData.created</v>
      </c>
      <c r="J19" s="14" t="str">
        <f t="shared" si="5"/>
        <v>* group[=].element[=].display = ##34#A.1.4.1 Date created##34#</v>
      </c>
      <c r="K19" s="14" t="str">
        <f t="shared" si="6"/>
        <v>* group[=].element[=].target.code = #Composition.date</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INDEX('PS-ConceptMap-1'!$I$15:$N$273,Q19+1,R19)</f>
        <v>* group[=].element[=].target.equivalence = #relatedto</v>
      </c>
    </row>
    <row r="20" spans="1:19" ht="73.75" x14ac:dyDescent="0.75">
      <c r="A20" s="22"/>
      <c r="B20" s="9" t="str">
        <f>PS!B13</f>
        <v>header.documentData.lastUpdate</v>
      </c>
      <c r="C20" s="9" t="str">
        <f>PS!C13</f>
        <v>A.1.4.2 Date of last update</v>
      </c>
      <c r="D20" s="14" t="s">
        <v>1163</v>
      </c>
      <c r="E20" s="9"/>
      <c r="F20" s="68" t="s">
        <v>399</v>
      </c>
      <c r="G20" s="4" t="s">
        <v>821</v>
      </c>
      <c r="H20" s="69"/>
      <c r="I20" s="14" t="str">
        <f t="shared" si="4"/>
        <v>* group[=].element[+].code = #PatientSummary.header.documentData.lastUpdate</v>
      </c>
      <c r="J20" s="14" t="str">
        <f t="shared" si="5"/>
        <v>* group[=].element[=].display = ##34#A.1.4.2 Date of last update##34#</v>
      </c>
      <c r="K20" s="14" t="str">
        <f t="shared" si="6"/>
        <v>* group[=].element[=].target.code = #Composition.event:careProvisioningEvent.period.end</v>
      </c>
      <c r="L20" s="14" t="str">
        <f t="shared" si="7"/>
        <v>* group[=].element[=].target.display = ##34###34#</v>
      </c>
      <c r="M20" s="14" t="str">
        <f t="shared" si="8"/>
        <v>* group[=].element[=].target.equivalence = #relatedto</v>
      </c>
      <c r="N20" s="14" t="str">
        <f t="shared" si="9"/>
        <v>* group[=].element[=].target.comment = ##34#To be checked##34#</v>
      </c>
      <c r="P20" s="9">
        <v>6</v>
      </c>
      <c r="Q20" s="9">
        <f t="shared" si="10"/>
        <v>0</v>
      </c>
      <c r="R20" s="9">
        <f t="shared" si="11"/>
        <v>6</v>
      </c>
      <c r="S20" s="14" t="str" cm="1">
        <f t="array" ref="S20">INDEX('PS-ConceptMap-1'!$I$15:$N$273,Q20+1,R20)</f>
        <v/>
      </c>
    </row>
    <row r="21" spans="1:19" ht="118" x14ac:dyDescent="0.75">
      <c r="A21" s="22"/>
      <c r="B21" s="9" t="str">
        <f>PS!B14</f>
        <v>header.documentData.natureOfIPS</v>
      </c>
      <c r="C21" s="9" t="str">
        <f>PS!C14</f>
        <v>A.1.4.3 Nature of the PS</v>
      </c>
      <c r="D21" s="14" t="s">
        <v>495</v>
      </c>
      <c r="E21" s="9"/>
      <c r="F21" s="68" t="s">
        <v>399</v>
      </c>
      <c r="G21" s="88" t="s">
        <v>1164</v>
      </c>
      <c r="H21" s="69"/>
      <c r="I21" s="14" t="str">
        <f t="shared" si="4"/>
        <v>* group[=].element[+].code = #PatientSummary.header.documentData.natureOfIPS</v>
      </c>
      <c r="J21" s="14" t="str">
        <f t="shared" si="5"/>
        <v>* group[=].element[=].display = ##34#A.1.4.3 Nature of the PS##34#</v>
      </c>
      <c r="K21" s="14" t="str">
        <f t="shared" si="6"/>
        <v>* group[=].element[=].target.code = #Composition.author</v>
      </c>
      <c r="L21" s="14" t="str">
        <f t="shared" si="7"/>
        <v>* group[=].element[=].target.display = ##34###34#</v>
      </c>
      <c r="M21" s="14" t="str">
        <f t="shared" si="8"/>
        <v>* group[=].element[=].target.equivalence = #relatedto</v>
      </c>
      <c r="N21" s="14" t="str">
        <f t="shared" si="9"/>
        <v>* group[=].element[=].target.comment = ##34#the nature of a PS is determined as a comobination of type if author and legal authenticator. Future versions may cosndier to use Provenance data for this scope##34#</v>
      </c>
      <c r="P21" s="9">
        <v>7</v>
      </c>
      <c r="Q21" s="9">
        <f t="shared" si="10"/>
        <v>1</v>
      </c>
      <c r="R21" s="9">
        <f t="shared" si="11"/>
        <v>1</v>
      </c>
      <c r="S21" s="14" t="str" cm="1">
        <f t="array" ref="S21">INDEX('PS-ConceptMap-1'!$I$15:$N$273,Q21+1,R21)</f>
        <v>* group[=].element[+].code = #PatientSummary.header.subject</v>
      </c>
    </row>
    <row r="22" spans="1:19" ht="44.25" x14ac:dyDescent="0.75">
      <c r="A22" s="22"/>
      <c r="B22" s="9" t="str">
        <f>PS!B15</f>
        <v>header.participant</v>
      </c>
      <c r="C22" s="9" t="str">
        <f>PS!C15</f>
        <v>A.1.5 Author and Organisation</v>
      </c>
      <c r="D22" s="14" t="s">
        <v>495</v>
      </c>
      <c r="E22" s="9"/>
      <c r="F22" s="68" t="s">
        <v>399</v>
      </c>
      <c r="G22" s="68"/>
      <c r="H22" s="69"/>
      <c r="I22" s="14" t="str">
        <f t="shared" si="4"/>
        <v>* group[=].element[+].code = #PatientSummary.header.participant</v>
      </c>
      <c r="J22" s="14" t="str">
        <f t="shared" si="5"/>
        <v>* group[=].element[=].display = ##34#A.1.5 Author and Organisation##34#</v>
      </c>
      <c r="K22" s="14" t="str">
        <f t="shared" si="6"/>
        <v>* group[=].element[=].target.code = #Composition.author</v>
      </c>
      <c r="L22" s="14" t="str">
        <f t="shared" si="7"/>
        <v>* group[=].element[=].target.display = ##34###34#</v>
      </c>
      <c r="M22" s="14" t="str">
        <f t="shared" si="8"/>
        <v>* group[=].element[=].target.equivalence = #relatedto</v>
      </c>
      <c r="N22" s="14" t="str">
        <f t="shared" si="9"/>
        <v/>
      </c>
      <c r="P22" s="9">
        <v>8</v>
      </c>
      <c r="Q22" s="9">
        <f t="shared" si="10"/>
        <v>1</v>
      </c>
      <c r="R22" s="9">
        <f t="shared" si="11"/>
        <v>2</v>
      </c>
      <c r="S22" s="14" t="str" cm="1">
        <f t="array" ref="S22">INDEX('PS-ConceptMap-1'!$I$15:$N$273,Q22+1,R22)</f>
        <v>* group[=].element[=].display = ##34#A.1.1 A1.2 Patient/subject##34#</v>
      </c>
    </row>
    <row r="23" spans="1:19" ht="73.75" x14ac:dyDescent="0.75">
      <c r="A23" s="22"/>
      <c r="B23" s="9" t="str">
        <f>PS!B16</f>
        <v>header.participant.author</v>
      </c>
      <c r="C23" s="9" t="str">
        <f>PS!C16</f>
        <v>A.1.5.1 Author organization</v>
      </c>
      <c r="D23" s="14" t="s">
        <v>495</v>
      </c>
      <c r="E23" s="9"/>
      <c r="F23" s="68" t="s">
        <v>398</v>
      </c>
      <c r="G23" s="91" t="s">
        <v>1165</v>
      </c>
      <c r="H23" s="69"/>
      <c r="I23" s="14" t="str">
        <f t="shared" si="4"/>
        <v>* group[=].element[+].code = #PatientSummary.header.participant.author</v>
      </c>
      <c r="J23" s="14" t="str">
        <f t="shared" si="5"/>
        <v>* group[=].element[=].display = ##34#A.1.5.1 Author organization##34#</v>
      </c>
      <c r="K23" s="14" t="str">
        <f t="shared" si="6"/>
        <v>* group[=].element[=].target.code = #Composition.author</v>
      </c>
      <c r="L23" s="14" t="str">
        <f t="shared" si="7"/>
        <v>* group[=].element[=].target.display = ##34###34#</v>
      </c>
      <c r="M23" s="14" t="str">
        <f t="shared" si="8"/>
        <v>* group[=].element[=].target.equivalence = #equivalent</v>
      </c>
      <c r="N23" s="14" t="str">
        <f t="shared" si="9"/>
        <v>* group[=].element[=].target.comment = ##34#author can be of type Organziation, Pracitctioner or PractictionerRole##34#</v>
      </c>
      <c r="P23" s="9">
        <v>9</v>
      </c>
      <c r="Q23" s="9">
        <f t="shared" si="10"/>
        <v>1</v>
      </c>
      <c r="R23" s="9">
        <f t="shared" si="11"/>
        <v>3</v>
      </c>
      <c r="S23" s="14" t="str" cm="1">
        <f t="array" ref="S23">INDEX('PS-ConceptMap-1'!$I$15:$N$273,Q23+1,R23)</f>
        <v>* group[=].element[=].target.code = #Composition.subject</v>
      </c>
    </row>
    <row r="24" spans="1:19" ht="59" x14ac:dyDescent="0.75">
      <c r="A24" s="22"/>
      <c r="B24" s="9" t="str">
        <f>PS!B17</f>
        <v>header.participant.legalAuth</v>
      </c>
      <c r="C24" s="9" t="str">
        <f>PS!C17</f>
        <v>A.1.5.2 Legal authenticator</v>
      </c>
      <c r="D24" s="14" t="s">
        <v>1166</v>
      </c>
      <c r="E24" s="14"/>
      <c r="F24" s="68" t="s">
        <v>399</v>
      </c>
      <c r="G24" s="75" t="s">
        <v>1167</v>
      </c>
      <c r="H24" s="69"/>
      <c r="I24" s="14" t="str">
        <f t="shared" si="4"/>
        <v>* group[=].element[+].code = #PatientSummary.header.participant.legalAuth</v>
      </c>
      <c r="J24" s="14" t="str">
        <f t="shared" si="5"/>
        <v>* group[=].element[=].display = ##34#A.1.5.2 Legal authenticator##34#</v>
      </c>
      <c r="K24" s="14" t="str">
        <f t="shared" si="6"/>
        <v>* group[=].element[=].target.code = #Composition.attester</v>
      </c>
      <c r="L24" s="14" t="str">
        <f t="shared" si="7"/>
        <v>* group[=].element[=].target.display = ##34###34#</v>
      </c>
      <c r="M24" s="14" t="str">
        <f t="shared" si="8"/>
        <v>* group[=].element[=].target.equivalence = #relatedto</v>
      </c>
      <c r="N24" s="14" t="str">
        <f t="shared" si="9"/>
        <v>* group[=].element[=].target.comment = ##34#attester.mode = 'legal'##34#</v>
      </c>
      <c r="P24" s="9">
        <v>10</v>
      </c>
      <c r="Q24" s="9">
        <f t="shared" si="10"/>
        <v>1</v>
      </c>
      <c r="R24" s="9">
        <f t="shared" si="11"/>
        <v>4</v>
      </c>
      <c r="S24" s="14" t="str" cm="1">
        <f t="array" ref="S24">INDEX('PS-ConceptMap-1'!$I$15:$N$273,Q24+1,R24)</f>
        <v>* group[=].element[=].target.display = ##34###34#</v>
      </c>
    </row>
    <row r="25" spans="1:19" ht="59" x14ac:dyDescent="0.75">
      <c r="A25" s="22"/>
      <c r="B25" s="9" t="str">
        <f>PS!B18</f>
        <v>header.additionalInfo</v>
      </c>
      <c r="C25" s="9" t="str">
        <f>PS!C18</f>
        <v>A.1.6 Additional information / Knowledge resources</v>
      </c>
      <c r="D25" s="14"/>
      <c r="E25" s="14"/>
      <c r="F25" s="68" t="s">
        <v>400</v>
      </c>
      <c r="G25" s="102" t="s">
        <v>1168</v>
      </c>
      <c r="H25" s="69"/>
      <c r="I25" s="14" t="str">
        <f t="shared" si="4"/>
        <v>* group[=].element[+].code = #PatientSummary.header.additionalInfo</v>
      </c>
      <c r="J25" s="14" t="str">
        <f t="shared" si="5"/>
        <v>* group[=].element[=].display = ##34#A.1.6 Additional information / Knowledge resources##34#</v>
      </c>
      <c r="K25" s="14" t="str">
        <f t="shared" si="6"/>
        <v>//-- unmatched</v>
      </c>
      <c r="L25" s="14" t="str">
        <f t="shared" si="7"/>
        <v>//-- unmatched</v>
      </c>
      <c r="M25" s="14" t="str">
        <f t="shared" si="8"/>
        <v>* group[=].element[=].target.equivalence = #unmatched</v>
      </c>
      <c r="N25" s="14" t="str">
        <f t="shared" si="9"/>
        <v>* group[=].element[=].target.comment = ##34#Covered by other resources##34#</v>
      </c>
      <c r="P25" s="9">
        <v>11</v>
      </c>
      <c r="Q25" s="9">
        <f t="shared" si="10"/>
        <v>1</v>
      </c>
      <c r="R25" s="9">
        <f t="shared" si="11"/>
        <v>5</v>
      </c>
      <c r="S25" s="14" t="str" cm="1">
        <f t="array" ref="S25">INDEX('PS-ConceptMap-1'!$I$15:$N$273,Q25+1,R25)</f>
        <v>* group[=].element[=].target.equivalence = #relatedto</v>
      </c>
    </row>
    <row r="26" spans="1:19" ht="59" x14ac:dyDescent="0.75">
      <c r="B26" s="9" t="str">
        <f>PS!B19</f>
        <v>header.additionalInfo.reference</v>
      </c>
      <c r="C26" s="9" t="str">
        <f>PS!C19</f>
        <v>A.1.6.1 External reference</v>
      </c>
      <c r="D26" s="14"/>
      <c r="E26" s="14"/>
      <c r="F26" s="68" t="s">
        <v>400</v>
      </c>
      <c r="G26" s="102" t="s">
        <v>1168</v>
      </c>
      <c r="H26" s="69"/>
      <c r="I26" s="14" t="str">
        <f t="shared" si="4"/>
        <v>* group[=].element[+].code = #PatientSummary.header.additionalInfo.reference</v>
      </c>
      <c r="J26" s="14" t="str">
        <f t="shared" si="5"/>
        <v>* group[=].element[=].display = ##34#A.1.6.1 External reference##34#</v>
      </c>
      <c r="K26" s="14" t="str">
        <f t="shared" si="6"/>
        <v>//-- unmatched</v>
      </c>
      <c r="L26" s="14" t="str">
        <f t="shared" si="7"/>
        <v>//-- unmatched</v>
      </c>
      <c r="M26" s="14" t="str">
        <f t="shared" si="8"/>
        <v>* group[=].element[=].target.equivalence = #unmatched</v>
      </c>
      <c r="N26" s="14" t="str">
        <f t="shared" si="9"/>
        <v>* group[=].element[=].target.comment = ##34#Covered by other resources##34#</v>
      </c>
      <c r="P26" s="9">
        <v>12</v>
      </c>
      <c r="Q26" s="9">
        <f t="shared" si="10"/>
        <v>1</v>
      </c>
      <c r="R26" s="9">
        <f t="shared" si="11"/>
        <v>6</v>
      </c>
      <c r="S26" s="14" t="str" cm="1">
        <f t="array" ref="S26">INDEX('PS-ConceptMap-1'!$I$15:$N$273,Q26+1,R26)</f>
        <v/>
      </c>
    </row>
    <row r="27" spans="1:19" ht="59" x14ac:dyDescent="0.75">
      <c r="B27" s="9" t="str">
        <f>PS!B20</f>
        <v>header.additionalInfo.relatedWith</v>
      </c>
      <c r="C27" s="9" t="str">
        <f>PS!C20</f>
        <v>A.1.6.2 Related with</v>
      </c>
      <c r="D27" s="14"/>
      <c r="E27" s="14"/>
      <c r="F27" s="68" t="s">
        <v>400</v>
      </c>
      <c r="G27" s="102" t="s">
        <v>1168</v>
      </c>
      <c r="H27" s="69"/>
      <c r="I27" s="14" t="str">
        <f t="shared" si="4"/>
        <v>* group[=].element[+].code = #PatientSummary.header.additionalInfo.relatedWith</v>
      </c>
      <c r="J27" s="14" t="str">
        <f t="shared" si="5"/>
        <v>* group[=].element[=].display = ##34#A.1.6.2 Related with##34#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INDEX('PS-ConceptMap-1'!$I$15:$N$273,Q27+1,R27)</f>
        <v>* group[=].element[+].code = #PatientSummary.header.insuranceInfo</v>
      </c>
    </row>
    <row r="28" spans="1:19" ht="44.25" x14ac:dyDescent="0.75">
      <c r="B28" s="9" t="str">
        <f>PS!B21</f>
        <v>body</v>
      </c>
      <c r="C28" s="9" t="str">
        <f>PS!C21</f>
        <v>A.2 Patient summary body data elements</v>
      </c>
      <c r="D28" s="14" t="s">
        <v>1169</v>
      </c>
      <c r="E28" s="14"/>
      <c r="F28" s="68" t="s">
        <v>399</v>
      </c>
      <c r="G28" s="68"/>
      <c r="H28" s="69"/>
      <c r="I28" s="14" t="str">
        <f t="shared" si="4"/>
        <v>* group[=].element[+].code = #PatientSummary.body</v>
      </c>
      <c r="J28" s="14" t="str">
        <f t="shared" si="5"/>
        <v>* group[=].element[=].display = ##34#A.2 Patient summary body data elements##34#</v>
      </c>
      <c r="K28" s="14" t="str">
        <f t="shared" si="6"/>
        <v>* group[=].element[=].target.code = #Composition.section</v>
      </c>
      <c r="L28" s="14" t="str">
        <f t="shared" si="7"/>
        <v>* group[=].element[=].target.display = ##34###34#</v>
      </c>
      <c r="M28" s="14" t="str">
        <f t="shared" si="8"/>
        <v>* group[=].element[=].target.equivalence = #relatedto</v>
      </c>
      <c r="N28" s="14" t="str">
        <f t="shared" si="9"/>
        <v/>
      </c>
      <c r="P28" s="9">
        <v>14</v>
      </c>
      <c r="Q28" s="9">
        <f t="shared" si="10"/>
        <v>2</v>
      </c>
      <c r="R28" s="9">
        <f t="shared" si="11"/>
        <v>2</v>
      </c>
      <c r="S28" s="14" t="str" cm="1">
        <f t="array" ref="S28">INDEX('PS-ConceptMap-1'!$I$15:$N$273,Q28+1,R28)</f>
        <v>* group[=].element[=].display = ##34#A.1.3 Insurance information##34#</v>
      </c>
    </row>
    <row r="29" spans="1:19" ht="44.25" x14ac:dyDescent="0.75">
      <c r="B29" s="9" t="str">
        <f>PS!B22</f>
        <v>body.alerts</v>
      </c>
      <c r="C29" s="9" t="str">
        <f>PS!C22</f>
        <v>A.2.1 Alerts</v>
      </c>
      <c r="D29" s="14" t="s">
        <v>1169</v>
      </c>
      <c r="E29" s="14"/>
      <c r="F29" s="68" t="s">
        <v>399</v>
      </c>
      <c r="G29" s="68"/>
      <c r="H29" s="69"/>
      <c r="I29" s="14" t="str">
        <f t="shared" si="4"/>
        <v>* group[=].element[+].code = #PatientSummary.body.alerts</v>
      </c>
      <c r="J29" s="14" t="str">
        <f t="shared" si="5"/>
        <v>* group[=].element[=].display = ##34#A.2.1 Alerts##34#</v>
      </c>
      <c r="K29" s="14" t="str">
        <f t="shared" si="6"/>
        <v>* group[=].element[=].target.code = #Composition.section</v>
      </c>
      <c r="L29" s="14" t="str">
        <f t="shared" si="7"/>
        <v>* group[=].element[=].target.display = ##34###34#</v>
      </c>
      <c r="M29" s="14" t="str">
        <f t="shared" si="8"/>
        <v>* group[=].element[=].target.equivalence = #relatedto</v>
      </c>
      <c r="N29" s="14" t="str">
        <f t="shared" si="9"/>
        <v/>
      </c>
      <c r="P29" s="9">
        <v>15</v>
      </c>
      <c r="Q29" s="9">
        <f t="shared" si="10"/>
        <v>2</v>
      </c>
      <c r="R29" s="9">
        <f t="shared" si="11"/>
        <v>3</v>
      </c>
      <c r="S29" s="14" t="str" cm="1">
        <f t="array" ref="S29">INDEX('PS-ConceptMap-1'!$I$15:$N$273,Q29+1,R29)</f>
        <v>* group[=].element[=].target.code = #Composition.subject</v>
      </c>
    </row>
    <row r="30" spans="1:19" ht="59" customHeight="1" x14ac:dyDescent="0.75">
      <c r="B30" s="9" t="str">
        <f>PS!B23</f>
        <v>body.alerts.allergy</v>
      </c>
      <c r="C30" s="9" t="str">
        <f>PS!C23</f>
        <v>A.2.1.1 Allergy</v>
      </c>
      <c r="D30" s="14" t="s">
        <v>1208</v>
      </c>
      <c r="E30" s="14"/>
      <c r="F30" s="68" t="s">
        <v>398</v>
      </c>
      <c r="G30" s="68"/>
      <c r="H30" s="69"/>
      <c r="I30" s="14" t="str">
        <f t="shared" si="4"/>
        <v>* group[=].element[+].code = #PatientSummary.body.alerts.allergy</v>
      </c>
      <c r="J30" s="14" t="str">
        <f t="shared" si="5"/>
        <v>* group[=].element[=].display = ##34#A.2.1.1 Allergy##34#</v>
      </c>
      <c r="K30" s="14" t="str">
        <f t="shared" si="6"/>
        <v>* group[=].element[=].target.code = #Composition.section:sectionAllergies.entry</v>
      </c>
      <c r="L30" s="14" t="str">
        <f t="shared" si="7"/>
        <v>* group[=].element[=].target.display = ##34###34#</v>
      </c>
      <c r="M30" s="14" t="str">
        <f t="shared" si="8"/>
        <v>* group[=].element[=].target.equivalence = #equivalent</v>
      </c>
      <c r="N30" s="14" t="str">
        <f t="shared" si="9"/>
        <v/>
      </c>
      <c r="P30" s="9">
        <v>16</v>
      </c>
      <c r="Q30" s="9">
        <f t="shared" si="10"/>
        <v>2</v>
      </c>
      <c r="R30" s="9">
        <f t="shared" si="11"/>
        <v>4</v>
      </c>
      <c r="S30" s="14" t="str" cm="1">
        <f t="array" ref="S30">INDEX('PS-ConceptMap-1'!$I$15:$N$273,Q30+1,R30)</f>
        <v>* group[=].element[=].target.display = ##34###34#</v>
      </c>
    </row>
    <row r="31" spans="1:19" ht="73.75" x14ac:dyDescent="0.75">
      <c r="B31" s="9" t="str">
        <f>PS!B24</f>
        <v>body.alerts.alert</v>
      </c>
      <c r="C31" s="9" t="str">
        <f>PS!C24</f>
        <v>A.2.1.2 Medical alert information (other alerts not included in allergies)</v>
      </c>
      <c r="D31" s="14" t="s">
        <v>1281</v>
      </c>
      <c r="E31" s="14"/>
      <c r="F31" s="68" t="s">
        <v>399</v>
      </c>
      <c r="G31" s="68"/>
      <c r="H31" s="69"/>
      <c r="I31" s="14" t="str">
        <f t="shared" si="4"/>
        <v>* group[=].element[+].code = #PatientSummary.body.alerts.alert</v>
      </c>
      <c r="J31" s="14" t="str">
        <f t="shared" si="5"/>
        <v>* group[=].element[=].display = ##34#A.2.1.2 Medical alert information (other alerts not included in allergies)##34#</v>
      </c>
      <c r="K31" s="14" t="str">
        <f t="shared" si="6"/>
        <v>* group[=].element[=].target.code = #Composition.section:sectionAlert</v>
      </c>
      <c r="L31" s="14" t="str">
        <f t="shared" si="7"/>
        <v>* group[=].element[=].target.display = ##34###34#</v>
      </c>
      <c r="M31" s="14" t="str">
        <f t="shared" si="8"/>
        <v>* group[=].element[=].target.equivalence = #relatedto</v>
      </c>
      <c r="N31" s="14" t="str">
        <f t="shared" si="9"/>
        <v/>
      </c>
      <c r="P31" s="9">
        <v>17</v>
      </c>
      <c r="Q31" s="9">
        <f t="shared" si="10"/>
        <v>2</v>
      </c>
      <c r="R31" s="9">
        <f t="shared" si="11"/>
        <v>5</v>
      </c>
      <c r="S31" s="14" t="str" cm="1">
        <f t="array" ref="S31">INDEX('PS-ConceptMap-1'!$I$15:$N$273,Q31+1,R31)</f>
        <v>* group[=].element[=].target.equivalence = #relatedto</v>
      </c>
    </row>
    <row r="32" spans="1:19" ht="73.75" x14ac:dyDescent="0.75">
      <c r="B32" s="9" t="str">
        <f>PS!B25</f>
        <v>body.alerts.alert.description</v>
      </c>
      <c r="C32" s="9" t="str">
        <f>PS!C25</f>
        <v>A.2.1.2.1 Healthcare alert description</v>
      </c>
      <c r="D32" s="14" t="s">
        <v>1282</v>
      </c>
      <c r="E32" s="14"/>
      <c r="F32" s="68" t="s">
        <v>399</v>
      </c>
      <c r="G32" s="68"/>
      <c r="H32" s="69"/>
      <c r="I32" s="14" t="str">
        <f>"* group[=].element[+].code = #"&amp;$B$14&amp;"."&amp;B32</f>
        <v>* group[=].element[+].code = #PatientSummary.body.alerts.alert.description</v>
      </c>
      <c r="J32" s="14" t="str">
        <f t="shared" si="5"/>
        <v>* group[=].element[=].display = ##34#A.2.1.2.1 Healthcare alert description##34#</v>
      </c>
      <c r="K32" s="14" t="str">
        <f>IF(F32="unmatched","//-- unmatched",IF(D32="","* group[=].element[=].target.code = #"&amp;$D$14,"* group[=].element[=].target.code = #"&amp;$D$14&amp;"."&amp;D32))</f>
        <v>* group[=].element[=].target.code = #Composition.section:sectionAlert.text</v>
      </c>
      <c r="L32" s="14" t="str">
        <f t="shared" si="7"/>
        <v>* group[=].element[=].target.display = ##34###34#</v>
      </c>
      <c r="M32" s="14" t="str">
        <f t="shared" si="8"/>
        <v>* group[=].element[=].target.equivalence = #relatedto</v>
      </c>
      <c r="N32" s="14" t="str">
        <f t="shared" si="9"/>
        <v/>
      </c>
      <c r="P32" s="9">
        <v>18</v>
      </c>
      <c r="Q32" s="9">
        <f>IF(MOD(P32,$Q$8)=0,P32/$Q$8-1,INT(P32/$Q$8))</f>
        <v>2</v>
      </c>
      <c r="R32" s="9">
        <f>IF(MOD(P32,$Q$8)=0,$Q$8,MOD(P32,$Q$8))</f>
        <v>6</v>
      </c>
      <c r="S32" s="14" t="str" cm="1">
        <f t="array" ref="S32">INDEX('PS-ConceptMap-1'!$I$15:$N$273,Q32+1,R32)</f>
        <v>* group[=].element[=].target.comment = ##34#To be checked##34#</v>
      </c>
    </row>
    <row r="33" spans="1:19" ht="73.75" x14ac:dyDescent="0.75">
      <c r="B33" s="119" t="str">
        <f>PS!B25</f>
        <v>body.alerts.alert.description</v>
      </c>
      <c r="C33" s="119" t="str">
        <f>PS!C25</f>
        <v>A.2.1.2.1 Healthcare alert description</v>
      </c>
      <c r="D33" s="14" t="s">
        <v>1283</v>
      </c>
      <c r="E33" s="14"/>
      <c r="F33" s="68" t="s">
        <v>399</v>
      </c>
      <c r="G33" s="68" t="s">
        <v>1284</v>
      </c>
      <c r="H33" s="69"/>
      <c r="I33" s="14" t="str">
        <f t="shared" ref="I33:I35" si="12">"* group[=].element[+].code = #"&amp;$B$14&amp;"."&amp;B33</f>
        <v>* group[=].element[+].code = #PatientSummary.body.alerts.alert.description</v>
      </c>
      <c r="J33" s="14" t="str">
        <f t="shared" ref="J33:J35" si="13">"* group[=].element[=].display = ##34#"&amp;C33&amp;"##34#"</f>
        <v>* group[=].element[=].display = ##34#A.2.1.2.1 Healthcare alert description##34#</v>
      </c>
      <c r="K33" s="14" t="str">
        <f t="shared" ref="K33:K35" si="14">IF(F33="unmatched","//-- unmatched",IF(D33="","* group[=].element[=].target.code = #"&amp;$D$14,"* group[=].element[=].target.code = #"&amp;$D$14&amp;"."&amp;D33))</f>
        <v>* group[=].element[=].target.code = #Composition.section:sectionAlert.entry.code.text</v>
      </c>
      <c r="L33" s="14" t="str">
        <f t="shared" ref="L33:L35" si="15">IF(F33="unmatched","//-- unmatched","* group[=].element[=].target.display = ##34#"&amp;E33&amp;"##34#")</f>
        <v>* group[=].element[=].target.display = ##34###34#</v>
      </c>
      <c r="M33" s="14" t="str">
        <f t="shared" ref="M33:M35" si="16">"* group[=].element[=].target.equivalence = #"&amp;F33</f>
        <v>* group[=].element[=].target.equivalence = #relatedto</v>
      </c>
      <c r="N33" s="14" t="str">
        <f t="shared" ref="N33:N35" si="17">IF(G33&lt;&gt;"",CONCATENATE("* group[=].element[=].target.comment = ","##34#",G33,"##34#"),"")</f>
        <v>* group[=].element[=].target.comment = ##34#entry of type Flag##34#</v>
      </c>
      <c r="P33" s="9">
        <v>19</v>
      </c>
      <c r="Q33" s="9">
        <f t="shared" si="10"/>
        <v>3</v>
      </c>
      <c r="R33" s="9">
        <f t="shared" ref="R33:R53" si="18">IF(MOD(P33,$Q$8)=0,$Q$8,MOD(P33,$Q$8))</f>
        <v>1</v>
      </c>
      <c r="S33" s="14" t="str" cm="1">
        <f t="array" ref="S33">INDEX('PS-ConceptMap-1'!$I$15:$N$273,Q33+1,R33)</f>
        <v>* group[=].element[+].code = #PatientSummary.header.documentData</v>
      </c>
    </row>
    <row r="34" spans="1:19" ht="44.25" x14ac:dyDescent="0.75">
      <c r="B34" s="9" t="str">
        <f>PS!B26</f>
        <v>body.medicalHistory</v>
      </c>
      <c r="C34" s="9" t="str">
        <f>PS!C26</f>
        <v>A.2.2 Medical history</v>
      </c>
      <c r="D34" s="14" t="s">
        <v>1169</v>
      </c>
      <c r="E34" s="14"/>
      <c r="F34" s="68" t="s">
        <v>399</v>
      </c>
      <c r="G34" s="68"/>
      <c r="H34" s="69"/>
      <c r="I34" s="14" t="str">
        <f t="shared" si="12"/>
        <v>* group[=].element[+].code = #PatientSummary.body.medicalHistory</v>
      </c>
      <c r="J34" s="14" t="str">
        <f t="shared" si="13"/>
        <v>* group[=].element[=].display = ##34#A.2.2 Medical history##34#</v>
      </c>
      <c r="K34" s="14" t="str">
        <f t="shared" si="14"/>
        <v>* group[=].element[=].target.code = #Composition.section</v>
      </c>
      <c r="L34" s="14" t="str">
        <f t="shared" si="15"/>
        <v>* group[=].element[=].target.display = ##34###34#</v>
      </c>
      <c r="M34" s="14" t="str">
        <f t="shared" si="16"/>
        <v>* group[=].element[=].target.equivalence = #relatedto</v>
      </c>
      <c r="N34" s="14" t="str">
        <f t="shared" si="17"/>
        <v/>
      </c>
      <c r="P34" s="9">
        <v>20</v>
      </c>
      <c r="Q34" s="9">
        <f t="shared" si="10"/>
        <v>3</v>
      </c>
      <c r="R34" s="9">
        <f t="shared" si="18"/>
        <v>2</v>
      </c>
      <c r="S34" s="14" t="str" cm="1">
        <f t="array" ref="S34">INDEX('PS-ConceptMap-1'!$I$15:$N$273,Q34+1,R34)</f>
        <v>* group[=].element[=].display = ##34#A.1.4 Document data##34#</v>
      </c>
    </row>
    <row r="35" spans="1:19" ht="73.75" x14ac:dyDescent="0.75">
      <c r="B35" s="9" t="str">
        <f>PS!B27</f>
        <v>body.medicalHistory.vaccination</v>
      </c>
      <c r="C35" s="9" t="str">
        <f>PS!C27</f>
        <v>A.2.2.1 Vaccination/ prophylaxis information</v>
      </c>
      <c r="D35" s="14" t="s">
        <v>1285</v>
      </c>
      <c r="E35" s="14"/>
      <c r="F35" s="68" t="s">
        <v>398</v>
      </c>
      <c r="G35" s="75"/>
      <c r="H35" s="69"/>
      <c r="I35" s="14" t="str">
        <f t="shared" si="12"/>
        <v>* group[=].element[+].code = #PatientSummary.body.medicalHistory.vaccination</v>
      </c>
      <c r="J35" s="14" t="str">
        <f t="shared" si="13"/>
        <v>* group[=].element[=].display = ##34#A.2.2.1 Vaccination/ prophylaxis information##34#</v>
      </c>
      <c r="K35" s="14" t="str">
        <f t="shared" si="14"/>
        <v>* group[=].element[=].target.code = #Composition.section:sectionImmunizations.entry</v>
      </c>
      <c r="L35" s="14" t="str">
        <f t="shared" si="15"/>
        <v>* group[=].element[=].target.display = ##34###34#</v>
      </c>
      <c r="M35" s="14" t="str">
        <f t="shared" si="16"/>
        <v>* group[=].element[=].target.equivalence = #equivalent</v>
      </c>
      <c r="N35" s="14" t="str">
        <f t="shared" si="17"/>
        <v/>
      </c>
      <c r="P35" s="9">
        <v>21</v>
      </c>
      <c r="Q35" s="9">
        <f t="shared" si="10"/>
        <v>3</v>
      </c>
      <c r="R35" s="9">
        <f t="shared" si="18"/>
        <v>3</v>
      </c>
      <c r="S35" s="14" t="str" cm="1">
        <f t="array" ref="S35">INDEX('PS-ConceptMap-1'!$I$15:$N$273,Q35+1,R35)</f>
        <v>* group[=].element[=].target.code = #Composition</v>
      </c>
    </row>
    <row r="36" spans="1:19" ht="73.75" customHeight="1" x14ac:dyDescent="0.75">
      <c r="B36" s="9" t="str">
        <f>PS!B28</f>
        <v>body.medicalHistory.inactiveProblem</v>
      </c>
      <c r="C36" s="9" t="str">
        <f>PS!C28</f>
        <v>A.2.2.2 Resolved, closed or inactive problems</v>
      </c>
      <c r="D36" s="14" t="s">
        <v>1286</v>
      </c>
      <c r="E36" s="14"/>
      <c r="F36" s="68" t="s">
        <v>398</v>
      </c>
      <c r="G36" s="68"/>
      <c r="H36" s="69"/>
      <c r="I36" s="14" t="str">
        <f t="shared" ref="I36:I48" si="19">"* group[=].element[+].code = #"&amp;$B$14&amp;"."&amp;B36</f>
        <v>* group[=].element[+].code = #PatientSummary.body.medicalHistory.inactiveProblem</v>
      </c>
      <c r="J36" s="14" t="str">
        <f t="shared" ref="J36:J48" si="20">"* group[=].element[=].display = ##34#"&amp;C36&amp;"##34#"</f>
        <v>* group[=].element[=].display = ##34#A.2.2.2 Resolved, closed or inactive problems##34#</v>
      </c>
      <c r="K36" s="14" t="str">
        <f t="shared" ref="K36:K48" si="21">IF(F36="unmatched","//-- unmatched",IF(D36="","* group[=].element[=].target.code = #"&amp;$D$14,"* group[=].element[=].target.code = #"&amp;$D$14&amp;"."&amp;D36))</f>
        <v>* group[=].element[=].target.code = #Composition.section:sectionPastIllnessHx.entry</v>
      </c>
      <c r="L36" s="14" t="str">
        <f t="shared" ref="L36:L48" si="22">IF(F36="unmatched","//-- unmatched","* group[=].element[=].target.display = ##34#"&amp;E36&amp;"##34#")</f>
        <v>* group[=].element[=].target.display = ##34###34#</v>
      </c>
      <c r="M36" s="14" t="str">
        <f t="shared" ref="M36:M48" si="23">"* group[=].element[=].target.equivalence = #"&amp;F36</f>
        <v>* group[=].element[=].target.equivalence = #equivalent</v>
      </c>
      <c r="N36" s="14" t="str">
        <f t="shared" ref="N36:N48" si="24">IF(G36&lt;&gt;"",CONCATENATE("* group[=].element[=].target.comment = ","##34#",G36,"##34#"),"")</f>
        <v/>
      </c>
      <c r="P36" s="9">
        <v>22</v>
      </c>
      <c r="Q36" s="9">
        <f t="shared" si="10"/>
        <v>3</v>
      </c>
      <c r="R36" s="9">
        <f t="shared" si="18"/>
        <v>4</v>
      </c>
      <c r="S36" s="14" t="str" cm="1">
        <f t="array" ref="S36">INDEX('PS-ConceptMap-1'!$I$15:$N$273,Q36+1,R36)</f>
        <v>* group[=].element[=].target.display = ##34###34#</v>
      </c>
    </row>
    <row r="37" spans="1:19" ht="44.25" x14ac:dyDescent="0.75">
      <c r="B37" s="9" t="str">
        <f>PS!B29</f>
        <v>body.medicalHistory.anamnesis</v>
      </c>
      <c r="C37" s="9" t="str">
        <f>PS!C29</f>
        <v>A.2.2.3 Medical history</v>
      </c>
      <c r="D37" s="14"/>
      <c r="E37" s="14"/>
      <c r="F37" s="68" t="s">
        <v>399</v>
      </c>
      <c r="G37" s="68"/>
      <c r="H37" s="69"/>
      <c r="I37" s="14" t="str">
        <f t="shared" si="19"/>
        <v>* group[=].element[+].code = #PatientSummary.body.medicalHistory.anamnesis</v>
      </c>
      <c r="J37" s="14" t="str">
        <f t="shared" si="20"/>
        <v>* group[=].element[=].display = ##34#A.2.2.3 Medical history##34#</v>
      </c>
      <c r="K37" s="14" t="str">
        <f t="shared" si="21"/>
        <v>* group[=].element[=].target.code = #Composition</v>
      </c>
      <c r="L37" s="14" t="str">
        <f t="shared" si="22"/>
        <v>* group[=].element[=].target.display = ##34###34#</v>
      </c>
      <c r="M37" s="14" t="str">
        <f t="shared" si="23"/>
        <v>* group[=].element[=].target.equivalence = #relatedto</v>
      </c>
      <c r="N37" s="14" t="str">
        <f t="shared" si="24"/>
        <v/>
      </c>
      <c r="P37" s="9">
        <v>23</v>
      </c>
      <c r="Q37" s="9">
        <f t="shared" si="10"/>
        <v>3</v>
      </c>
      <c r="R37" s="9">
        <f t="shared" si="18"/>
        <v>5</v>
      </c>
      <c r="S37" s="14" t="str" cm="1">
        <f t="array" ref="S37">INDEX('PS-ConceptMap-1'!$I$15:$N$273,Q37+1,R37)</f>
        <v>* group[=].element[=].target.equivalence = #relatedto</v>
      </c>
    </row>
    <row r="38" spans="1:19" ht="73.75" customHeight="1" x14ac:dyDescent="0.75">
      <c r="B38" s="9" t="str">
        <f>PS!B30</f>
        <v>body.medicalHistory.medicalDevices</v>
      </c>
      <c r="C38" s="9" t="str">
        <f>PS!C30</f>
        <v>A.2.3.2 Medical devices and implants</v>
      </c>
      <c r="D38" s="14" t="s">
        <v>1170</v>
      </c>
      <c r="E38" s="14"/>
      <c r="F38" s="68" t="s">
        <v>398</v>
      </c>
      <c r="G38" s="68"/>
      <c r="H38" s="69"/>
      <c r="I38" s="14" t="str">
        <f t="shared" si="19"/>
        <v>* group[=].element[+].code = #PatientSummary.body.medicalHistory.medicalDevices</v>
      </c>
      <c r="J38" s="14" t="str">
        <f t="shared" si="20"/>
        <v>* group[=].element[=].display = ##34#A.2.3.2 Medical devices and implants##34#</v>
      </c>
      <c r="K38" s="14" t="str">
        <f t="shared" si="21"/>
        <v>* group[=].element[=].target.code = #Composition. section:sectionMedicalDevices</v>
      </c>
      <c r="L38" s="14" t="str">
        <f t="shared" si="22"/>
        <v>* group[=].element[=].target.display = ##34###34#</v>
      </c>
      <c r="M38" s="14" t="str">
        <f t="shared" si="23"/>
        <v>* group[=].element[=].target.equivalence = #equivalent</v>
      </c>
      <c r="N38" s="14" t="str">
        <f t="shared" si="24"/>
        <v/>
      </c>
      <c r="P38" s="9">
        <v>24</v>
      </c>
      <c r="Q38" s="9">
        <f t="shared" si="10"/>
        <v>3</v>
      </c>
      <c r="R38" s="9">
        <f t="shared" si="18"/>
        <v>6</v>
      </c>
      <c r="S38" s="14" t="str" cm="1">
        <f t="array" ref="S38">INDEX('PS-ConceptMap-1'!$I$15:$N$273,Q38+1,R38)</f>
        <v/>
      </c>
    </row>
    <row r="39" spans="1:19" ht="73.75" customHeight="1" x14ac:dyDescent="0.75">
      <c r="B39" s="9" t="str">
        <f>PS!B31</f>
        <v>body.medicalHistory.procedures</v>
      </c>
      <c r="C39" s="9" t="str">
        <f>PS!C31</f>
        <v>A.2.3.3 Procedures</v>
      </c>
      <c r="D39" s="14" t="s">
        <v>1173</v>
      </c>
      <c r="E39" s="14"/>
      <c r="F39" s="68" t="s">
        <v>398</v>
      </c>
      <c r="G39" s="14"/>
      <c r="H39" s="69"/>
      <c r="I39" s="14" t="str">
        <f t="shared" si="19"/>
        <v>* group[=].element[+].code = #PatientSummary.body.medicalHistory.procedures</v>
      </c>
      <c r="J39" s="14" t="str">
        <f t="shared" si="20"/>
        <v>* group[=].element[=].display = ##34#A.2.3.3 Procedures##34#</v>
      </c>
      <c r="K39" s="14" t="str">
        <f t="shared" si="21"/>
        <v>* group[=].element[=].target.code = #Composition.section:sectionProceduresHx</v>
      </c>
      <c r="L39" s="14" t="str">
        <f t="shared" si="22"/>
        <v>* group[=].element[=].target.display = ##34###34#</v>
      </c>
      <c r="M39" s="14" t="str">
        <f t="shared" si="23"/>
        <v>* group[=].element[=].target.equivalence = #equivalent</v>
      </c>
      <c r="N39" s="14" t="str">
        <f t="shared" si="24"/>
        <v/>
      </c>
      <c r="P39" s="9">
        <v>25</v>
      </c>
      <c r="Q39" s="9">
        <f t="shared" si="10"/>
        <v>4</v>
      </c>
      <c r="R39" s="9">
        <f t="shared" si="18"/>
        <v>1</v>
      </c>
      <c r="S39" s="14" t="str" cm="1">
        <f t="array" ref="S39">INDEX('PS-ConceptMap-1'!$I$15:$N$273,Q39+1,R39)</f>
        <v>* group[=].element[+].code = #PatientSummary.header.documentData.created</v>
      </c>
    </row>
    <row r="40" spans="1:19" s="1" customFormat="1" ht="73.75" x14ac:dyDescent="0.75">
      <c r="A40"/>
      <c r="B40" s="9" t="str">
        <f>PS!B32</f>
        <v>body.medicalHistory.functionalStatus</v>
      </c>
      <c r="C40" s="9" t="str">
        <f>PS!C32</f>
        <v>A.2.3.4 Functional status</v>
      </c>
      <c r="D40" s="14" t="s">
        <v>1172</v>
      </c>
      <c r="E40" s="14"/>
      <c r="F40" s="68" t="s">
        <v>398</v>
      </c>
      <c r="G40" s="68"/>
      <c r="H40" s="69"/>
      <c r="I40" s="14" t="str">
        <f t="shared" si="19"/>
        <v>* group[=].element[+].code = #PatientSummary.body.medicalHistory.functionalStatus</v>
      </c>
      <c r="J40" s="14" t="str">
        <f t="shared" si="20"/>
        <v>* group[=].element[=].display = ##34#A.2.3.4 Functional status##34#</v>
      </c>
      <c r="K40" s="14" t="str">
        <f t="shared" si="21"/>
        <v>* group[=].element[=].target.code = #Composition.section:sectionFunctionalStatus</v>
      </c>
      <c r="L40" s="14" t="str">
        <f t="shared" si="22"/>
        <v>* group[=].element[=].target.display = ##34###34#</v>
      </c>
      <c r="M40" s="14" t="str">
        <f t="shared" si="23"/>
        <v>* group[=].element[=].target.equivalence = #equivalent</v>
      </c>
      <c r="N40" s="14" t="str">
        <f t="shared" si="24"/>
        <v/>
      </c>
      <c r="P40" s="9">
        <v>26</v>
      </c>
      <c r="Q40" s="9">
        <f t="shared" si="10"/>
        <v>4</v>
      </c>
      <c r="R40" s="9">
        <f t="shared" si="18"/>
        <v>2</v>
      </c>
      <c r="S40" s="14" t="str" cm="1">
        <f t="array" ref="S40">INDEX('PS-ConceptMap-1'!$I$15:$N$273,Q40+1,R40)</f>
        <v>* group[=].element[=].display = ##34#A.1.4.1 Date created##34#</v>
      </c>
    </row>
    <row r="41" spans="1:19" s="1" customFormat="1" ht="73.75" x14ac:dyDescent="0.75">
      <c r="A41"/>
      <c r="B41" s="9" t="str">
        <f>PS!B33</f>
        <v>body.medicationSummary</v>
      </c>
      <c r="C41" s="9" t="str">
        <f>PS!C33</f>
        <v>A.2.4 Medication summary</v>
      </c>
      <c r="D41" s="14" t="s">
        <v>1174</v>
      </c>
      <c r="E41" s="14"/>
      <c r="F41" s="68" t="s">
        <v>398</v>
      </c>
      <c r="G41" s="68"/>
      <c r="H41" s="69"/>
      <c r="I41" s="14" t="str">
        <f t="shared" si="19"/>
        <v>* group[=].element[+].code = #PatientSummary.body.medicationSummary</v>
      </c>
      <c r="J41" s="14" t="str">
        <f t="shared" si="20"/>
        <v>* group[=].element[=].display = ##34#A.2.4 Medication summary##34#</v>
      </c>
      <c r="K41" s="14" t="str">
        <f t="shared" si="21"/>
        <v>* group[=].element[=].target.code = #Composition.section:sectionMedications</v>
      </c>
      <c r="L41" s="14" t="str">
        <f t="shared" si="22"/>
        <v>* group[=].element[=].target.display = ##34###34#</v>
      </c>
      <c r="M41" s="14" t="str">
        <f t="shared" si="23"/>
        <v>* group[=].element[=].target.equivalence = #equivalent</v>
      </c>
      <c r="N41" s="14" t="str">
        <f t="shared" si="24"/>
        <v/>
      </c>
      <c r="P41" s="9">
        <v>27</v>
      </c>
      <c r="Q41" s="9">
        <f t="shared" si="10"/>
        <v>4</v>
      </c>
      <c r="R41" s="9">
        <f t="shared" si="18"/>
        <v>3</v>
      </c>
      <c r="S41" s="14" t="str" cm="1">
        <f t="array" ref="S41">INDEX('PS-ConceptMap-1'!$I$15:$N$273,Q41+1,R41)</f>
        <v>* group[=].element[=].target.code = #Composition.date</v>
      </c>
    </row>
    <row r="42" spans="1:19" s="1" customFormat="1" ht="73.75" x14ac:dyDescent="0.75">
      <c r="A42"/>
      <c r="B42" s="9" t="str">
        <f>PS!B34</f>
        <v>body.socialHistory</v>
      </c>
      <c r="C42" s="9" t="str">
        <f>PS!C34</f>
        <v>A.2.5 Social history</v>
      </c>
      <c r="D42" s="14" t="s">
        <v>1175</v>
      </c>
      <c r="E42" s="14"/>
      <c r="F42" s="68" t="s">
        <v>398</v>
      </c>
      <c r="G42" s="68"/>
      <c r="H42" s="69"/>
      <c r="I42" s="14" t="str">
        <f t="shared" si="19"/>
        <v>* group[=].element[+].code = #PatientSummary.body.socialHistory</v>
      </c>
      <c r="J42" s="14" t="str">
        <f t="shared" si="20"/>
        <v>* group[=].element[=].display = ##34#A.2.5 Social history##34#</v>
      </c>
      <c r="K42" s="14" t="str">
        <f t="shared" si="21"/>
        <v>* group[=].element[=].target.code = #Composition.section:sectionSocialHistory</v>
      </c>
      <c r="L42" s="14" t="str">
        <f t="shared" si="22"/>
        <v>* group[=].element[=].target.display = ##34###34#</v>
      </c>
      <c r="M42" s="14" t="str">
        <f t="shared" si="23"/>
        <v>* group[=].element[=].target.equivalence = #equivalent</v>
      </c>
      <c r="N42" s="14" t="str">
        <f t="shared" si="24"/>
        <v/>
      </c>
      <c r="P42" s="9">
        <v>28</v>
      </c>
      <c r="Q42" s="9">
        <f t="shared" si="10"/>
        <v>4</v>
      </c>
      <c r="R42" s="9">
        <f t="shared" si="18"/>
        <v>4</v>
      </c>
      <c r="S42" s="14" t="str" cm="1">
        <f t="array" ref="S42">INDEX('PS-ConceptMap-1'!$I$15:$N$273,Q42+1,R42)</f>
        <v>* group[=].element[=].target.display = ##34###34#</v>
      </c>
    </row>
    <row r="43" spans="1:19" s="1" customFormat="1" ht="73.75" x14ac:dyDescent="0.75">
      <c r="A43"/>
      <c r="B43" s="9" t="str">
        <f>PS!B35</f>
        <v>body.pregnancyHistory</v>
      </c>
      <c r="C43" s="9" t="str">
        <f>PS!C35</f>
        <v>A.2.6 Pregnancy history</v>
      </c>
      <c r="D43" s="14" t="s">
        <v>1176</v>
      </c>
      <c r="E43" s="14"/>
      <c r="F43" s="68" t="s">
        <v>398</v>
      </c>
      <c r="G43" s="68"/>
      <c r="H43" s="69"/>
      <c r="I43" s="14" t="str">
        <f t="shared" si="19"/>
        <v>* group[=].element[+].code = #PatientSummary.body.pregnancyHistory</v>
      </c>
      <c r="J43" s="14" t="str">
        <f t="shared" si="20"/>
        <v>* group[=].element[=].display = ##34#A.2.6 Pregnancy history##34#</v>
      </c>
      <c r="K43" s="14" t="str">
        <f t="shared" si="21"/>
        <v>* group[=].element[=].target.code = #Composition.section:sectionPregnancyHx</v>
      </c>
      <c r="L43" s="14" t="str">
        <f t="shared" si="22"/>
        <v>* group[=].element[=].target.display = ##34###34#</v>
      </c>
      <c r="M43" s="14" t="str">
        <f t="shared" si="23"/>
        <v>* group[=].element[=].target.equivalence = #equivalent</v>
      </c>
      <c r="N43" s="14" t="str">
        <f t="shared" si="24"/>
        <v/>
      </c>
      <c r="P43" s="9">
        <v>29</v>
      </c>
      <c r="Q43" s="9">
        <f t="shared" si="10"/>
        <v>4</v>
      </c>
      <c r="R43" s="9">
        <f t="shared" si="18"/>
        <v>5</v>
      </c>
      <c r="S43" s="14" t="str" cm="1">
        <f t="array" ref="S43">INDEX('PS-ConceptMap-1'!$I$15:$N$273,Q43+1,R43)</f>
        <v>* group[=].element[=].target.equivalence = #relatedto</v>
      </c>
    </row>
    <row r="44" spans="1:19" s="1" customFormat="1" ht="44.25" x14ac:dyDescent="0.75">
      <c r="A44"/>
      <c r="B44" s="9" t="str">
        <f>PS!B36</f>
        <v>body.patientData</v>
      </c>
      <c r="C44" s="9" t="str">
        <f>PS!C36</f>
        <v>A.2.7 Patient provided data</v>
      </c>
      <c r="D44" s="14" t="s">
        <v>1169</v>
      </c>
      <c r="E44" s="14"/>
      <c r="F44" s="68" t="s">
        <v>399</v>
      </c>
      <c r="G44" s="68"/>
      <c r="H44" s="69"/>
      <c r="I44" s="14" t="str">
        <f t="shared" si="19"/>
        <v>* group[=].element[+].code = #PatientSummary.body.patientData</v>
      </c>
      <c r="J44" s="14" t="str">
        <f t="shared" si="20"/>
        <v>* group[=].element[=].display = ##34#A.2.7 Patient provided data##34#</v>
      </c>
      <c r="K44" s="14" t="str">
        <f t="shared" si="21"/>
        <v>* group[=].element[=].target.code = #Composition.section</v>
      </c>
      <c r="L44" s="14" t="str">
        <f t="shared" si="22"/>
        <v>* group[=].element[=].target.display = ##34###34#</v>
      </c>
      <c r="M44" s="14" t="str">
        <f t="shared" si="23"/>
        <v>* group[=].element[=].target.equivalence = #relatedto</v>
      </c>
      <c r="N44" s="14" t="str">
        <f t="shared" si="24"/>
        <v/>
      </c>
      <c r="P44" s="9">
        <v>30</v>
      </c>
      <c r="Q44" s="9">
        <f t="shared" si="10"/>
        <v>4</v>
      </c>
      <c r="R44" s="9">
        <f t="shared" si="18"/>
        <v>6</v>
      </c>
      <c r="S44" s="14" t="str" cm="1">
        <f t="array" ref="S44">INDEX('PS-ConceptMap-1'!$I$15:$N$273,Q44+1,R44)</f>
        <v/>
      </c>
    </row>
    <row r="45" spans="1:19" s="1" customFormat="1" ht="73.75" x14ac:dyDescent="0.75">
      <c r="A45"/>
      <c r="B45" s="9" t="str">
        <f>PS!B37</f>
        <v>body.patientData.travelHistory</v>
      </c>
      <c r="C45" s="9" t="str">
        <f>PS!C37</f>
        <v>A.2.7.1 Travel history</v>
      </c>
      <c r="D45" s="14" t="s">
        <v>1200</v>
      </c>
      <c r="E45" s="14"/>
      <c r="F45" s="68" t="s">
        <v>399</v>
      </c>
      <c r="G45" s="68"/>
      <c r="H45" s="69"/>
      <c r="I45" s="14" t="str">
        <f t="shared" si="19"/>
        <v>* group[=].element[+].code = #PatientSummary.body.patientData.travelHistory</v>
      </c>
      <c r="J45" s="14" t="str">
        <f t="shared" si="20"/>
        <v>* group[=].element[=].display = ##34#A.2.7.1 Travel history##34#</v>
      </c>
      <c r="K45" s="14" t="str">
        <f t="shared" si="21"/>
        <v>* group[=].element[=].target.code = #Composition.section:sectionTravelHx</v>
      </c>
      <c r="L45" s="14" t="str">
        <f t="shared" si="22"/>
        <v>* group[=].element[=].target.display = ##34###34#</v>
      </c>
      <c r="M45" s="14" t="str">
        <f t="shared" si="23"/>
        <v>* group[=].element[=].target.equivalence = #relatedto</v>
      </c>
      <c r="N45" s="14" t="str">
        <f t="shared" si="24"/>
        <v/>
      </c>
      <c r="P45" s="9">
        <v>31</v>
      </c>
      <c r="Q45" s="9">
        <f t="shared" si="10"/>
        <v>5</v>
      </c>
      <c r="R45" s="9">
        <f t="shared" si="18"/>
        <v>1</v>
      </c>
      <c r="S45" s="14" t="str" cm="1">
        <f t="array" ref="S45">INDEX('PS-ConceptMap-1'!$I$15:$N$273,Q45+1,R45)</f>
        <v>* group[=].element[+].code = #PatientSummary.header.documentData.lastUpdate</v>
      </c>
    </row>
    <row r="46" spans="1:19" s="1" customFormat="1" ht="73.75" x14ac:dyDescent="0.75">
      <c r="A46"/>
      <c r="B46" s="9" t="str">
        <f>PS!B38</f>
        <v>body.patientData.advanceDirective</v>
      </c>
      <c r="C46" s="9" t="str">
        <f>PS!C38</f>
        <v>A.2.7.2 Advance Directive</v>
      </c>
      <c r="D46" s="14" t="s">
        <v>1199</v>
      </c>
      <c r="E46" s="14"/>
      <c r="F46" s="68" t="s">
        <v>398</v>
      </c>
      <c r="G46" s="68"/>
      <c r="H46" s="69"/>
      <c r="I46" s="14" t="str">
        <f t="shared" si="19"/>
        <v>* group[=].element[+].code = #PatientSummary.body.patientData.advanceDirective</v>
      </c>
      <c r="J46" s="14" t="str">
        <f t="shared" si="20"/>
        <v>* group[=].element[=].display = ##34#A.2.7.2 Advance Directive##34#</v>
      </c>
      <c r="K46" s="14" t="str">
        <f t="shared" si="21"/>
        <v>* group[=].element[=].target.code = #Composition.section:sectionAdvanceDirectives</v>
      </c>
      <c r="L46" s="14" t="str">
        <f t="shared" si="22"/>
        <v>* group[=].element[=].target.display = ##34###34#</v>
      </c>
      <c r="M46" s="14" t="str">
        <f t="shared" si="23"/>
        <v>* group[=].element[=].target.equivalence = #equivalent</v>
      </c>
      <c r="N46" s="14" t="str">
        <f t="shared" si="24"/>
        <v/>
      </c>
      <c r="P46" s="9">
        <v>32</v>
      </c>
      <c r="Q46" s="9">
        <f t="shared" si="10"/>
        <v>5</v>
      </c>
      <c r="R46" s="9">
        <f t="shared" si="18"/>
        <v>2</v>
      </c>
      <c r="S46" s="14" t="str" cm="1">
        <f t="array" ref="S46">INDEX('PS-ConceptMap-1'!$I$15:$N$273,Q46+1,R46)</f>
        <v>* group[=].element[=].display = ##34#A.1.4.2 Date of last update##34#</v>
      </c>
    </row>
    <row r="47" spans="1:19" s="1" customFormat="1" ht="73.75" x14ac:dyDescent="0.75">
      <c r="A47"/>
      <c r="B47" s="9" t="str">
        <f>PS!B39</f>
        <v>body.results</v>
      </c>
      <c r="C47" s="9" t="str">
        <f>PS!C39</f>
        <v>A.2.8 Results</v>
      </c>
      <c r="D47" s="14" t="s">
        <v>1171</v>
      </c>
      <c r="E47" s="14"/>
      <c r="F47" s="68" t="s">
        <v>398</v>
      </c>
      <c r="G47" s="68"/>
      <c r="H47" s="69"/>
      <c r="I47" s="14" t="str">
        <f t="shared" si="19"/>
        <v>* group[=].element[+].code = #PatientSummary.body.results</v>
      </c>
      <c r="J47" s="14" t="str">
        <f t="shared" si="20"/>
        <v>* group[=].element[=].display = ##34#A.2.8 Results##34#</v>
      </c>
      <c r="K47" s="14" t="str">
        <f t="shared" si="21"/>
        <v>* group[=].element[=].target.code = #Composition.section:sectionResults</v>
      </c>
      <c r="L47" s="14" t="str">
        <f t="shared" si="22"/>
        <v>* group[=].element[=].target.display = ##34###34#</v>
      </c>
      <c r="M47" s="14" t="str">
        <f t="shared" si="23"/>
        <v>* group[=].element[=].target.equivalence = #equivalent</v>
      </c>
      <c r="N47" s="14" t="str">
        <f t="shared" si="24"/>
        <v/>
      </c>
      <c r="P47" s="9">
        <v>33</v>
      </c>
      <c r="Q47" s="9">
        <f t="shared" si="10"/>
        <v>5</v>
      </c>
      <c r="R47" s="9">
        <f t="shared" si="18"/>
        <v>3</v>
      </c>
      <c r="S47" s="14" t="str" cm="1">
        <f t="array" ref="S47">INDEX('PS-ConceptMap-1'!$I$15:$N$273,Q47+1,R47)</f>
        <v>* group[=].element[=].target.code = #Composition.event:careProvisioningEvent.period.end</v>
      </c>
    </row>
    <row r="48" spans="1:19" s="1" customFormat="1" ht="73.75" x14ac:dyDescent="0.75">
      <c r="A48"/>
      <c r="B48" s="9" t="str">
        <f>PS!B40</f>
        <v>body.planOfCare</v>
      </c>
      <c r="C48" s="9" t="str">
        <f>PS!C40</f>
        <v>A.2.9 Plan of Care</v>
      </c>
      <c r="D48" s="14" t="s">
        <v>1177</v>
      </c>
      <c r="E48" s="14"/>
      <c r="F48" s="68" t="s">
        <v>398</v>
      </c>
      <c r="G48" s="68"/>
      <c r="H48" s="69"/>
      <c r="I48" s="14" t="str">
        <f t="shared" si="19"/>
        <v>* group[=].element[+].code = #PatientSummary.body.planOfCare</v>
      </c>
      <c r="J48" s="14" t="str">
        <f t="shared" si="20"/>
        <v>* group[=].element[=].display = ##34#A.2.9 Plan of Care##34#</v>
      </c>
      <c r="K48" s="14" t="str">
        <f t="shared" si="21"/>
        <v>* group[=].element[=].target.code = #Composition.section:sectionPlanOfCare</v>
      </c>
      <c r="L48" s="14" t="str">
        <f t="shared" si="22"/>
        <v>* group[=].element[=].target.display = ##34###34#</v>
      </c>
      <c r="M48" s="14" t="str">
        <f t="shared" si="23"/>
        <v>* group[=].element[=].target.equivalence = #equivalent</v>
      </c>
      <c r="N48" s="14" t="str">
        <f t="shared" si="24"/>
        <v/>
      </c>
      <c r="P48" s="9">
        <v>34</v>
      </c>
      <c r="Q48" s="9">
        <f t="shared" si="10"/>
        <v>5</v>
      </c>
      <c r="R48" s="9">
        <f t="shared" si="18"/>
        <v>4</v>
      </c>
      <c r="S48" s="14" t="str" cm="1">
        <f t="array" ref="S48">INDEX('PS-ConceptMap-1'!$I$15:$N$273,Q48+1,R48)</f>
        <v>* group[=].element[=].target.display = ##34###34#</v>
      </c>
    </row>
    <row r="49" spans="1:19" s="1" customFormat="1" x14ac:dyDescent="0.75">
      <c r="A49"/>
      <c r="B49" s="53"/>
      <c r="F49" s="69"/>
      <c r="G49" s="69"/>
      <c r="H49" s="69"/>
      <c r="J49" s="69"/>
      <c r="K49" s="69"/>
      <c r="L49" s="69"/>
      <c r="M49" s="69"/>
      <c r="N49" s="69"/>
      <c r="P49" s="9">
        <v>35</v>
      </c>
      <c r="Q49" s="9">
        <f t="shared" si="10"/>
        <v>5</v>
      </c>
      <c r="R49" s="9">
        <f t="shared" si="18"/>
        <v>5</v>
      </c>
      <c r="S49" s="14" t="str" cm="1">
        <f t="array" ref="S49">INDEX('PS-ConceptMap-1'!$I$15:$N$273,Q49+1,R49)</f>
        <v>* group[=].element[=].target.equivalence = #relatedto</v>
      </c>
    </row>
    <row r="50" spans="1:19" s="1" customFormat="1" x14ac:dyDescent="0.75">
      <c r="A50"/>
      <c r="B50" s="9"/>
      <c r="F50" s="69"/>
      <c r="G50" s="69"/>
      <c r="H50" s="69"/>
      <c r="J50" s="69"/>
      <c r="K50" s="69"/>
      <c r="L50" s="69"/>
      <c r="M50" s="69"/>
      <c r="N50" s="69"/>
      <c r="P50" s="9">
        <v>36</v>
      </c>
      <c r="Q50" s="9">
        <f t="shared" si="10"/>
        <v>5</v>
      </c>
      <c r="R50" s="9">
        <f t="shared" si="18"/>
        <v>6</v>
      </c>
      <c r="S50" s="14" t="str" cm="1">
        <f t="array" ref="S50">INDEX('PS-ConceptMap-1'!$I$15:$N$273,Q50+1,R50)</f>
        <v>* group[=].element[=].target.comment = ##34#To be checked##34#</v>
      </c>
    </row>
    <row r="51" spans="1:19" s="1" customFormat="1" x14ac:dyDescent="0.75">
      <c r="A51"/>
      <c r="B51" s="9"/>
      <c r="F51" s="69"/>
      <c r="G51" s="69"/>
      <c r="H51" s="69"/>
      <c r="J51" s="69"/>
      <c r="K51" s="69"/>
      <c r="L51" s="69"/>
      <c r="M51" s="69"/>
      <c r="N51" s="69"/>
      <c r="P51" s="9">
        <v>37</v>
      </c>
      <c r="Q51" s="9">
        <f t="shared" si="10"/>
        <v>6</v>
      </c>
      <c r="R51" s="9">
        <f t="shared" si="18"/>
        <v>1</v>
      </c>
      <c r="S51" s="14" t="str" cm="1">
        <f t="array" ref="S51">INDEX('PS-ConceptMap-1'!$I$15:$N$273,Q51+1,R51)</f>
        <v>* group[=].element[+].code = #PatientSummary.header.documentData.natureOfIPS</v>
      </c>
    </row>
    <row r="52" spans="1:19" x14ac:dyDescent="0.75">
      <c r="F52" s="69"/>
      <c r="G52" s="69"/>
      <c r="H52" s="69"/>
      <c r="J52" s="69"/>
      <c r="K52" s="69"/>
      <c r="L52" s="69"/>
      <c r="M52" s="69"/>
      <c r="N52" s="69"/>
      <c r="P52" s="9">
        <v>38</v>
      </c>
      <c r="Q52" s="9">
        <f t="shared" si="10"/>
        <v>6</v>
      </c>
      <c r="R52" s="9">
        <f t="shared" si="18"/>
        <v>2</v>
      </c>
      <c r="S52" s="14" t="str" cm="1">
        <f t="array" ref="S52">INDEX('PS-ConceptMap-1'!$I$15:$N$273,Q52+1,R52)</f>
        <v>* group[=].element[=].display = ##34#A.1.4.3 Nature of the PS##34#</v>
      </c>
    </row>
    <row r="53" spans="1:19" x14ac:dyDescent="0.75">
      <c r="F53" s="69"/>
      <c r="G53" s="69"/>
      <c r="H53" s="69"/>
      <c r="J53" s="69"/>
      <c r="K53" s="69"/>
      <c r="L53" s="69"/>
      <c r="M53" s="69"/>
      <c r="N53" s="69"/>
      <c r="P53" s="9">
        <v>39</v>
      </c>
      <c r="Q53" s="9">
        <f t="shared" si="10"/>
        <v>6</v>
      </c>
      <c r="R53" s="9">
        <f t="shared" si="18"/>
        <v>3</v>
      </c>
      <c r="S53" s="14" t="str" cm="1">
        <f t="array" ref="S53">INDEX('PS-ConceptMap-1'!$I$15:$N$273,Q53+1,R53)</f>
        <v>* group[=].element[=].target.code = #Composition.author</v>
      </c>
    </row>
    <row r="54" spans="1:19" x14ac:dyDescent="0.75">
      <c r="F54" s="69"/>
      <c r="G54" s="69"/>
      <c r="H54" s="69"/>
      <c r="J54" s="69"/>
      <c r="K54" s="69"/>
      <c r="L54" s="69"/>
      <c r="M54" s="69"/>
      <c r="N54" s="69"/>
      <c r="P54" s="9">
        <v>40</v>
      </c>
      <c r="Q54" s="9">
        <f t="shared" si="10"/>
        <v>6</v>
      </c>
      <c r="R54" s="9">
        <f t="shared" ref="R54:R117" si="25">IF(MOD(P54,$Q$8)=0,$Q$8,MOD(P54,$Q$8))</f>
        <v>4</v>
      </c>
      <c r="S54" s="14" t="str" cm="1">
        <f t="array" ref="S54">INDEX('PS-ConceptMap-1'!$I$15:$N$273,Q54+1,R54)</f>
        <v>* group[=].element[=].target.display = ##34###34#</v>
      </c>
    </row>
    <row r="55" spans="1:19" x14ac:dyDescent="0.75">
      <c r="F55" s="69"/>
      <c r="G55" s="69"/>
      <c r="H55" s="69"/>
      <c r="J55" s="69"/>
      <c r="K55" s="69"/>
      <c r="L55" s="69"/>
      <c r="M55" s="69"/>
      <c r="N55" s="69"/>
      <c r="P55" s="9">
        <v>41</v>
      </c>
      <c r="Q55" s="9">
        <f t="shared" si="10"/>
        <v>6</v>
      </c>
      <c r="R55" s="9">
        <f t="shared" si="25"/>
        <v>5</v>
      </c>
      <c r="S55" s="14" t="str" cm="1">
        <f t="array" ref="S55">INDEX('PS-ConceptMap-1'!$I$15:$N$273,Q55+1,R55)</f>
        <v>* group[=].element[=].target.equivalence = #relatedto</v>
      </c>
    </row>
    <row r="56" spans="1:19" ht="44.25" x14ac:dyDescent="0.75">
      <c r="B56" t="s">
        <v>387</v>
      </c>
      <c r="C56" s="1" t="s">
        <v>388</v>
      </c>
      <c r="D56" s="1" t="s">
        <v>389</v>
      </c>
      <c r="E56" t="s">
        <v>390</v>
      </c>
      <c r="P56" s="9">
        <v>42</v>
      </c>
      <c r="Q56" s="9">
        <f t="shared" si="10"/>
        <v>6</v>
      </c>
      <c r="R56" s="9">
        <f t="shared" si="25"/>
        <v>6</v>
      </c>
      <c r="S56" s="14" t="str" cm="1">
        <f t="array" ref="S56">INDEX('PS-ConceptMap-1'!$I$15:$N$273,Q56+1,R56)</f>
        <v>* group[=].element[=].target.comment = ##34#the nature of a PS is determined as a comobination of type if author and legal authenticator. Future versions may cosndier to use Provenance data for this scope##34#</v>
      </c>
    </row>
    <row r="57" spans="1:19" x14ac:dyDescent="0.75">
      <c r="P57" s="9">
        <v>43</v>
      </c>
      <c r="Q57" s="9">
        <f t="shared" si="10"/>
        <v>7</v>
      </c>
      <c r="R57" s="9">
        <f t="shared" si="25"/>
        <v>1</v>
      </c>
      <c r="S57" s="14" t="str" cm="1">
        <f t="array" ref="S57">INDEX('PS-ConceptMap-1'!$I$15:$N$273,Q57+1,R57)</f>
        <v>* group[=].element[+].code = #PatientSummary.header.participant</v>
      </c>
    </row>
    <row r="58" spans="1:19" x14ac:dyDescent="0.75">
      <c r="P58" s="9">
        <v>44</v>
      </c>
      <c r="Q58" s="9">
        <f t="shared" si="10"/>
        <v>7</v>
      </c>
      <c r="R58" s="9">
        <f t="shared" si="25"/>
        <v>2</v>
      </c>
      <c r="S58" s="14" t="str" cm="1">
        <f t="array" ref="S58">INDEX('PS-ConceptMap-1'!$I$15:$N$273,Q58+1,R58)</f>
        <v>* group[=].element[=].display = ##34#A.1.5 Author and Organisation##34#</v>
      </c>
    </row>
    <row r="59" spans="1:19" x14ac:dyDescent="0.75">
      <c r="P59" s="9">
        <v>45</v>
      </c>
      <c r="Q59" s="9">
        <f t="shared" si="10"/>
        <v>7</v>
      </c>
      <c r="R59" s="9">
        <f t="shared" si="25"/>
        <v>3</v>
      </c>
      <c r="S59" s="14" t="str" cm="1">
        <f t="array" ref="S59">INDEX('PS-ConceptMap-1'!$I$15:$N$273,Q59+1,R59)</f>
        <v>* group[=].element[=].target.code = #Composition.author</v>
      </c>
    </row>
    <row r="60" spans="1:19" x14ac:dyDescent="0.75">
      <c r="P60" s="9">
        <v>46</v>
      </c>
      <c r="Q60" s="9">
        <f t="shared" si="10"/>
        <v>7</v>
      </c>
      <c r="R60" s="9">
        <f t="shared" si="25"/>
        <v>4</v>
      </c>
      <c r="S60" s="14" t="str" cm="1">
        <f t="array" ref="S60">INDEX('PS-ConceptMap-1'!$I$15:$N$273,Q60+1,R60)</f>
        <v>* group[=].element[=].target.display = ##34###34#</v>
      </c>
    </row>
    <row r="61" spans="1:19" x14ac:dyDescent="0.75">
      <c r="P61" s="9">
        <v>47</v>
      </c>
      <c r="Q61" s="9">
        <f t="shared" si="10"/>
        <v>7</v>
      </c>
      <c r="R61" s="9">
        <f t="shared" si="25"/>
        <v>5</v>
      </c>
      <c r="S61" s="14" t="str" cm="1">
        <f t="array" ref="S61">INDEX('PS-ConceptMap-1'!$I$15:$N$273,Q61+1,R61)</f>
        <v>* group[=].element[=].target.equivalence = #relatedto</v>
      </c>
    </row>
    <row r="62" spans="1:19" x14ac:dyDescent="0.75">
      <c r="P62" s="9">
        <v>48</v>
      </c>
      <c r="Q62" s="9">
        <f t="shared" si="10"/>
        <v>7</v>
      </c>
      <c r="R62" s="9">
        <f t="shared" si="25"/>
        <v>6</v>
      </c>
      <c r="S62" s="14" t="str" cm="1">
        <f t="array" ref="S62">INDEX('PS-ConceptMap-1'!$I$15:$N$273,Q62+1,R62)</f>
        <v/>
      </c>
    </row>
    <row r="63" spans="1:19" x14ac:dyDescent="0.75">
      <c r="P63" s="9">
        <v>49</v>
      </c>
      <c r="Q63" s="9">
        <f t="shared" si="10"/>
        <v>8</v>
      </c>
      <c r="R63" s="9">
        <f t="shared" si="25"/>
        <v>1</v>
      </c>
      <c r="S63" s="14" t="str" cm="1">
        <f t="array" ref="S63">INDEX('PS-ConceptMap-1'!$I$15:$N$273,Q63+1,R63)</f>
        <v>* group[=].element[+].code = #PatientSummary.header.participant.author</v>
      </c>
    </row>
    <row r="64" spans="1:19" x14ac:dyDescent="0.75">
      <c r="P64" s="9">
        <v>50</v>
      </c>
      <c r="Q64" s="9">
        <f t="shared" si="10"/>
        <v>8</v>
      </c>
      <c r="R64" s="9">
        <f t="shared" si="25"/>
        <v>2</v>
      </c>
      <c r="S64" s="14" t="str" cm="1">
        <f t="array" ref="S64">INDEX('PS-ConceptMap-1'!$I$15:$N$273,Q64+1,R64)</f>
        <v>* group[=].element[=].display = ##34#A.1.5.1 Author organization##34#</v>
      </c>
    </row>
    <row r="65" spans="16:19" x14ac:dyDescent="0.75">
      <c r="P65" s="9">
        <v>51</v>
      </c>
      <c r="Q65" s="9">
        <f t="shared" si="10"/>
        <v>8</v>
      </c>
      <c r="R65" s="9">
        <f t="shared" si="25"/>
        <v>3</v>
      </c>
      <c r="S65" s="14" t="str" cm="1">
        <f t="array" ref="S65">INDEX('PS-ConceptMap-1'!$I$15:$N$273,Q65+1,R65)</f>
        <v>* group[=].element[=].target.code = #Composition.author</v>
      </c>
    </row>
    <row r="66" spans="16:19" x14ac:dyDescent="0.75">
      <c r="P66" s="9">
        <v>52</v>
      </c>
      <c r="Q66" s="9">
        <f t="shared" si="10"/>
        <v>8</v>
      </c>
      <c r="R66" s="9">
        <f t="shared" si="25"/>
        <v>4</v>
      </c>
      <c r="S66" s="14" t="str" cm="1">
        <f t="array" ref="S66">INDEX('PS-ConceptMap-1'!$I$15:$N$273,Q66+1,R66)</f>
        <v>* group[=].element[=].target.display = ##34###34#</v>
      </c>
    </row>
    <row r="67" spans="16:19" x14ac:dyDescent="0.75">
      <c r="P67" s="9">
        <v>53</v>
      </c>
      <c r="Q67" s="9">
        <f t="shared" si="10"/>
        <v>8</v>
      </c>
      <c r="R67" s="9">
        <f t="shared" si="25"/>
        <v>5</v>
      </c>
      <c r="S67" s="14" t="str" cm="1">
        <f t="array" ref="S67">INDEX('PS-ConceptMap-1'!$I$15:$N$273,Q67+1,R67)</f>
        <v>* group[=].element[=].target.equivalence = #equivalent</v>
      </c>
    </row>
    <row r="68" spans="16:19" ht="29.5" x14ac:dyDescent="0.75">
      <c r="P68" s="9">
        <v>54</v>
      </c>
      <c r="Q68" s="9">
        <f t="shared" si="10"/>
        <v>8</v>
      </c>
      <c r="R68" s="9">
        <f t="shared" si="25"/>
        <v>6</v>
      </c>
      <c r="S68" s="14" t="str" cm="1">
        <f t="array" ref="S68">INDEX('PS-ConceptMap-1'!$I$15:$N$273,Q68+1,R68)</f>
        <v>* group[=].element[=].target.comment = ##34#author can be of type Organziation, Pracitctioner or PractictionerRole##34#</v>
      </c>
    </row>
    <row r="69" spans="16:19" x14ac:dyDescent="0.75">
      <c r="P69" s="9">
        <v>55</v>
      </c>
      <c r="Q69" s="9">
        <f t="shared" si="10"/>
        <v>9</v>
      </c>
      <c r="R69" s="9">
        <f t="shared" si="25"/>
        <v>1</v>
      </c>
      <c r="S69" s="14" t="str" cm="1">
        <f t="array" ref="S69">INDEX('PS-ConceptMap-1'!$I$15:$N$273,Q69+1,R69)</f>
        <v>* group[=].element[+].code = #PatientSummary.header.participant.legalAuth</v>
      </c>
    </row>
    <row r="70" spans="16:19" x14ac:dyDescent="0.75">
      <c r="P70" s="9">
        <v>56</v>
      </c>
      <c r="Q70" s="9">
        <f t="shared" si="10"/>
        <v>9</v>
      </c>
      <c r="R70" s="9">
        <f t="shared" si="25"/>
        <v>2</v>
      </c>
      <c r="S70" s="14" t="str" cm="1">
        <f t="array" ref="S70">INDEX('PS-ConceptMap-1'!$I$15:$N$273,Q70+1,R70)</f>
        <v>* group[=].element[=].display = ##34#A.1.5.2 Legal authenticator##34#</v>
      </c>
    </row>
    <row r="71" spans="16:19" x14ac:dyDescent="0.75">
      <c r="P71" s="9">
        <v>57</v>
      </c>
      <c r="Q71" s="9">
        <f t="shared" si="10"/>
        <v>9</v>
      </c>
      <c r="R71" s="9">
        <f t="shared" si="25"/>
        <v>3</v>
      </c>
      <c r="S71" s="14" t="str" cm="1">
        <f t="array" ref="S71">INDEX('PS-ConceptMap-1'!$I$15:$N$273,Q71+1,R71)</f>
        <v>* group[=].element[=].target.code = #Composition.attester</v>
      </c>
    </row>
    <row r="72" spans="16:19" x14ac:dyDescent="0.75">
      <c r="P72" s="9">
        <v>58</v>
      </c>
      <c r="Q72" s="9">
        <f t="shared" si="10"/>
        <v>9</v>
      </c>
      <c r="R72" s="9">
        <f t="shared" si="25"/>
        <v>4</v>
      </c>
      <c r="S72" s="14" t="str" cm="1">
        <f t="array" ref="S72">INDEX('PS-ConceptMap-1'!$I$15:$N$273,Q72+1,R72)</f>
        <v>* group[=].element[=].target.display = ##34###34#</v>
      </c>
    </row>
    <row r="73" spans="16:19" x14ac:dyDescent="0.75">
      <c r="P73" s="9">
        <v>59</v>
      </c>
      <c r="Q73" s="9">
        <f t="shared" si="10"/>
        <v>9</v>
      </c>
      <c r="R73" s="9">
        <f t="shared" si="25"/>
        <v>5</v>
      </c>
      <c r="S73" s="14" t="str" cm="1">
        <f t="array" ref="S73">INDEX('PS-ConceptMap-1'!$I$15:$N$273,Q73+1,R73)</f>
        <v>* group[=].element[=].target.equivalence = #relatedto</v>
      </c>
    </row>
    <row r="74" spans="16:19" x14ac:dyDescent="0.75">
      <c r="P74" s="9">
        <v>60</v>
      </c>
      <c r="Q74" s="9">
        <f t="shared" si="10"/>
        <v>9</v>
      </c>
      <c r="R74" s="9">
        <f t="shared" si="25"/>
        <v>6</v>
      </c>
      <c r="S74" s="14" t="str" cm="1">
        <f t="array" ref="S74">INDEX('PS-ConceptMap-1'!$I$15:$N$273,Q74+1,R74)</f>
        <v>* group[=].element[=].target.comment = ##34#attester.mode = 'legal'##34#</v>
      </c>
    </row>
    <row r="75" spans="16:19" x14ac:dyDescent="0.75">
      <c r="P75" s="9">
        <v>61</v>
      </c>
      <c r="Q75" s="9">
        <f t="shared" si="10"/>
        <v>10</v>
      </c>
      <c r="R75" s="9">
        <f t="shared" si="25"/>
        <v>1</v>
      </c>
      <c r="S75" s="14" t="str" cm="1">
        <f t="array" ref="S75">INDEX('PS-ConceptMap-1'!$I$15:$N$273,Q75+1,R75)</f>
        <v>* group[=].element[+].code = #PatientSummary.header.additionalInfo</v>
      </c>
    </row>
    <row r="76" spans="16:19" ht="29.5" x14ac:dyDescent="0.75">
      <c r="P76" s="9">
        <v>62</v>
      </c>
      <c r="Q76" s="9">
        <f t="shared" si="10"/>
        <v>10</v>
      </c>
      <c r="R76" s="9">
        <f t="shared" si="25"/>
        <v>2</v>
      </c>
      <c r="S76" s="14" t="str" cm="1">
        <f t="array" ref="S76">INDEX('PS-ConceptMap-1'!$I$15:$N$273,Q76+1,R76)</f>
        <v>* group[=].element[=].display = ##34#A.1.6 Additional information / Knowledge resources##34#</v>
      </c>
    </row>
    <row r="77" spans="16:19" x14ac:dyDescent="0.75">
      <c r="P77" s="9">
        <v>63</v>
      </c>
      <c r="Q77" s="9">
        <f t="shared" si="10"/>
        <v>10</v>
      </c>
      <c r="R77" s="9">
        <f t="shared" si="25"/>
        <v>3</v>
      </c>
      <c r="S77" s="14" t="str" cm="1">
        <f t="array" ref="S77">INDEX('PS-ConceptMap-1'!$I$15:$N$273,Q77+1,R77)</f>
        <v>//-- unmatched</v>
      </c>
    </row>
    <row r="78" spans="16:19" x14ac:dyDescent="0.75">
      <c r="P78" s="9">
        <v>64</v>
      </c>
      <c r="Q78" s="9">
        <f t="shared" si="10"/>
        <v>10</v>
      </c>
      <c r="R78" s="9">
        <f t="shared" si="25"/>
        <v>4</v>
      </c>
      <c r="S78" s="14" t="str" cm="1">
        <f t="array" ref="S78">INDEX('PS-ConceptMap-1'!$I$15:$N$273,Q78+1,R78)</f>
        <v>//-- unmatched</v>
      </c>
    </row>
    <row r="79" spans="16:19" x14ac:dyDescent="0.75">
      <c r="P79" s="9">
        <v>65</v>
      </c>
      <c r="Q79" s="9">
        <f t="shared" si="10"/>
        <v>10</v>
      </c>
      <c r="R79" s="9">
        <f t="shared" si="25"/>
        <v>5</v>
      </c>
      <c r="S79" s="14" t="str" cm="1">
        <f t="array" ref="S79">INDEX('PS-ConceptMap-1'!$I$15:$N$273,Q79+1,R79)</f>
        <v>* group[=].element[=].target.equivalence = #unmatched</v>
      </c>
    </row>
    <row r="80" spans="16:19" x14ac:dyDescent="0.75">
      <c r="P80" s="9">
        <v>66</v>
      </c>
      <c r="Q80" s="9">
        <f t="shared" si="10"/>
        <v>10</v>
      </c>
      <c r="R80" s="9">
        <f t="shared" si="25"/>
        <v>6</v>
      </c>
      <c r="S80" s="14" t="str" cm="1">
        <f t="array" ref="S80">INDEX('PS-ConceptMap-1'!$I$15:$N$273,Q80+1,R80)</f>
        <v>* group[=].element[=].target.comment = ##34#Covered by other resources##34#</v>
      </c>
    </row>
    <row r="81" spans="16:19" x14ac:dyDescent="0.75">
      <c r="P81" s="9">
        <v>67</v>
      </c>
      <c r="Q81" s="9">
        <f t="shared" si="10"/>
        <v>11</v>
      </c>
      <c r="R81" s="9">
        <f t="shared" si="25"/>
        <v>1</v>
      </c>
      <c r="S81" s="14" t="str" cm="1">
        <f t="array" ref="S81">INDEX('PS-ConceptMap-1'!$I$15:$N$273,Q81+1,R81)</f>
        <v>* group[=].element[+].code = #PatientSummary.header.additionalInfo.reference</v>
      </c>
    </row>
    <row r="82" spans="16:19" x14ac:dyDescent="0.75">
      <c r="P82" s="9">
        <v>68</v>
      </c>
      <c r="Q82" s="9">
        <f t="shared" si="10"/>
        <v>11</v>
      </c>
      <c r="R82" s="9">
        <f t="shared" si="25"/>
        <v>2</v>
      </c>
      <c r="S82" s="14" t="str" cm="1">
        <f t="array" ref="S82">INDEX('PS-ConceptMap-1'!$I$15:$N$273,Q82+1,R82)</f>
        <v>* group[=].element[=].display = ##34#A.1.6.1 External reference##34#</v>
      </c>
    </row>
    <row r="83" spans="16:19" x14ac:dyDescent="0.75">
      <c r="P83" s="9">
        <v>69</v>
      </c>
      <c r="Q83" s="9">
        <f t="shared" si="10"/>
        <v>11</v>
      </c>
      <c r="R83" s="9">
        <f t="shared" si="25"/>
        <v>3</v>
      </c>
      <c r="S83" s="14" t="str" cm="1">
        <f t="array" ref="S83">INDEX('PS-ConceptMap-1'!$I$15:$N$273,Q83+1,R83)</f>
        <v>//-- unmatched</v>
      </c>
    </row>
    <row r="84" spans="16:19" x14ac:dyDescent="0.75">
      <c r="P84" s="9">
        <v>70</v>
      </c>
      <c r="Q84" s="9">
        <f t="shared" si="10"/>
        <v>11</v>
      </c>
      <c r="R84" s="9">
        <f t="shared" si="25"/>
        <v>4</v>
      </c>
      <c r="S84" s="14" t="str" cm="1">
        <f t="array" ref="S84">INDEX('PS-ConceptMap-1'!$I$15:$N$273,Q84+1,R84)</f>
        <v>//-- unmatched</v>
      </c>
    </row>
    <row r="85" spans="16:19" x14ac:dyDescent="0.75">
      <c r="P85" s="9">
        <v>71</v>
      </c>
      <c r="Q85" s="9">
        <f t="shared" si="10"/>
        <v>11</v>
      </c>
      <c r="R85" s="9">
        <f t="shared" si="25"/>
        <v>5</v>
      </c>
      <c r="S85" s="14" t="str" cm="1">
        <f t="array" ref="S85">INDEX('PS-ConceptMap-1'!$I$15:$N$273,Q85+1,R85)</f>
        <v>* group[=].element[=].target.equivalence = #unmatched</v>
      </c>
    </row>
    <row r="86" spans="16:19" x14ac:dyDescent="0.75">
      <c r="P86" s="9">
        <v>72</v>
      </c>
      <c r="Q86" s="9">
        <f t="shared" si="10"/>
        <v>11</v>
      </c>
      <c r="R86" s="9">
        <f t="shared" si="25"/>
        <v>6</v>
      </c>
      <c r="S86" s="14" t="str" cm="1">
        <f t="array" ref="S86">INDEX('PS-ConceptMap-1'!$I$15:$N$273,Q86+1,R86)</f>
        <v>* group[=].element[=].target.comment = ##34#Covered by other resources##34#</v>
      </c>
    </row>
    <row r="87" spans="16:19" x14ac:dyDescent="0.75">
      <c r="P87" s="9">
        <v>73</v>
      </c>
      <c r="Q87" s="9">
        <f t="shared" si="10"/>
        <v>12</v>
      </c>
      <c r="R87" s="9">
        <f t="shared" si="25"/>
        <v>1</v>
      </c>
      <c r="S87" s="14" t="str" cm="1">
        <f t="array" ref="S87">INDEX('PS-ConceptMap-1'!$I$15:$N$273,Q87+1,R87)</f>
        <v>* group[=].element[+].code = #PatientSummary.header.additionalInfo.relatedWith</v>
      </c>
    </row>
    <row r="88" spans="16:19" x14ac:dyDescent="0.75">
      <c r="P88" s="9">
        <v>74</v>
      </c>
      <c r="Q88" s="9">
        <f t="shared" si="10"/>
        <v>12</v>
      </c>
      <c r="R88" s="9">
        <f t="shared" si="25"/>
        <v>2</v>
      </c>
      <c r="S88" s="14" t="str" cm="1">
        <f t="array" ref="S88">INDEX('PS-ConceptMap-1'!$I$15:$N$273,Q88+1,R88)</f>
        <v>* group[=].element[=].display = ##34#A.1.6.2 Related with##34#</v>
      </c>
    </row>
    <row r="89" spans="16:19" x14ac:dyDescent="0.75">
      <c r="P89" s="9">
        <v>75</v>
      </c>
      <c r="Q89" s="9">
        <f t="shared" si="10"/>
        <v>12</v>
      </c>
      <c r="R89" s="9">
        <f t="shared" si="25"/>
        <v>3</v>
      </c>
      <c r="S89" s="14" t="str" cm="1">
        <f t="array" ref="S89">INDEX('PS-ConceptMap-1'!$I$15:$N$273,Q89+1,R89)</f>
        <v>//-- unmatched</v>
      </c>
    </row>
    <row r="90" spans="16:19" x14ac:dyDescent="0.75">
      <c r="P90" s="9">
        <v>76</v>
      </c>
      <c r="Q90" s="9">
        <f t="shared" si="10"/>
        <v>12</v>
      </c>
      <c r="R90" s="9">
        <f t="shared" si="25"/>
        <v>4</v>
      </c>
      <c r="S90" s="14" t="str" cm="1">
        <f t="array" ref="S90">INDEX('PS-ConceptMap-1'!$I$15:$N$273,Q90+1,R90)</f>
        <v>//-- unmatched</v>
      </c>
    </row>
    <row r="91" spans="16:19" x14ac:dyDescent="0.75">
      <c r="P91" s="9">
        <v>77</v>
      </c>
      <c r="Q91" s="9">
        <f t="shared" si="10"/>
        <v>12</v>
      </c>
      <c r="R91" s="9">
        <f t="shared" si="25"/>
        <v>5</v>
      </c>
      <c r="S91" s="14" t="str" cm="1">
        <f t="array" ref="S91">INDEX('PS-ConceptMap-1'!$I$15:$N$273,Q91+1,R91)</f>
        <v>* group[=].element[=].target.equivalence = #unmatched</v>
      </c>
    </row>
    <row r="92" spans="16:19" x14ac:dyDescent="0.75">
      <c r="P92" s="9">
        <v>78</v>
      </c>
      <c r="Q92" s="9">
        <f t="shared" si="10"/>
        <v>12</v>
      </c>
      <c r="R92" s="9">
        <f t="shared" si="25"/>
        <v>6</v>
      </c>
      <c r="S92" s="14" t="str" cm="1">
        <f t="array" ref="S92">INDEX('PS-ConceptMap-1'!$I$15:$N$273,Q92+1,R92)</f>
        <v>* group[=].element[=].target.comment = ##34#Covered by other resources##34#</v>
      </c>
    </row>
    <row r="93" spans="16:19" x14ac:dyDescent="0.75">
      <c r="P93" s="9">
        <v>79</v>
      </c>
      <c r="Q93" s="9">
        <f t="shared" si="10"/>
        <v>13</v>
      </c>
      <c r="R93" s="9">
        <f t="shared" si="25"/>
        <v>1</v>
      </c>
      <c r="S93" s="14" t="str" cm="1">
        <f t="array" ref="S93">INDEX('PS-ConceptMap-1'!$I$15:$N$273,Q93+1,R93)</f>
        <v>* group[=].element[+].code = #PatientSummary.body</v>
      </c>
    </row>
    <row r="94" spans="16:19" x14ac:dyDescent="0.75">
      <c r="P94" s="9">
        <v>80</v>
      </c>
      <c r="Q94" s="9">
        <f t="shared" si="10"/>
        <v>13</v>
      </c>
      <c r="R94" s="9">
        <f t="shared" si="25"/>
        <v>2</v>
      </c>
      <c r="S94" s="14" t="str" cm="1">
        <f t="array" ref="S94">INDEX('PS-ConceptMap-1'!$I$15:$N$273,Q94+1,R94)</f>
        <v>* group[=].element[=].display = ##34#A.2 Patient summary body data elements##34#</v>
      </c>
    </row>
    <row r="95" spans="16:19" x14ac:dyDescent="0.75">
      <c r="P95" s="9">
        <v>81</v>
      </c>
      <c r="Q95" s="9">
        <f t="shared" ref="Q95" si="26">IF(MOD(P95,$Q$8)=0,P95/$Q$8-1,INT(P95/$Q$8))</f>
        <v>13</v>
      </c>
      <c r="R95" s="9">
        <f t="shared" si="25"/>
        <v>3</v>
      </c>
      <c r="S95" s="14" t="str" cm="1">
        <f t="array" ref="S95">INDEX('PS-ConceptMap-1'!$I$15:$N$273,Q95+1,R95)</f>
        <v>* group[=].element[=].target.code = #Composition.section</v>
      </c>
    </row>
    <row r="96" spans="16:19" x14ac:dyDescent="0.75">
      <c r="P96" s="9">
        <v>82</v>
      </c>
      <c r="Q96" s="9">
        <f t="shared" si="10"/>
        <v>13</v>
      </c>
      <c r="R96" s="9">
        <f t="shared" si="25"/>
        <v>4</v>
      </c>
      <c r="S96" s="14" t="str" cm="1">
        <f t="array" ref="S96">INDEX('PS-ConceptMap-1'!$I$15:$N$273,Q96+1,R96)</f>
        <v>* group[=].element[=].target.display = ##34###34#</v>
      </c>
    </row>
    <row r="97" spans="16:19" x14ac:dyDescent="0.75">
      <c r="P97" s="9">
        <v>83</v>
      </c>
      <c r="Q97" s="9">
        <f t="shared" si="10"/>
        <v>13</v>
      </c>
      <c r="R97" s="9">
        <f t="shared" si="25"/>
        <v>5</v>
      </c>
      <c r="S97" s="14" t="str" cm="1">
        <f t="array" ref="S97">INDEX('PS-ConceptMap-1'!$I$15:$N$273,Q97+1,R97)</f>
        <v>* group[=].element[=].target.equivalence = #relatedto</v>
      </c>
    </row>
    <row r="98" spans="16:19" x14ac:dyDescent="0.75">
      <c r="P98" s="9">
        <v>84</v>
      </c>
      <c r="Q98" s="9">
        <f t="shared" si="10"/>
        <v>13</v>
      </c>
      <c r="R98" s="9">
        <f t="shared" si="25"/>
        <v>6</v>
      </c>
      <c r="S98" s="14" t="str" cm="1">
        <f t="array" ref="S98">INDEX('PS-ConceptMap-1'!$I$15:$N$273,Q98+1,R98)</f>
        <v/>
      </c>
    </row>
    <row r="99" spans="16:19" x14ac:dyDescent="0.75">
      <c r="P99" s="9">
        <v>85</v>
      </c>
      <c r="Q99" s="9">
        <f t="shared" ref="Q99" si="27">IF(MOD(P99,$Q$8)=0,P99/$Q$8-1,INT(P99/$Q$8))</f>
        <v>14</v>
      </c>
      <c r="R99" s="9">
        <f t="shared" si="25"/>
        <v>1</v>
      </c>
      <c r="S99" s="14" t="str" cm="1">
        <f t="array" ref="S99">INDEX('PS-ConceptMap-1'!$I$15:$N$273,Q99+1,R99)</f>
        <v>* group[=].element[+].code = #PatientSummary.body.alerts</v>
      </c>
    </row>
    <row r="100" spans="16:19" x14ac:dyDescent="0.75">
      <c r="P100" s="9">
        <v>86</v>
      </c>
      <c r="Q100" s="9">
        <f t="shared" si="10"/>
        <v>14</v>
      </c>
      <c r="R100" s="9">
        <f t="shared" si="25"/>
        <v>2</v>
      </c>
      <c r="S100" s="14" t="str" cm="1">
        <f t="array" ref="S100">INDEX('PS-ConceptMap-1'!$I$15:$N$273,Q100+1,R100)</f>
        <v>* group[=].element[=].display = ##34#A.2.1 Alerts##34#</v>
      </c>
    </row>
    <row r="101" spans="16:19" x14ac:dyDescent="0.75">
      <c r="P101" s="9">
        <v>87</v>
      </c>
      <c r="Q101" s="9">
        <f t="shared" si="10"/>
        <v>14</v>
      </c>
      <c r="R101" s="9">
        <f t="shared" si="25"/>
        <v>3</v>
      </c>
      <c r="S101" s="14" t="str" cm="1">
        <f t="array" ref="S101">INDEX('PS-ConceptMap-1'!$I$15:$N$273,Q101+1,R101)</f>
        <v>* group[=].element[=].target.code = #Composition.section</v>
      </c>
    </row>
    <row r="102" spans="16:19" x14ac:dyDescent="0.75">
      <c r="P102" s="9">
        <v>88</v>
      </c>
      <c r="Q102" s="9">
        <f t="shared" si="10"/>
        <v>14</v>
      </c>
      <c r="R102" s="9">
        <f t="shared" si="25"/>
        <v>4</v>
      </c>
      <c r="S102" s="14" t="str" cm="1">
        <f t="array" ref="S102">INDEX('PS-ConceptMap-1'!$I$15:$N$273,Q102+1,R102)</f>
        <v>* group[=].element[=].target.display = ##34###34#</v>
      </c>
    </row>
    <row r="103" spans="16:19" x14ac:dyDescent="0.75">
      <c r="P103" s="9">
        <v>89</v>
      </c>
      <c r="Q103" s="9">
        <f t="shared" si="10"/>
        <v>14</v>
      </c>
      <c r="R103" s="9">
        <f t="shared" si="25"/>
        <v>5</v>
      </c>
      <c r="S103" s="14" t="str" cm="1">
        <f t="array" ref="S103">INDEX('PS-ConceptMap-1'!$I$15:$N$273,Q103+1,R103)</f>
        <v>* group[=].element[=].target.equivalence = #relatedto</v>
      </c>
    </row>
    <row r="104" spans="16:19" x14ac:dyDescent="0.75">
      <c r="P104" s="9">
        <v>90</v>
      </c>
      <c r="Q104" s="9">
        <f t="shared" si="10"/>
        <v>14</v>
      </c>
      <c r="R104" s="9">
        <f t="shared" si="25"/>
        <v>6</v>
      </c>
      <c r="S104" s="14" t="str" cm="1">
        <f t="array" ref="S104">INDEX('PS-ConceptMap-1'!$I$15:$N$273,Q104+1,R104)</f>
        <v/>
      </c>
    </row>
    <row r="105" spans="16:19" x14ac:dyDescent="0.75">
      <c r="P105" s="9">
        <v>91</v>
      </c>
      <c r="Q105" s="9">
        <f t="shared" si="10"/>
        <v>15</v>
      </c>
      <c r="R105" s="9">
        <f t="shared" si="25"/>
        <v>1</v>
      </c>
      <c r="S105" s="14" t="str" cm="1">
        <f t="array" ref="S105">INDEX('PS-ConceptMap-1'!$I$15:$N$273,Q105+1,R105)</f>
        <v>* group[=].element[+].code = #PatientSummary.body.alerts.allergy</v>
      </c>
    </row>
    <row r="106" spans="16:19" x14ac:dyDescent="0.75">
      <c r="P106" s="9">
        <v>92</v>
      </c>
      <c r="Q106" s="9">
        <f t="shared" si="10"/>
        <v>15</v>
      </c>
      <c r="R106" s="9">
        <f t="shared" si="25"/>
        <v>2</v>
      </c>
      <c r="S106" s="14" t="str" cm="1">
        <f t="array" ref="S106">INDEX('PS-ConceptMap-1'!$I$15:$N$273,Q106+1,R106)</f>
        <v>* group[=].element[=].display = ##34#A.2.1.1 Allergy##34#</v>
      </c>
    </row>
    <row r="107" spans="16:19" x14ac:dyDescent="0.75">
      <c r="P107" s="9">
        <v>93</v>
      </c>
      <c r="Q107" s="9">
        <f t="shared" si="10"/>
        <v>15</v>
      </c>
      <c r="R107" s="9">
        <f t="shared" si="25"/>
        <v>3</v>
      </c>
      <c r="S107" s="14" t="str" cm="1">
        <f t="array" ref="S107">INDEX('PS-ConceptMap-1'!$I$15:$N$273,Q107+1,R107)</f>
        <v>* group[=].element[=].target.code = #Composition.section:sectionAllergies.entry</v>
      </c>
    </row>
    <row r="108" spans="16:19" x14ac:dyDescent="0.75">
      <c r="P108" s="9">
        <v>94</v>
      </c>
      <c r="Q108" s="9">
        <f t="shared" si="10"/>
        <v>15</v>
      </c>
      <c r="R108" s="9">
        <f t="shared" si="25"/>
        <v>4</v>
      </c>
      <c r="S108" s="14" t="str" cm="1">
        <f t="array" ref="S108">INDEX('PS-ConceptMap-1'!$I$15:$N$273,Q108+1,R108)</f>
        <v>* group[=].element[=].target.display = ##34###34#</v>
      </c>
    </row>
    <row r="109" spans="16:19" x14ac:dyDescent="0.75">
      <c r="P109" s="9">
        <v>95</v>
      </c>
      <c r="Q109" s="9">
        <f t="shared" si="10"/>
        <v>15</v>
      </c>
      <c r="R109" s="9">
        <f t="shared" si="25"/>
        <v>5</v>
      </c>
      <c r="S109" s="14" t="str" cm="1">
        <f t="array" ref="S109">INDEX('PS-ConceptMap-1'!$I$15:$N$273,Q109+1,R109)</f>
        <v>* group[=].element[=].target.equivalence = #equivalent</v>
      </c>
    </row>
    <row r="110" spans="16:19" x14ac:dyDescent="0.75">
      <c r="P110" s="9">
        <v>96</v>
      </c>
      <c r="Q110" s="9">
        <f t="shared" si="10"/>
        <v>15</v>
      </c>
      <c r="R110" s="9">
        <f t="shared" si="25"/>
        <v>6</v>
      </c>
      <c r="S110" s="14" t="str" cm="1">
        <f t="array" ref="S110">INDEX('PS-ConceptMap-1'!$I$15:$N$273,Q110+1,R110)</f>
        <v/>
      </c>
    </row>
    <row r="111" spans="16:19" x14ac:dyDescent="0.75">
      <c r="P111" s="9">
        <v>97</v>
      </c>
      <c r="Q111" s="9">
        <f t="shared" si="10"/>
        <v>16</v>
      </c>
      <c r="R111" s="9">
        <f t="shared" si="25"/>
        <v>1</v>
      </c>
      <c r="S111" s="14" t="str" cm="1">
        <f t="array" ref="S111">INDEX('PS-ConceptMap-1'!$I$15:$N$273,Q111+1,R111)</f>
        <v>* group[=].element[+].code = #PatientSummary.body.alerts.alert</v>
      </c>
    </row>
    <row r="112" spans="16:19" ht="29.5" x14ac:dyDescent="0.75">
      <c r="P112" s="9">
        <v>98</v>
      </c>
      <c r="Q112" s="9">
        <f t="shared" si="10"/>
        <v>16</v>
      </c>
      <c r="R112" s="9">
        <f t="shared" si="25"/>
        <v>2</v>
      </c>
      <c r="S112" s="14" t="str" cm="1">
        <f t="array" ref="S112">INDEX('PS-ConceptMap-1'!$I$15:$N$273,Q112+1,R112)</f>
        <v>* group[=].element[=].display = ##34#A.2.1.2 Medical alert information (other alerts not included in allergies)##34#</v>
      </c>
    </row>
    <row r="113" spans="16:19" x14ac:dyDescent="0.75">
      <c r="P113" s="9">
        <v>99</v>
      </c>
      <c r="Q113" s="9">
        <f t="shared" si="10"/>
        <v>16</v>
      </c>
      <c r="R113" s="9">
        <f t="shared" si="25"/>
        <v>3</v>
      </c>
      <c r="S113" s="14" t="str" cm="1">
        <f t="array" ref="S113">INDEX('PS-ConceptMap-1'!$I$15:$N$273,Q113+1,R113)</f>
        <v>* group[=].element[=].target.code = #Composition.section:sectionAlert</v>
      </c>
    </row>
    <row r="114" spans="16:19" x14ac:dyDescent="0.75">
      <c r="P114" s="9">
        <v>100</v>
      </c>
      <c r="Q114" s="9">
        <f t="shared" si="10"/>
        <v>16</v>
      </c>
      <c r="R114" s="9">
        <f t="shared" si="25"/>
        <v>4</v>
      </c>
      <c r="S114" s="14" t="str" cm="1">
        <f t="array" ref="S114">INDEX('PS-ConceptMap-1'!$I$15:$N$273,Q114+1,R114)</f>
        <v>* group[=].element[=].target.display = ##34###34#</v>
      </c>
    </row>
    <row r="115" spans="16:19" x14ac:dyDescent="0.75">
      <c r="P115" s="9">
        <v>101</v>
      </c>
      <c r="Q115" s="9">
        <f t="shared" si="10"/>
        <v>16</v>
      </c>
      <c r="R115" s="9">
        <f t="shared" si="25"/>
        <v>5</v>
      </c>
      <c r="S115" s="14" t="str" cm="1">
        <f t="array" ref="S115">INDEX('PS-ConceptMap-1'!$I$15:$N$273,Q115+1,R115)</f>
        <v>* group[=].element[=].target.equivalence = #relatedto</v>
      </c>
    </row>
    <row r="116" spans="16:19" x14ac:dyDescent="0.75">
      <c r="P116" s="9">
        <v>102</v>
      </c>
      <c r="Q116" s="9">
        <f t="shared" ref="Q116" si="28">IF(MOD(P116,$Q$8)=0,P116/$Q$8-1,INT(P116/$Q$8))</f>
        <v>16</v>
      </c>
      <c r="R116" s="9">
        <f t="shared" si="25"/>
        <v>6</v>
      </c>
      <c r="S116" s="14" t="str" cm="1">
        <f t="array" ref="S116">INDEX('PS-ConceptMap-1'!$I$15:$N$273,Q116+1,R116)</f>
        <v/>
      </c>
    </row>
    <row r="117" spans="16:19" x14ac:dyDescent="0.75">
      <c r="P117" s="9">
        <v>103</v>
      </c>
      <c r="Q117" s="9">
        <f t="shared" si="10"/>
        <v>17</v>
      </c>
      <c r="R117" s="9">
        <f t="shared" si="25"/>
        <v>1</v>
      </c>
      <c r="S117" s="14" t="str" cm="1">
        <f t="array" ref="S117">INDEX('PS-ConceptMap-1'!$I$15:$N$273,Q117+1,R117)</f>
        <v>* group[=].element[+].code = #PatientSummary.body.alerts.alert.description</v>
      </c>
    </row>
    <row r="118" spans="16:19" x14ac:dyDescent="0.75">
      <c r="P118" s="9">
        <v>104</v>
      </c>
      <c r="Q118" s="9">
        <f t="shared" si="10"/>
        <v>17</v>
      </c>
      <c r="R118" s="9">
        <f t="shared" ref="R118:R181" si="29">IF(MOD(P118,$Q$8)=0,$Q$8,MOD(P118,$Q$8))</f>
        <v>2</v>
      </c>
      <c r="S118" s="14" t="str" cm="1">
        <f t="array" ref="S118">INDEX('PS-ConceptMap-1'!$I$15:$N$273,Q118+1,R118)</f>
        <v>* group[=].element[=].display = ##34#A.2.1.2.1 Healthcare alert description##34#</v>
      </c>
    </row>
    <row r="119" spans="16:19" x14ac:dyDescent="0.75">
      <c r="P119" s="9">
        <v>105</v>
      </c>
      <c r="Q119" s="9">
        <f t="shared" si="10"/>
        <v>17</v>
      </c>
      <c r="R119" s="9">
        <f t="shared" si="29"/>
        <v>3</v>
      </c>
      <c r="S119" s="14" t="str" cm="1">
        <f t="array" ref="S119">INDEX('PS-ConceptMap-1'!$I$15:$N$273,Q119+1,R119)</f>
        <v>* group[=].element[=].target.code = #Composition.section:sectionAlert.text</v>
      </c>
    </row>
    <row r="120" spans="16:19" x14ac:dyDescent="0.75">
      <c r="P120" s="9">
        <v>106</v>
      </c>
      <c r="Q120" s="9">
        <f t="shared" ref="Q120" si="30">IF(MOD(P120,$Q$8)=0,P120/$Q$8-1,INT(P120/$Q$8))</f>
        <v>17</v>
      </c>
      <c r="R120" s="9">
        <f t="shared" si="29"/>
        <v>4</v>
      </c>
      <c r="S120" s="14" t="str" cm="1">
        <f t="array" ref="S120">INDEX('PS-ConceptMap-1'!$I$15:$N$273,Q120+1,R120)</f>
        <v>* group[=].element[=].target.display = ##34###34#</v>
      </c>
    </row>
    <row r="121" spans="16:19" x14ac:dyDescent="0.75">
      <c r="P121" s="9">
        <v>107</v>
      </c>
      <c r="Q121" s="9">
        <f t="shared" si="10"/>
        <v>17</v>
      </c>
      <c r="R121" s="9">
        <f t="shared" si="29"/>
        <v>5</v>
      </c>
      <c r="S121" s="14" t="str" cm="1">
        <f t="array" ref="S121">INDEX('PS-ConceptMap-1'!$I$15:$N$273,Q121+1,R121)</f>
        <v>* group[=].element[=].target.equivalence = #relatedto</v>
      </c>
    </row>
    <row r="122" spans="16:19" x14ac:dyDescent="0.75">
      <c r="P122" s="9">
        <v>108</v>
      </c>
      <c r="Q122" s="9">
        <f t="shared" si="10"/>
        <v>17</v>
      </c>
      <c r="R122" s="9">
        <f t="shared" si="29"/>
        <v>6</v>
      </c>
      <c r="S122" s="14" t="str" cm="1">
        <f t="array" ref="S122">INDEX('PS-ConceptMap-1'!$I$15:$N$273,Q122+1,R122)</f>
        <v/>
      </c>
    </row>
    <row r="123" spans="16:19" x14ac:dyDescent="0.75">
      <c r="P123" s="9">
        <v>109</v>
      </c>
      <c r="Q123" s="9">
        <f t="shared" si="10"/>
        <v>18</v>
      </c>
      <c r="R123" s="9">
        <f t="shared" si="29"/>
        <v>1</v>
      </c>
      <c r="S123" s="14" t="str" cm="1">
        <f t="array" ref="S123">INDEX('PS-ConceptMap-1'!$I$15:$N$273,Q123+1,R123)</f>
        <v>* group[=].element[+].code = #PatientSummary.body.alerts.alert.description</v>
      </c>
    </row>
    <row r="124" spans="16:19" x14ac:dyDescent="0.75">
      <c r="P124" s="9">
        <v>110</v>
      </c>
      <c r="Q124" s="9">
        <f t="shared" si="10"/>
        <v>18</v>
      </c>
      <c r="R124" s="9">
        <f t="shared" si="29"/>
        <v>2</v>
      </c>
      <c r="S124" s="14" t="str" cm="1">
        <f t="array" ref="S124">INDEX('PS-ConceptMap-1'!$I$15:$N$273,Q124+1,R124)</f>
        <v>* group[=].element[=].display = ##34#A.2.1.2.1 Healthcare alert description##34#</v>
      </c>
    </row>
    <row r="125" spans="16:19" ht="29.5" x14ac:dyDescent="0.75">
      <c r="P125" s="9">
        <v>111</v>
      </c>
      <c r="Q125" s="9">
        <f t="shared" si="10"/>
        <v>18</v>
      </c>
      <c r="R125" s="9">
        <f t="shared" si="29"/>
        <v>3</v>
      </c>
      <c r="S125" s="14" t="str" cm="1">
        <f t="array" ref="S125">INDEX('PS-ConceptMap-1'!$I$15:$N$273,Q125+1,R125)</f>
        <v>* group[=].element[=].target.code = #Composition.section:sectionAlert.entry.code.text</v>
      </c>
    </row>
    <row r="126" spans="16:19" x14ac:dyDescent="0.75">
      <c r="P126" s="9">
        <v>112</v>
      </c>
      <c r="Q126" s="9">
        <f t="shared" si="10"/>
        <v>18</v>
      </c>
      <c r="R126" s="9">
        <f t="shared" si="29"/>
        <v>4</v>
      </c>
      <c r="S126" s="14" t="str" cm="1">
        <f t="array" ref="S126">INDEX('PS-ConceptMap-1'!$I$15:$N$273,Q126+1,R126)</f>
        <v>* group[=].element[=].target.display = ##34###34#</v>
      </c>
    </row>
    <row r="127" spans="16:19" x14ac:dyDescent="0.75">
      <c r="P127" s="9">
        <v>113</v>
      </c>
      <c r="Q127" s="9">
        <f t="shared" si="10"/>
        <v>18</v>
      </c>
      <c r="R127" s="9">
        <f t="shared" si="29"/>
        <v>5</v>
      </c>
      <c r="S127" s="14" t="str" cm="1">
        <f t="array" ref="S127">INDEX('PS-ConceptMap-1'!$I$15:$N$273,Q127+1,R127)</f>
        <v>* group[=].element[=].target.equivalence = #relatedto</v>
      </c>
    </row>
    <row r="128" spans="16:19" x14ac:dyDescent="0.75">
      <c r="P128" s="9">
        <v>114</v>
      </c>
      <c r="Q128" s="9">
        <f t="shared" si="10"/>
        <v>18</v>
      </c>
      <c r="R128" s="9">
        <f t="shared" si="29"/>
        <v>6</v>
      </c>
      <c r="S128" s="14" t="str" cm="1">
        <f t="array" ref="S128">INDEX('PS-ConceptMap-1'!$I$15:$N$273,Q128+1,R128)</f>
        <v>* group[=].element[=].target.comment = ##34#entry of type Flag##34#</v>
      </c>
    </row>
    <row r="129" spans="16:19" x14ac:dyDescent="0.75">
      <c r="P129" s="9">
        <v>115</v>
      </c>
      <c r="Q129" s="9">
        <f t="shared" si="10"/>
        <v>19</v>
      </c>
      <c r="R129" s="9">
        <f t="shared" si="29"/>
        <v>1</v>
      </c>
      <c r="S129" s="14" t="str" cm="1">
        <f t="array" ref="S129">INDEX('PS-ConceptMap-1'!$I$15:$N$273,Q129+1,R129)</f>
        <v>* group[=].element[+].code = #PatientSummary.body.medicalHistory</v>
      </c>
    </row>
    <row r="130" spans="16:19" x14ac:dyDescent="0.75">
      <c r="P130" s="9">
        <v>116</v>
      </c>
      <c r="Q130" s="9">
        <f t="shared" si="10"/>
        <v>19</v>
      </c>
      <c r="R130" s="9">
        <f t="shared" si="29"/>
        <v>2</v>
      </c>
      <c r="S130" s="14" t="str" cm="1">
        <f t="array" ref="S130">INDEX('PS-ConceptMap-1'!$I$15:$N$273,Q130+1,R130)</f>
        <v>* group[=].element[=].display = ##34#A.2.2 Medical history##34#</v>
      </c>
    </row>
    <row r="131" spans="16:19" x14ac:dyDescent="0.75">
      <c r="P131" s="9">
        <v>117</v>
      </c>
      <c r="Q131" s="9">
        <f t="shared" si="10"/>
        <v>19</v>
      </c>
      <c r="R131" s="9">
        <f t="shared" si="29"/>
        <v>3</v>
      </c>
      <c r="S131" s="14" t="str" cm="1">
        <f t="array" ref="S131">INDEX('PS-ConceptMap-1'!$I$15:$N$273,Q131+1,R131)</f>
        <v>* group[=].element[=].target.code = #Composition.section</v>
      </c>
    </row>
    <row r="132" spans="16:19" x14ac:dyDescent="0.75">
      <c r="P132" s="9">
        <v>118</v>
      </c>
      <c r="Q132" s="9">
        <f t="shared" si="10"/>
        <v>19</v>
      </c>
      <c r="R132" s="9">
        <f t="shared" si="29"/>
        <v>4</v>
      </c>
      <c r="S132" s="14" t="str" cm="1">
        <f t="array" ref="S132">INDEX('PS-ConceptMap-1'!$I$15:$N$273,Q132+1,R132)</f>
        <v>* group[=].element[=].target.display = ##34###34#</v>
      </c>
    </row>
    <row r="133" spans="16:19" x14ac:dyDescent="0.75">
      <c r="P133" s="9">
        <v>119</v>
      </c>
      <c r="Q133" s="9">
        <f t="shared" si="10"/>
        <v>19</v>
      </c>
      <c r="R133" s="9">
        <f t="shared" si="29"/>
        <v>5</v>
      </c>
      <c r="S133" s="14" t="str" cm="1">
        <f t="array" ref="S133">INDEX('PS-ConceptMap-1'!$I$15:$N$273,Q133+1,R133)</f>
        <v>* group[=].element[=].target.equivalence = #relatedto</v>
      </c>
    </row>
    <row r="134" spans="16:19" x14ac:dyDescent="0.75">
      <c r="P134" s="9">
        <v>120</v>
      </c>
      <c r="Q134" s="9">
        <f t="shared" si="10"/>
        <v>19</v>
      </c>
      <c r="R134" s="9">
        <f t="shared" si="29"/>
        <v>6</v>
      </c>
      <c r="S134" s="14" t="str" cm="1">
        <f t="array" ref="S134">INDEX('PS-ConceptMap-1'!$I$15:$N$273,Q134+1,R134)</f>
        <v/>
      </c>
    </row>
    <row r="135" spans="16:19" x14ac:dyDescent="0.75">
      <c r="P135" s="9">
        <v>121</v>
      </c>
      <c r="Q135" s="9">
        <f t="shared" si="10"/>
        <v>20</v>
      </c>
      <c r="R135" s="9">
        <f t="shared" si="29"/>
        <v>1</v>
      </c>
      <c r="S135" s="14" t="str" cm="1">
        <f t="array" ref="S135">INDEX('PS-ConceptMap-1'!$I$15:$N$273,Q135+1,R135)</f>
        <v>* group[=].element[+].code = #PatientSummary.body.medicalHistory.vaccination</v>
      </c>
    </row>
    <row r="136" spans="16:19" ht="29.5" x14ac:dyDescent="0.75">
      <c r="P136" s="9">
        <v>122</v>
      </c>
      <c r="Q136" s="9">
        <f t="shared" si="10"/>
        <v>20</v>
      </c>
      <c r="R136" s="9">
        <f t="shared" si="29"/>
        <v>2</v>
      </c>
      <c r="S136" s="14" t="str" cm="1">
        <f t="array" ref="S136">INDEX('PS-ConceptMap-1'!$I$15:$N$273,Q136+1,R136)</f>
        <v>* group[=].element[=].display = ##34#A.2.2.1 Vaccination/ prophylaxis information##34#</v>
      </c>
    </row>
    <row r="137" spans="16:19" ht="29.5" x14ac:dyDescent="0.75">
      <c r="P137" s="9">
        <v>123</v>
      </c>
      <c r="Q137" s="9">
        <f t="shared" ref="Q137" si="31">IF(MOD(P137,$Q$8)=0,P137/$Q$8-1,INT(P137/$Q$8))</f>
        <v>20</v>
      </c>
      <c r="R137" s="9">
        <f t="shared" si="29"/>
        <v>3</v>
      </c>
      <c r="S137" s="14" t="str" cm="1">
        <f t="array" ref="S137">INDEX('PS-ConceptMap-1'!$I$15:$N$273,Q137+1,R137)</f>
        <v>* group[=].element[=].target.code = #Composition.section:sectionImmunizations.entry</v>
      </c>
    </row>
    <row r="138" spans="16:19" x14ac:dyDescent="0.75">
      <c r="P138" s="9">
        <v>124</v>
      </c>
      <c r="Q138" s="9">
        <f t="shared" si="10"/>
        <v>20</v>
      </c>
      <c r="R138" s="9">
        <f t="shared" si="29"/>
        <v>4</v>
      </c>
      <c r="S138" s="14" t="str" cm="1">
        <f t="array" ref="S138">INDEX('PS-ConceptMap-1'!$I$15:$N$273,Q138+1,R138)</f>
        <v>* group[=].element[=].target.display = ##34###34#</v>
      </c>
    </row>
    <row r="139" spans="16:19" x14ac:dyDescent="0.75">
      <c r="P139" s="9">
        <v>125</v>
      </c>
      <c r="Q139" s="9">
        <f t="shared" si="10"/>
        <v>20</v>
      </c>
      <c r="R139" s="9">
        <f t="shared" si="29"/>
        <v>5</v>
      </c>
      <c r="S139" s="14" t="str" cm="1">
        <f t="array" ref="S139">INDEX('PS-ConceptMap-1'!$I$15:$N$273,Q139+1,R139)</f>
        <v>* group[=].element[=].target.equivalence = #equivalent</v>
      </c>
    </row>
    <row r="140" spans="16:19" x14ac:dyDescent="0.75">
      <c r="P140" s="9">
        <v>126</v>
      </c>
      <c r="Q140" s="9">
        <f t="shared" si="10"/>
        <v>20</v>
      </c>
      <c r="R140" s="9">
        <f t="shared" si="29"/>
        <v>6</v>
      </c>
      <c r="S140" s="14" t="str" cm="1">
        <f t="array" ref="S140">INDEX('PS-ConceptMap-1'!$I$15:$N$273,Q140+1,R140)</f>
        <v/>
      </c>
    </row>
    <row r="141" spans="16:19" x14ac:dyDescent="0.75">
      <c r="P141" s="9">
        <v>127</v>
      </c>
      <c r="Q141" s="9">
        <f t="shared" ref="Q141" si="32">IF(MOD(P141,$Q$8)=0,P141/$Q$8-1,INT(P141/$Q$8))</f>
        <v>21</v>
      </c>
      <c r="R141" s="9">
        <f t="shared" si="29"/>
        <v>1</v>
      </c>
      <c r="S141" s="14" t="str" cm="1">
        <f t="array" ref="S141">INDEX('PS-ConceptMap-1'!$I$15:$N$273,Q141+1,R141)</f>
        <v>* group[=].element[+].code = #PatientSummary.body.medicalHistory.inactiveProblem</v>
      </c>
    </row>
    <row r="142" spans="16:19" ht="29.5" x14ac:dyDescent="0.75">
      <c r="P142" s="9">
        <v>128</v>
      </c>
      <c r="Q142" s="9">
        <f t="shared" si="10"/>
        <v>21</v>
      </c>
      <c r="R142" s="9">
        <f t="shared" si="29"/>
        <v>2</v>
      </c>
      <c r="S142" s="14" t="str" cm="1">
        <f t="array" ref="S142">INDEX('PS-ConceptMap-1'!$I$15:$N$273,Q142+1,R142)</f>
        <v>* group[=].element[=].display = ##34#A.2.2.2 Resolved, closed or inactive problems##34#</v>
      </c>
    </row>
    <row r="143" spans="16:19" x14ac:dyDescent="0.75">
      <c r="P143" s="9">
        <v>129</v>
      </c>
      <c r="Q143" s="9">
        <f t="shared" si="10"/>
        <v>21</v>
      </c>
      <c r="R143" s="9">
        <f t="shared" si="29"/>
        <v>3</v>
      </c>
      <c r="S143" s="14" t="str" cm="1">
        <f t="array" ref="S143">INDEX('PS-ConceptMap-1'!$I$15:$N$273,Q143+1,R143)</f>
        <v>* group[=].element[=].target.code = #Composition.section:sectionPastIllnessHx.entry</v>
      </c>
    </row>
    <row r="144" spans="16:19" x14ac:dyDescent="0.75">
      <c r="P144" s="9">
        <v>130</v>
      </c>
      <c r="Q144" s="9">
        <f t="shared" si="10"/>
        <v>21</v>
      </c>
      <c r="R144" s="9">
        <f t="shared" si="29"/>
        <v>4</v>
      </c>
      <c r="S144" s="14" t="str" cm="1">
        <f t="array" ref="S144">INDEX('PS-ConceptMap-1'!$I$15:$N$273,Q144+1,R144)</f>
        <v>* group[=].element[=].target.display = ##34###34#</v>
      </c>
    </row>
    <row r="145" spans="16:19" x14ac:dyDescent="0.75">
      <c r="P145" s="9">
        <v>131</v>
      </c>
      <c r="Q145" s="9">
        <f t="shared" si="10"/>
        <v>21</v>
      </c>
      <c r="R145" s="9">
        <f t="shared" si="29"/>
        <v>5</v>
      </c>
      <c r="S145" s="14" t="str" cm="1">
        <f t="array" ref="S145">INDEX('PS-ConceptMap-1'!$I$15:$N$273,Q145+1,R145)</f>
        <v>* group[=].element[=].target.equivalence = #equivalent</v>
      </c>
    </row>
    <row r="146" spans="16:19" x14ac:dyDescent="0.75">
      <c r="P146" s="9">
        <v>132</v>
      </c>
      <c r="Q146" s="9">
        <f t="shared" si="10"/>
        <v>21</v>
      </c>
      <c r="R146" s="9">
        <f t="shared" si="29"/>
        <v>6</v>
      </c>
      <c r="S146" s="14" t="str" cm="1">
        <f t="array" ref="S146">INDEX('PS-ConceptMap-1'!$I$15:$N$273,Q146+1,R146)</f>
        <v/>
      </c>
    </row>
    <row r="147" spans="16:19" x14ac:dyDescent="0.75">
      <c r="P147" s="9">
        <v>133</v>
      </c>
      <c r="Q147" s="9">
        <f t="shared" si="10"/>
        <v>22</v>
      </c>
      <c r="R147" s="9">
        <f t="shared" si="29"/>
        <v>1</v>
      </c>
      <c r="S147" s="14" t="str" cm="1">
        <f t="array" ref="S147">INDEX('PS-ConceptMap-1'!$I$15:$N$273,Q147+1,R147)</f>
        <v>* group[=].element[+].code = #PatientSummary.body.medicalHistory.anamnesis</v>
      </c>
    </row>
    <row r="148" spans="16:19" x14ac:dyDescent="0.75">
      <c r="P148" s="9">
        <v>134</v>
      </c>
      <c r="Q148" s="9">
        <f t="shared" si="10"/>
        <v>22</v>
      </c>
      <c r="R148" s="9">
        <f t="shared" si="29"/>
        <v>2</v>
      </c>
      <c r="S148" s="14" t="str" cm="1">
        <f t="array" ref="S148">INDEX('PS-ConceptMap-1'!$I$15:$N$273,Q148+1,R148)</f>
        <v>* group[=].element[=].display = ##34#A.2.2.3 Medical history##34#</v>
      </c>
    </row>
    <row r="149" spans="16:19" x14ac:dyDescent="0.75">
      <c r="P149" s="9">
        <v>135</v>
      </c>
      <c r="Q149" s="9">
        <f t="shared" si="10"/>
        <v>22</v>
      </c>
      <c r="R149" s="9">
        <f t="shared" si="29"/>
        <v>3</v>
      </c>
      <c r="S149" s="14" t="str" cm="1">
        <f t="array" ref="S149">INDEX('PS-ConceptMap-1'!$I$15:$N$273,Q149+1,R149)</f>
        <v>* group[=].element[=].target.code = #Composition</v>
      </c>
    </row>
    <row r="150" spans="16:19" x14ac:dyDescent="0.75">
      <c r="P150" s="9">
        <v>136</v>
      </c>
      <c r="Q150" s="9">
        <f t="shared" si="10"/>
        <v>22</v>
      </c>
      <c r="R150" s="9">
        <f t="shared" si="29"/>
        <v>4</v>
      </c>
      <c r="S150" s="14" t="str" cm="1">
        <f t="array" ref="S150">INDEX('PS-ConceptMap-1'!$I$15:$N$273,Q150+1,R150)</f>
        <v>* group[=].element[=].target.display = ##34###34#</v>
      </c>
    </row>
    <row r="151" spans="16:19" x14ac:dyDescent="0.75">
      <c r="P151" s="9">
        <v>137</v>
      </c>
      <c r="Q151" s="9">
        <f t="shared" si="10"/>
        <v>22</v>
      </c>
      <c r="R151" s="9">
        <f t="shared" si="29"/>
        <v>5</v>
      </c>
      <c r="S151" s="14" t="str" cm="1">
        <f t="array" ref="S151">INDEX('PS-ConceptMap-1'!$I$15:$N$273,Q151+1,R151)</f>
        <v>* group[=].element[=].target.equivalence = #relatedto</v>
      </c>
    </row>
    <row r="152" spans="16:19" x14ac:dyDescent="0.75">
      <c r="P152" s="9">
        <v>138</v>
      </c>
      <c r="Q152" s="9">
        <f t="shared" si="10"/>
        <v>22</v>
      </c>
      <c r="R152" s="9">
        <f t="shared" si="29"/>
        <v>6</v>
      </c>
      <c r="S152" s="14" t="str" cm="1">
        <f t="array" ref="S152">INDEX('PS-ConceptMap-1'!$I$15:$N$273,Q152+1,R152)</f>
        <v/>
      </c>
    </row>
    <row r="153" spans="16:19" x14ac:dyDescent="0.75">
      <c r="P153" s="9">
        <v>139</v>
      </c>
      <c r="Q153" s="9">
        <f t="shared" si="10"/>
        <v>23</v>
      </c>
      <c r="R153" s="9">
        <f t="shared" si="29"/>
        <v>1</v>
      </c>
      <c r="S153" s="14" t="str" cm="1">
        <f t="array" ref="S153">INDEX('PS-ConceptMap-1'!$I$15:$N$273,Q153+1,R153)</f>
        <v>* group[=].element[+].code = #PatientSummary.body.medicalHistory.medicalDevices</v>
      </c>
    </row>
    <row r="154" spans="16:19" x14ac:dyDescent="0.75">
      <c r="P154" s="9">
        <v>140</v>
      </c>
      <c r="Q154" s="9">
        <f t="shared" si="10"/>
        <v>23</v>
      </c>
      <c r="R154" s="9">
        <f t="shared" si="29"/>
        <v>2</v>
      </c>
      <c r="S154" s="14" t="str" cm="1">
        <f t="array" ref="S154">INDEX('PS-ConceptMap-1'!$I$15:$N$273,Q154+1,R154)</f>
        <v>* group[=].element[=].display = ##34#A.2.3.2 Medical devices and implants##34#</v>
      </c>
    </row>
    <row r="155" spans="16:19" x14ac:dyDescent="0.75">
      <c r="P155" s="9">
        <v>141</v>
      </c>
      <c r="Q155" s="9">
        <f t="shared" si="10"/>
        <v>23</v>
      </c>
      <c r="R155" s="9">
        <f t="shared" si="29"/>
        <v>3</v>
      </c>
      <c r="S155" s="14" t="str" cm="1">
        <f t="array" ref="S155">INDEX('PS-ConceptMap-1'!$I$15:$N$273,Q155+1,R155)</f>
        <v>* group[=].element[=].target.code = #Composition. section:sectionMedicalDevices</v>
      </c>
    </row>
    <row r="156" spans="16:19" x14ac:dyDescent="0.75">
      <c r="P156" s="9">
        <v>142</v>
      </c>
      <c r="Q156" s="9">
        <f t="shared" si="10"/>
        <v>23</v>
      </c>
      <c r="R156" s="9">
        <f t="shared" si="29"/>
        <v>4</v>
      </c>
      <c r="S156" s="14" t="str" cm="1">
        <f t="array" ref="S156">INDEX('PS-ConceptMap-1'!$I$15:$N$273,Q156+1,R156)</f>
        <v>* group[=].element[=].target.display = ##34###34#</v>
      </c>
    </row>
    <row r="157" spans="16:19" x14ac:dyDescent="0.75">
      <c r="P157" s="9">
        <v>143</v>
      </c>
      <c r="Q157" s="9">
        <f t="shared" si="10"/>
        <v>23</v>
      </c>
      <c r="R157" s="9">
        <f t="shared" si="29"/>
        <v>5</v>
      </c>
      <c r="S157" s="14" t="str" cm="1">
        <f t="array" ref="S157">INDEX('PS-ConceptMap-1'!$I$15:$N$273,Q157+1,R157)</f>
        <v>* group[=].element[=].target.equivalence = #equivalent</v>
      </c>
    </row>
    <row r="158" spans="16:19" x14ac:dyDescent="0.75">
      <c r="P158" s="9">
        <v>144</v>
      </c>
      <c r="Q158" s="9">
        <f t="shared" ref="Q158" si="33">IF(MOD(P158,$Q$8)=0,P158/$Q$8-1,INT(P158/$Q$8))</f>
        <v>23</v>
      </c>
      <c r="R158" s="9">
        <f t="shared" si="29"/>
        <v>6</v>
      </c>
      <c r="S158" s="14" t="str" cm="1">
        <f t="array" ref="S158">INDEX('PS-ConceptMap-1'!$I$15:$N$273,Q158+1,R158)</f>
        <v/>
      </c>
    </row>
    <row r="159" spans="16:19" x14ac:dyDescent="0.75">
      <c r="P159" s="9">
        <v>145</v>
      </c>
      <c r="Q159" s="9">
        <f t="shared" si="10"/>
        <v>24</v>
      </c>
      <c r="R159" s="9">
        <f t="shared" si="29"/>
        <v>1</v>
      </c>
      <c r="S159" s="14" t="str" cm="1">
        <f t="array" ref="S159">INDEX('PS-ConceptMap-1'!$I$15:$N$273,Q159+1,R159)</f>
        <v>* group[=].element[+].code = #PatientSummary.body.medicalHistory.procedures</v>
      </c>
    </row>
    <row r="160" spans="16:19" x14ac:dyDescent="0.75">
      <c r="P160" s="9">
        <v>146</v>
      </c>
      <c r="Q160" s="9">
        <f t="shared" si="10"/>
        <v>24</v>
      </c>
      <c r="R160" s="9">
        <f t="shared" si="29"/>
        <v>2</v>
      </c>
      <c r="S160" s="14" t="str" cm="1">
        <f t="array" ref="S160">INDEX('PS-ConceptMap-1'!$I$15:$N$273,Q160+1,R160)</f>
        <v>* group[=].element[=].display = ##34#A.2.3.3 Procedures##34#</v>
      </c>
    </row>
    <row r="161" spans="16:19" x14ac:dyDescent="0.75">
      <c r="P161" s="9">
        <v>147</v>
      </c>
      <c r="Q161" s="9">
        <f t="shared" si="10"/>
        <v>24</v>
      </c>
      <c r="R161" s="9">
        <f t="shared" si="29"/>
        <v>3</v>
      </c>
      <c r="S161" s="14" t="str" cm="1">
        <f t="array" ref="S161">INDEX('PS-ConceptMap-1'!$I$15:$N$273,Q161+1,R161)</f>
        <v>* group[=].element[=].target.code = #Composition.section:sectionProceduresHx</v>
      </c>
    </row>
    <row r="162" spans="16:19" x14ac:dyDescent="0.75">
      <c r="P162" s="9">
        <v>148</v>
      </c>
      <c r="Q162" s="9">
        <f t="shared" ref="Q162" si="34">IF(MOD(P162,$Q$8)=0,P162/$Q$8-1,INT(P162/$Q$8))</f>
        <v>24</v>
      </c>
      <c r="R162" s="9">
        <f t="shared" si="29"/>
        <v>4</v>
      </c>
      <c r="S162" s="14" t="str" cm="1">
        <f t="array" ref="S162">INDEX('PS-ConceptMap-1'!$I$15:$N$273,Q162+1,R162)</f>
        <v>* group[=].element[=].target.display = ##34###34#</v>
      </c>
    </row>
    <row r="163" spans="16:19" x14ac:dyDescent="0.75">
      <c r="P163" s="9">
        <v>149</v>
      </c>
      <c r="Q163" s="9">
        <f t="shared" si="10"/>
        <v>24</v>
      </c>
      <c r="R163" s="9">
        <f t="shared" si="29"/>
        <v>5</v>
      </c>
      <c r="S163" s="14" t="str" cm="1">
        <f t="array" ref="S163">INDEX('PS-ConceptMap-1'!$I$15:$N$273,Q163+1,R163)</f>
        <v>* group[=].element[=].target.equivalence = #equivalent</v>
      </c>
    </row>
    <row r="164" spans="16:19" x14ac:dyDescent="0.75">
      <c r="P164" s="9">
        <v>150</v>
      </c>
      <c r="Q164" s="9">
        <f t="shared" si="10"/>
        <v>24</v>
      </c>
      <c r="R164" s="9">
        <f t="shared" si="29"/>
        <v>6</v>
      </c>
      <c r="S164" s="14" t="str" cm="1">
        <f t="array" ref="S164">INDEX('PS-ConceptMap-1'!$I$15:$N$273,Q164+1,R164)</f>
        <v/>
      </c>
    </row>
    <row r="165" spans="16:19" x14ac:dyDescent="0.75">
      <c r="P165" s="9">
        <v>151</v>
      </c>
      <c r="Q165" s="9">
        <f t="shared" si="10"/>
        <v>25</v>
      </c>
      <c r="R165" s="9">
        <f t="shared" si="29"/>
        <v>1</v>
      </c>
      <c r="S165" s="14" t="str" cm="1">
        <f t="array" ref="S165">INDEX('PS-ConceptMap-1'!$I$15:$N$273,Q165+1,R165)</f>
        <v>* group[=].element[+].code = #PatientSummary.body.medicalHistory.functionalStatus</v>
      </c>
    </row>
    <row r="166" spans="16:19" x14ac:dyDescent="0.75">
      <c r="P166" s="9">
        <v>152</v>
      </c>
      <c r="Q166" s="9">
        <f t="shared" si="10"/>
        <v>25</v>
      </c>
      <c r="R166" s="9">
        <f t="shared" si="29"/>
        <v>2</v>
      </c>
      <c r="S166" s="14" t="str" cm="1">
        <f t="array" ref="S166">INDEX('PS-ConceptMap-1'!$I$15:$N$273,Q166+1,R166)</f>
        <v>* group[=].element[=].display = ##34#A.2.3.4 Functional status##34#</v>
      </c>
    </row>
    <row r="167" spans="16:19" x14ac:dyDescent="0.75">
      <c r="P167" s="9">
        <v>153</v>
      </c>
      <c r="Q167" s="9">
        <f t="shared" si="10"/>
        <v>25</v>
      </c>
      <c r="R167" s="9">
        <f t="shared" si="29"/>
        <v>3</v>
      </c>
      <c r="S167" s="14" t="str" cm="1">
        <f t="array" ref="S167">INDEX('PS-ConceptMap-1'!$I$15:$N$273,Q167+1,R167)</f>
        <v>* group[=].element[=].target.code = #Composition.section:sectionFunctionalStatus</v>
      </c>
    </row>
    <row r="168" spans="16:19" x14ac:dyDescent="0.75">
      <c r="P168" s="9">
        <v>154</v>
      </c>
      <c r="Q168" s="9">
        <f t="shared" si="10"/>
        <v>25</v>
      </c>
      <c r="R168" s="9">
        <f t="shared" si="29"/>
        <v>4</v>
      </c>
      <c r="S168" s="14" t="str" cm="1">
        <f t="array" ref="S168">INDEX('PS-ConceptMap-1'!$I$15:$N$273,Q168+1,R168)</f>
        <v>* group[=].element[=].target.display = ##34###34#</v>
      </c>
    </row>
    <row r="169" spans="16:19" x14ac:dyDescent="0.75">
      <c r="P169" s="9">
        <v>155</v>
      </c>
      <c r="Q169" s="9">
        <f t="shared" si="10"/>
        <v>25</v>
      </c>
      <c r="R169" s="9">
        <f t="shared" si="29"/>
        <v>5</v>
      </c>
      <c r="S169" s="14" t="str" cm="1">
        <f t="array" ref="S169">INDEX('PS-ConceptMap-1'!$I$15:$N$273,Q169+1,R169)</f>
        <v>* group[=].element[=].target.equivalence = #equivalent</v>
      </c>
    </row>
    <row r="170" spans="16:19" x14ac:dyDescent="0.75">
      <c r="P170" s="9">
        <v>156</v>
      </c>
      <c r="Q170" s="9">
        <f t="shared" si="10"/>
        <v>25</v>
      </c>
      <c r="R170" s="9">
        <f t="shared" si="29"/>
        <v>6</v>
      </c>
      <c r="S170" s="14" t="str" cm="1">
        <f t="array" ref="S170">INDEX('PS-ConceptMap-1'!$I$15:$N$273,Q170+1,R170)</f>
        <v/>
      </c>
    </row>
    <row r="171" spans="16:19" x14ac:dyDescent="0.75">
      <c r="P171" s="9">
        <v>157</v>
      </c>
      <c r="Q171" s="9">
        <f t="shared" si="10"/>
        <v>26</v>
      </c>
      <c r="R171" s="9">
        <f t="shared" si="29"/>
        <v>1</v>
      </c>
      <c r="S171" s="14" t="str" cm="1">
        <f t="array" ref="S171">INDEX('PS-ConceptMap-1'!$I$15:$N$273,Q171+1,R171)</f>
        <v>* group[=].element[+].code = #PatientSummary.body.medicationSummary</v>
      </c>
    </row>
    <row r="172" spans="16:19" x14ac:dyDescent="0.75">
      <c r="P172" s="9">
        <v>158</v>
      </c>
      <c r="Q172" s="9">
        <f t="shared" si="10"/>
        <v>26</v>
      </c>
      <c r="R172" s="9">
        <f t="shared" si="29"/>
        <v>2</v>
      </c>
      <c r="S172" s="14" t="str" cm="1">
        <f t="array" ref="S172">INDEX('PS-ConceptMap-1'!$I$15:$N$273,Q172+1,R172)</f>
        <v>* group[=].element[=].display = ##34#A.2.4 Medication summary##34#</v>
      </c>
    </row>
    <row r="173" spans="16:19" x14ac:dyDescent="0.75">
      <c r="P173" s="9">
        <v>159</v>
      </c>
      <c r="Q173" s="9">
        <f t="shared" si="10"/>
        <v>26</v>
      </c>
      <c r="R173" s="9">
        <f t="shared" si="29"/>
        <v>3</v>
      </c>
      <c r="S173" s="14" t="str" cm="1">
        <f t="array" ref="S173">INDEX('PS-ConceptMap-1'!$I$15:$N$273,Q173+1,R173)</f>
        <v>* group[=].element[=].target.code = #Composition.section:sectionMedications</v>
      </c>
    </row>
    <row r="174" spans="16:19" x14ac:dyDescent="0.75">
      <c r="P174" s="9">
        <v>160</v>
      </c>
      <c r="Q174" s="9">
        <f t="shared" si="10"/>
        <v>26</v>
      </c>
      <c r="R174" s="9">
        <f t="shared" si="29"/>
        <v>4</v>
      </c>
      <c r="S174" s="14" t="str" cm="1">
        <f t="array" ref="S174">INDEX('PS-ConceptMap-1'!$I$15:$N$273,Q174+1,R174)</f>
        <v>* group[=].element[=].target.display = ##34###34#</v>
      </c>
    </row>
    <row r="175" spans="16:19" x14ac:dyDescent="0.75">
      <c r="P175" s="9">
        <v>161</v>
      </c>
      <c r="Q175" s="9">
        <f t="shared" si="10"/>
        <v>26</v>
      </c>
      <c r="R175" s="9">
        <f t="shared" si="29"/>
        <v>5</v>
      </c>
      <c r="S175" s="14" t="str" cm="1">
        <f t="array" ref="S175">INDEX('PS-ConceptMap-1'!$I$15:$N$273,Q175+1,R175)</f>
        <v>* group[=].element[=].target.equivalence = #equivalent</v>
      </c>
    </row>
    <row r="176" spans="16:19" x14ac:dyDescent="0.75">
      <c r="P176" s="9">
        <v>162</v>
      </c>
      <c r="Q176" s="9">
        <f t="shared" si="10"/>
        <v>26</v>
      </c>
      <c r="R176" s="9">
        <f t="shared" si="29"/>
        <v>6</v>
      </c>
      <c r="S176" s="14" t="str" cm="1">
        <f t="array" ref="S176">INDEX('PS-ConceptMap-1'!$I$15:$N$273,Q176+1,R176)</f>
        <v/>
      </c>
    </row>
    <row r="177" spans="16:19" x14ac:dyDescent="0.75">
      <c r="P177" s="9">
        <v>163</v>
      </c>
      <c r="Q177" s="9">
        <f t="shared" si="10"/>
        <v>27</v>
      </c>
      <c r="R177" s="9">
        <f t="shared" si="29"/>
        <v>1</v>
      </c>
      <c r="S177" s="14" t="str" cm="1">
        <f t="array" ref="S177">INDEX('PS-ConceptMap-1'!$I$15:$N$273,Q177+1,R177)</f>
        <v>* group[=].element[+].code = #PatientSummary.body.socialHistory</v>
      </c>
    </row>
    <row r="178" spans="16:19" x14ac:dyDescent="0.75">
      <c r="P178" s="9">
        <v>164</v>
      </c>
      <c r="Q178" s="9">
        <f t="shared" si="10"/>
        <v>27</v>
      </c>
      <c r="R178" s="9">
        <f t="shared" si="29"/>
        <v>2</v>
      </c>
      <c r="S178" s="14" t="str" cm="1">
        <f t="array" ref="S178">INDEX('PS-ConceptMap-1'!$I$15:$N$273,Q178+1,R178)</f>
        <v>* group[=].element[=].display = ##34#A.2.5 Social history##34#</v>
      </c>
    </row>
    <row r="179" spans="16:19" x14ac:dyDescent="0.75">
      <c r="P179" s="9">
        <v>165</v>
      </c>
      <c r="Q179" s="9">
        <f t="shared" ref="Q179" si="35">IF(MOD(P179,$Q$8)=0,P179/$Q$8-1,INT(P179/$Q$8))</f>
        <v>27</v>
      </c>
      <c r="R179" s="9">
        <f t="shared" si="29"/>
        <v>3</v>
      </c>
      <c r="S179" s="14" t="str" cm="1">
        <f t="array" ref="S179">INDEX('PS-ConceptMap-1'!$I$15:$N$273,Q179+1,R179)</f>
        <v>* group[=].element[=].target.code = #Composition.section:sectionSocialHistory</v>
      </c>
    </row>
    <row r="180" spans="16:19" x14ac:dyDescent="0.75">
      <c r="P180" s="9">
        <v>166</v>
      </c>
      <c r="Q180" s="9">
        <f t="shared" si="10"/>
        <v>27</v>
      </c>
      <c r="R180" s="9">
        <f t="shared" si="29"/>
        <v>4</v>
      </c>
      <c r="S180" s="14" t="str" cm="1">
        <f t="array" ref="S180">INDEX('PS-ConceptMap-1'!$I$15:$N$273,Q180+1,R180)</f>
        <v>* group[=].element[=].target.display = ##34###34#</v>
      </c>
    </row>
    <row r="181" spans="16:19" x14ac:dyDescent="0.75">
      <c r="P181" s="9">
        <v>167</v>
      </c>
      <c r="Q181" s="9">
        <f t="shared" si="10"/>
        <v>27</v>
      </c>
      <c r="R181" s="9">
        <f t="shared" si="29"/>
        <v>5</v>
      </c>
      <c r="S181" s="14" t="str" cm="1">
        <f t="array" ref="S181">INDEX('PS-ConceptMap-1'!$I$15:$N$273,Q181+1,R181)</f>
        <v>* group[=].element[=].target.equivalence = #equivalent</v>
      </c>
    </row>
    <row r="182" spans="16:19" x14ac:dyDescent="0.75">
      <c r="P182" s="9">
        <v>168</v>
      </c>
      <c r="Q182" s="9">
        <f t="shared" si="10"/>
        <v>27</v>
      </c>
      <c r="R182" s="9">
        <f t="shared" ref="R182:R212" si="36">IF(MOD(P182,$Q$8)=0,$Q$8,MOD(P182,$Q$8))</f>
        <v>6</v>
      </c>
      <c r="S182" s="14" t="str" cm="1">
        <f t="array" ref="S182">INDEX('PS-ConceptMap-1'!$I$15:$N$273,Q182+1,R182)</f>
        <v/>
      </c>
    </row>
    <row r="183" spans="16:19" x14ac:dyDescent="0.75">
      <c r="P183" s="9">
        <v>169</v>
      </c>
      <c r="Q183" s="9">
        <f t="shared" ref="Q183" si="37">IF(MOD(P183,$Q$8)=0,P183/$Q$8-1,INT(P183/$Q$8))</f>
        <v>28</v>
      </c>
      <c r="R183" s="9">
        <f t="shared" si="36"/>
        <v>1</v>
      </c>
      <c r="S183" s="14" t="str" cm="1">
        <f t="array" ref="S183">INDEX('PS-ConceptMap-1'!$I$15:$N$273,Q183+1,R183)</f>
        <v>* group[=].element[+].code = #PatientSummary.body.pregnancyHistory</v>
      </c>
    </row>
    <row r="184" spans="16:19" x14ac:dyDescent="0.75">
      <c r="P184" s="9">
        <v>170</v>
      </c>
      <c r="Q184" s="9">
        <f t="shared" si="10"/>
        <v>28</v>
      </c>
      <c r="R184" s="9">
        <f t="shared" si="36"/>
        <v>2</v>
      </c>
      <c r="S184" s="14" t="str" cm="1">
        <f t="array" ref="S184">INDEX('PS-ConceptMap-1'!$I$15:$N$273,Q184+1,R184)</f>
        <v>* group[=].element[=].display = ##34#A.2.6 Pregnancy history##34#</v>
      </c>
    </row>
    <row r="185" spans="16:19" x14ac:dyDescent="0.75">
      <c r="P185" s="9">
        <v>171</v>
      </c>
      <c r="Q185" s="9">
        <f t="shared" si="10"/>
        <v>28</v>
      </c>
      <c r="R185" s="9">
        <f t="shared" si="36"/>
        <v>3</v>
      </c>
      <c r="S185" s="14" t="str" cm="1">
        <f t="array" ref="S185">INDEX('PS-ConceptMap-1'!$I$15:$N$273,Q185+1,R185)</f>
        <v>* group[=].element[=].target.code = #Composition.section:sectionPregnancyHx</v>
      </c>
    </row>
    <row r="186" spans="16:19" x14ac:dyDescent="0.75">
      <c r="P186" s="9">
        <v>172</v>
      </c>
      <c r="Q186" s="9">
        <f t="shared" si="10"/>
        <v>28</v>
      </c>
      <c r="R186" s="9">
        <f t="shared" si="36"/>
        <v>4</v>
      </c>
      <c r="S186" s="14" t="str" cm="1">
        <f t="array" ref="S186">INDEX('PS-ConceptMap-1'!$I$15:$N$273,Q186+1,R186)</f>
        <v>* group[=].element[=].target.display = ##34###34#</v>
      </c>
    </row>
    <row r="187" spans="16:19" x14ac:dyDescent="0.75">
      <c r="P187" s="9">
        <v>173</v>
      </c>
      <c r="Q187" s="9">
        <f t="shared" si="10"/>
        <v>28</v>
      </c>
      <c r="R187" s="9">
        <f t="shared" si="36"/>
        <v>5</v>
      </c>
      <c r="S187" s="14" t="str" cm="1">
        <f t="array" ref="S187">INDEX('PS-ConceptMap-1'!$I$15:$N$273,Q187+1,R187)</f>
        <v>* group[=].element[=].target.equivalence = #equivalent</v>
      </c>
    </row>
    <row r="188" spans="16:19" x14ac:dyDescent="0.75">
      <c r="P188" s="9">
        <v>174</v>
      </c>
      <c r="Q188" s="9">
        <f t="shared" si="10"/>
        <v>28</v>
      </c>
      <c r="R188" s="9">
        <f t="shared" si="36"/>
        <v>6</v>
      </c>
      <c r="S188" s="14" t="str" cm="1">
        <f t="array" ref="S188">INDEX('PS-ConceptMap-1'!$I$15:$N$273,Q188+1,R188)</f>
        <v/>
      </c>
    </row>
    <row r="189" spans="16:19" x14ac:dyDescent="0.75">
      <c r="P189" s="9">
        <v>175</v>
      </c>
      <c r="Q189" s="9">
        <f t="shared" si="10"/>
        <v>29</v>
      </c>
      <c r="R189" s="9">
        <f t="shared" si="36"/>
        <v>1</v>
      </c>
      <c r="S189" s="14" t="str" cm="1">
        <f t="array" ref="S189">INDEX('PS-ConceptMap-1'!$I$15:$N$273,Q189+1,R189)</f>
        <v>* group[=].element[+].code = #PatientSummary.body.patientData</v>
      </c>
    </row>
    <row r="190" spans="16:19" x14ac:dyDescent="0.75">
      <c r="P190" s="9">
        <v>176</v>
      </c>
      <c r="Q190" s="9">
        <f t="shared" si="10"/>
        <v>29</v>
      </c>
      <c r="R190" s="9">
        <f t="shared" si="36"/>
        <v>2</v>
      </c>
      <c r="S190" s="14" t="str" cm="1">
        <f t="array" ref="S190">INDEX('PS-ConceptMap-1'!$I$15:$N$273,Q190+1,R190)</f>
        <v>* group[=].element[=].display = ##34#A.2.7 Patient provided data##34#</v>
      </c>
    </row>
    <row r="191" spans="16:19" x14ac:dyDescent="0.75">
      <c r="P191" s="9">
        <v>177</v>
      </c>
      <c r="Q191" s="9">
        <f t="shared" si="10"/>
        <v>29</v>
      </c>
      <c r="R191" s="9">
        <f t="shared" si="36"/>
        <v>3</v>
      </c>
      <c r="S191" s="14" t="str" cm="1">
        <f t="array" ref="S191">INDEX('PS-ConceptMap-1'!$I$15:$N$273,Q191+1,R191)</f>
        <v>* group[=].element[=].target.code = #Composition.section</v>
      </c>
    </row>
    <row r="192" spans="16:19" x14ac:dyDescent="0.75">
      <c r="P192" s="9">
        <v>178</v>
      </c>
      <c r="Q192" s="9">
        <f t="shared" si="10"/>
        <v>29</v>
      </c>
      <c r="R192" s="9">
        <f t="shared" si="36"/>
        <v>4</v>
      </c>
      <c r="S192" s="14" t="str" cm="1">
        <f t="array" ref="S192">INDEX('PS-ConceptMap-1'!$I$15:$N$273,Q192+1,R192)</f>
        <v>* group[=].element[=].target.display = ##34###34#</v>
      </c>
    </row>
    <row r="193" spans="16:19" x14ac:dyDescent="0.75">
      <c r="P193" s="9">
        <v>179</v>
      </c>
      <c r="Q193" s="9">
        <f t="shared" si="10"/>
        <v>29</v>
      </c>
      <c r="R193" s="9">
        <f t="shared" si="36"/>
        <v>5</v>
      </c>
      <c r="S193" s="14" t="str" cm="1">
        <f t="array" ref="S193">INDEX('PS-ConceptMap-1'!$I$15:$N$273,Q193+1,R193)</f>
        <v>* group[=].element[=].target.equivalence = #relatedto</v>
      </c>
    </row>
    <row r="194" spans="16:19" x14ac:dyDescent="0.75">
      <c r="P194" s="9">
        <v>180</v>
      </c>
      <c r="Q194" s="9">
        <f t="shared" si="10"/>
        <v>29</v>
      </c>
      <c r="R194" s="9">
        <f t="shared" si="36"/>
        <v>6</v>
      </c>
      <c r="S194" s="14" t="str" cm="1">
        <f t="array" ref="S194">INDEX('PS-ConceptMap-1'!$I$15:$N$273,Q194+1,R194)</f>
        <v/>
      </c>
    </row>
    <row r="195" spans="16:19" x14ac:dyDescent="0.75">
      <c r="P195" s="9">
        <v>181</v>
      </c>
      <c r="Q195" s="9">
        <f t="shared" si="10"/>
        <v>30</v>
      </c>
      <c r="R195" s="9">
        <f t="shared" si="36"/>
        <v>1</v>
      </c>
      <c r="S195" s="14" t="str" cm="1">
        <f t="array" ref="S195">INDEX('PS-ConceptMap-1'!$I$15:$N$273,Q195+1,R195)</f>
        <v>* group[=].element[+].code = #PatientSummary.body.patientData.travelHistory</v>
      </c>
    </row>
    <row r="196" spans="16:19" x14ac:dyDescent="0.75">
      <c r="P196" s="9">
        <v>182</v>
      </c>
      <c r="Q196" s="9">
        <f t="shared" si="10"/>
        <v>30</v>
      </c>
      <c r="R196" s="9">
        <f t="shared" si="36"/>
        <v>2</v>
      </c>
      <c r="S196" s="14" t="str" cm="1">
        <f t="array" ref="S196">INDEX('PS-ConceptMap-1'!$I$15:$N$273,Q196+1,R196)</f>
        <v>* group[=].element[=].display = ##34#A.2.7.1 Travel history##34#</v>
      </c>
    </row>
    <row r="197" spans="16:19" x14ac:dyDescent="0.75">
      <c r="P197" s="9">
        <v>183</v>
      </c>
      <c r="Q197" s="9">
        <f t="shared" si="10"/>
        <v>30</v>
      </c>
      <c r="R197" s="9">
        <f t="shared" si="36"/>
        <v>3</v>
      </c>
      <c r="S197" s="14" t="str" cm="1">
        <f t="array" ref="S197">INDEX('PS-ConceptMap-1'!$I$15:$N$273,Q197+1,R197)</f>
        <v>* group[=].element[=].target.code = #Composition.section:sectionTravelHx</v>
      </c>
    </row>
    <row r="198" spans="16:19" x14ac:dyDescent="0.75">
      <c r="P198" s="9">
        <v>184</v>
      </c>
      <c r="Q198" s="9">
        <f t="shared" si="10"/>
        <v>30</v>
      </c>
      <c r="R198" s="9">
        <f t="shared" si="36"/>
        <v>4</v>
      </c>
      <c r="S198" s="14" t="str" cm="1">
        <f t="array" ref="S198">INDEX('PS-ConceptMap-1'!$I$15:$N$273,Q198+1,R198)</f>
        <v>* group[=].element[=].target.display = ##34###34#</v>
      </c>
    </row>
    <row r="199" spans="16:19" x14ac:dyDescent="0.75">
      <c r="P199" s="9">
        <v>185</v>
      </c>
      <c r="Q199" s="9">
        <f t="shared" si="10"/>
        <v>30</v>
      </c>
      <c r="R199" s="9">
        <f t="shared" si="36"/>
        <v>5</v>
      </c>
      <c r="S199" s="14" t="str" cm="1">
        <f t="array" ref="S199">INDEX('PS-ConceptMap-1'!$I$15:$N$273,Q199+1,R199)</f>
        <v>* group[=].element[=].target.equivalence = #relatedto</v>
      </c>
    </row>
    <row r="200" spans="16:19" x14ac:dyDescent="0.75">
      <c r="P200" s="9">
        <v>186</v>
      </c>
      <c r="Q200" s="9">
        <f t="shared" ref="Q200" si="38">IF(MOD(P200,$Q$8)=0,P200/$Q$8-1,INT(P200/$Q$8))</f>
        <v>30</v>
      </c>
      <c r="R200" s="9">
        <f t="shared" si="36"/>
        <v>6</v>
      </c>
      <c r="S200" s="14" t="str" cm="1">
        <f t="array" ref="S200">INDEX('PS-ConceptMap-1'!$I$15:$N$273,Q200+1,R200)</f>
        <v/>
      </c>
    </row>
    <row r="201" spans="16:19" x14ac:dyDescent="0.75">
      <c r="P201" s="9">
        <v>187</v>
      </c>
      <c r="Q201" s="9">
        <f t="shared" si="10"/>
        <v>31</v>
      </c>
      <c r="R201" s="9">
        <f t="shared" si="36"/>
        <v>1</v>
      </c>
      <c r="S201" s="14" t="str" cm="1">
        <f t="array" ref="S201">INDEX('PS-ConceptMap-1'!$I$15:$N$273,Q201+1,R201)</f>
        <v>* group[=].element[+].code = #PatientSummary.body.patientData.advanceDirective</v>
      </c>
    </row>
    <row r="202" spans="16:19" x14ac:dyDescent="0.75">
      <c r="P202" s="9">
        <v>188</v>
      </c>
      <c r="Q202" s="9">
        <f t="shared" si="10"/>
        <v>31</v>
      </c>
      <c r="R202" s="9">
        <f t="shared" si="36"/>
        <v>2</v>
      </c>
      <c r="S202" s="14" t="str" cm="1">
        <f t="array" ref="S202">INDEX('PS-ConceptMap-1'!$I$15:$N$273,Q202+1,R202)</f>
        <v>* group[=].element[=].display = ##34#A.2.7.2 Advance Directive##34#</v>
      </c>
    </row>
    <row r="203" spans="16:19" x14ac:dyDescent="0.75">
      <c r="P203" s="9">
        <v>189</v>
      </c>
      <c r="Q203" s="9">
        <f t="shared" si="10"/>
        <v>31</v>
      </c>
      <c r="R203" s="9">
        <f t="shared" si="36"/>
        <v>3</v>
      </c>
      <c r="S203" s="14" t="str" cm="1">
        <f t="array" ref="S203">INDEX('PS-ConceptMap-1'!$I$15:$N$273,Q203+1,R203)</f>
        <v>* group[=].element[=].target.code = #Composition.section:sectionAdvanceDirectives</v>
      </c>
    </row>
    <row r="204" spans="16:19" x14ac:dyDescent="0.75">
      <c r="P204" s="9">
        <v>190</v>
      </c>
      <c r="Q204" s="9">
        <f t="shared" ref="Q204" si="39">IF(MOD(P204,$Q$8)=0,P204/$Q$8-1,INT(P204/$Q$8))</f>
        <v>31</v>
      </c>
      <c r="R204" s="9">
        <f t="shared" si="36"/>
        <v>4</v>
      </c>
      <c r="S204" s="14" t="str" cm="1">
        <f t="array" ref="S204">INDEX('PS-ConceptMap-1'!$I$15:$N$273,Q204+1,R204)</f>
        <v>* group[=].element[=].target.display = ##34###34#</v>
      </c>
    </row>
    <row r="205" spans="16:19" x14ac:dyDescent="0.75">
      <c r="P205" s="9">
        <v>191</v>
      </c>
      <c r="Q205" s="9">
        <f t="shared" si="10"/>
        <v>31</v>
      </c>
      <c r="R205" s="9">
        <f t="shared" si="36"/>
        <v>5</v>
      </c>
      <c r="S205" s="14" t="str" cm="1">
        <f t="array" ref="S205">INDEX('PS-ConceptMap-1'!$I$15:$N$273,Q205+1,R205)</f>
        <v>* group[=].element[=].target.equivalence = #equivalent</v>
      </c>
    </row>
    <row r="206" spans="16:19" x14ac:dyDescent="0.75">
      <c r="P206" s="9">
        <v>192</v>
      </c>
      <c r="Q206" s="9">
        <f t="shared" si="10"/>
        <v>31</v>
      </c>
      <c r="R206" s="9">
        <f t="shared" si="36"/>
        <v>6</v>
      </c>
      <c r="S206" s="14" t="str" cm="1">
        <f t="array" ref="S206">INDEX('PS-ConceptMap-1'!$I$15:$N$273,Q206+1,R206)</f>
        <v/>
      </c>
    </row>
    <row r="207" spans="16:19" x14ac:dyDescent="0.75">
      <c r="P207" s="9">
        <v>193</v>
      </c>
      <c r="Q207" s="9">
        <f t="shared" si="10"/>
        <v>32</v>
      </c>
      <c r="R207" s="9">
        <f t="shared" si="36"/>
        <v>1</v>
      </c>
      <c r="S207" s="14" t="str" cm="1">
        <f t="array" ref="S207">INDEX('PS-ConceptMap-1'!$I$15:$N$273,Q207+1,R207)</f>
        <v>* group[=].element[+].code = #PatientSummary.body.results</v>
      </c>
    </row>
    <row r="208" spans="16:19" x14ac:dyDescent="0.75">
      <c r="P208" s="9">
        <v>194</v>
      </c>
      <c r="Q208" s="9">
        <f t="shared" si="10"/>
        <v>32</v>
      </c>
      <c r="R208" s="9">
        <f t="shared" si="36"/>
        <v>2</v>
      </c>
      <c r="S208" s="14" t="str" cm="1">
        <f t="array" ref="S208">INDEX('PS-ConceptMap-1'!$I$15:$N$273,Q208+1,R208)</f>
        <v>* group[=].element[=].display = ##34#A.2.8 Results##34#</v>
      </c>
    </row>
    <row r="209" spans="16:19" x14ac:dyDescent="0.75">
      <c r="P209" s="9">
        <v>195</v>
      </c>
      <c r="Q209" s="9">
        <f t="shared" si="10"/>
        <v>32</v>
      </c>
      <c r="R209" s="9">
        <f t="shared" si="36"/>
        <v>3</v>
      </c>
      <c r="S209" s="14" t="str" cm="1">
        <f t="array" ref="S209">INDEX('PS-ConceptMap-1'!$I$15:$N$273,Q209+1,R209)</f>
        <v>* group[=].element[=].target.code = #Composition.section:sectionResults</v>
      </c>
    </row>
    <row r="210" spans="16:19" x14ac:dyDescent="0.75">
      <c r="P210" s="9">
        <v>196</v>
      </c>
      <c r="Q210" s="9">
        <f t="shared" si="10"/>
        <v>32</v>
      </c>
      <c r="R210" s="9">
        <f t="shared" si="36"/>
        <v>4</v>
      </c>
      <c r="S210" s="14" t="str" cm="1">
        <f t="array" ref="S210">INDEX('PS-ConceptMap-1'!$I$15:$N$273,Q210+1,R210)</f>
        <v>* group[=].element[=].target.display = ##34###34#</v>
      </c>
    </row>
    <row r="211" spans="16:19" x14ac:dyDescent="0.75">
      <c r="P211" s="9">
        <v>197</v>
      </c>
      <c r="Q211" s="9">
        <f t="shared" si="10"/>
        <v>32</v>
      </c>
      <c r="R211" s="9">
        <f t="shared" si="36"/>
        <v>5</v>
      </c>
      <c r="S211" s="14" t="str" cm="1">
        <f t="array" ref="S211">INDEX('PS-ConceptMap-1'!$I$15:$N$273,Q211+1,R211)</f>
        <v>* group[=].element[=].target.equivalence = #equivalent</v>
      </c>
    </row>
    <row r="212" spans="16:19" x14ac:dyDescent="0.75">
      <c r="P212" s="9">
        <v>198</v>
      </c>
      <c r="Q212" s="9">
        <f t="shared" si="10"/>
        <v>32</v>
      </c>
      <c r="R212" s="9">
        <f t="shared" si="36"/>
        <v>6</v>
      </c>
      <c r="S212" s="14" t="str" cm="1">
        <f t="array" ref="S212">INDEX('PS-ConceptMap-1'!$I$15:$N$273,Q212+1,R212)</f>
        <v/>
      </c>
    </row>
    <row r="213" spans="16:19" x14ac:dyDescent="0.75">
      <c r="P213" s="9">
        <v>199</v>
      </c>
      <c r="Q213" s="9">
        <f>IF(MOD(P213,$Q$8)=0,P213/$Q$8-1,INT(P213/$Q$8))</f>
        <v>33</v>
      </c>
      <c r="R213" s="9">
        <f>IF(MOD(P213,$Q$8)=0,$Q$8,MOD(P213,$Q$8))</f>
        <v>1</v>
      </c>
      <c r="S213" s="14" t="str" cm="1">
        <f t="array" ref="S213">INDEX('PS-ConceptMap-1'!$I$15:$N$273,Q213+1,R213)</f>
        <v>* group[=].element[+].code = #PatientSummary.body.planOfCare</v>
      </c>
    </row>
    <row r="214" spans="16:19" x14ac:dyDescent="0.75">
      <c r="P214" s="9">
        <v>200</v>
      </c>
      <c r="Q214" s="9">
        <f t="shared" si="10"/>
        <v>33</v>
      </c>
      <c r="R214" s="9">
        <f t="shared" ref="R214:R222" si="40">IF(MOD(P214,$Q$8)=0,$Q$8,MOD(P214,$Q$8))</f>
        <v>2</v>
      </c>
      <c r="S214" s="14" t="str" cm="1">
        <f t="array" ref="S214">INDEX('PS-ConceptMap-1'!$I$15:$N$273,Q214+1,R214)</f>
        <v>* group[=].element[=].display = ##34#A.2.9 Plan of Care##34#</v>
      </c>
    </row>
    <row r="215" spans="16:19" x14ac:dyDescent="0.75">
      <c r="P215" s="9">
        <v>201</v>
      </c>
      <c r="Q215" s="9">
        <f t="shared" si="10"/>
        <v>33</v>
      </c>
      <c r="R215" s="9">
        <f t="shared" si="40"/>
        <v>3</v>
      </c>
      <c r="S215" s="14" t="str" cm="1">
        <f t="array" ref="S215">INDEX('PS-ConceptMap-1'!$I$15:$N$273,Q215+1,R215)</f>
        <v>* group[=].element[=].target.code = #Composition.section:sectionPlanOfCare</v>
      </c>
    </row>
    <row r="216" spans="16:19" x14ac:dyDescent="0.75">
      <c r="P216" s="9">
        <v>202</v>
      </c>
      <c r="Q216" s="9">
        <f t="shared" si="10"/>
        <v>33</v>
      </c>
      <c r="R216" s="9">
        <f t="shared" si="40"/>
        <v>4</v>
      </c>
      <c r="S216" s="14" t="str" cm="1">
        <f t="array" ref="S216">INDEX('PS-ConceptMap-1'!$I$15:$N$273,Q216+1,R216)</f>
        <v>* group[=].element[=].target.display = ##34###34#</v>
      </c>
    </row>
    <row r="217" spans="16:19" x14ac:dyDescent="0.75">
      <c r="P217" s="9">
        <v>203</v>
      </c>
      <c r="Q217" s="9">
        <f t="shared" si="10"/>
        <v>33</v>
      </c>
      <c r="R217" s="9">
        <f t="shared" si="40"/>
        <v>5</v>
      </c>
      <c r="S217" s="14" t="str" cm="1">
        <f t="array" ref="S217">INDEX('PS-ConceptMap-1'!$I$15:$N$273,Q217+1,R217)</f>
        <v>* group[=].element[=].target.equivalence = #equivalent</v>
      </c>
    </row>
    <row r="218" spans="16:19" x14ac:dyDescent="0.75">
      <c r="P218" s="9">
        <v>204</v>
      </c>
      <c r="Q218" s="9">
        <f t="shared" si="10"/>
        <v>33</v>
      </c>
      <c r="R218" s="9">
        <f t="shared" si="40"/>
        <v>6</v>
      </c>
      <c r="S218" s="14" t="str" cm="1">
        <f t="array" ref="S218">INDEX('PS-ConceptMap-1'!$I$15:$N$273,Q218+1,R218)</f>
        <v/>
      </c>
    </row>
    <row r="219" spans="16:19" x14ac:dyDescent="0.75">
      <c r="P219" s="9">
        <v>205</v>
      </c>
      <c r="Q219" s="9">
        <f t="shared" si="10"/>
        <v>34</v>
      </c>
      <c r="R219" s="9">
        <f t="shared" si="40"/>
        <v>1</v>
      </c>
      <c r="S219" s="14" cm="1">
        <f t="array" ref="S219">INDEX('PS-ConceptMap-1'!$I$15:$N$273,Q219+1,R219)</f>
        <v>0</v>
      </c>
    </row>
    <row r="220" spans="16:19" x14ac:dyDescent="0.75">
      <c r="P220" s="9">
        <v>206</v>
      </c>
      <c r="Q220" s="9">
        <f t="shared" si="10"/>
        <v>34</v>
      </c>
      <c r="R220" s="9">
        <f t="shared" si="40"/>
        <v>2</v>
      </c>
      <c r="S220" s="14" cm="1">
        <f t="array" ref="S220">INDEX('PS-ConceptMap-1'!$I$15:$N$273,Q220+1,R220)</f>
        <v>0</v>
      </c>
    </row>
    <row r="221" spans="16:19" x14ac:dyDescent="0.75">
      <c r="P221" s="9">
        <v>207</v>
      </c>
      <c r="Q221" s="9">
        <f t="shared" si="10"/>
        <v>34</v>
      </c>
      <c r="R221" s="9">
        <f t="shared" si="40"/>
        <v>3</v>
      </c>
      <c r="S221" s="14" cm="1">
        <f t="array" ref="S221">INDEX('PS-ConceptMap-1'!$I$15:$N$273,Q221+1,R221)</f>
        <v>0</v>
      </c>
    </row>
    <row r="222" spans="16:19" x14ac:dyDescent="0.75">
      <c r="P222" s="9">
        <v>208</v>
      </c>
      <c r="Q222" s="9">
        <f t="shared" si="10"/>
        <v>34</v>
      </c>
      <c r="R222" s="9">
        <f t="shared" si="40"/>
        <v>4</v>
      </c>
      <c r="S222" s="14" cm="1">
        <f t="array" ref="S222">INDEX('PS-ConceptMap-1'!$I$15:$N$273,Q222+1,R222)</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rgb="FFFFFF00"/>
  </sheetPr>
  <dimension ref="A2:S192"/>
  <sheetViews>
    <sheetView workbookViewId="0">
      <selection activeCell="E7" sqref="E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tr">
        <f>'PS-ConceptMap-1'!C3</f>
        <v>PatientSummary2FHIR</v>
      </c>
      <c r="D3" s="66" t="s">
        <v>414</v>
      </c>
      <c r="E3" t="str">
        <f>'PS-ConceptMap-1'!E3</f>
        <v>http://hl7.eu/fhir/ig/xpandh/ps/StructureDefinition/PatientSummary</v>
      </c>
    </row>
    <row r="4" spans="1:19" x14ac:dyDescent="0.75">
      <c r="B4" s="66" t="s">
        <v>19</v>
      </c>
      <c r="C4" s="49" t="s">
        <v>822</v>
      </c>
      <c r="D4" s="66" t="s">
        <v>415</v>
      </c>
      <c r="E4" s="77" t="s">
        <v>1218</v>
      </c>
    </row>
    <row r="5" spans="1:19" x14ac:dyDescent="0.75">
      <c r="B5" s="66" t="s">
        <v>13</v>
      </c>
      <c r="C5" s="10" t="s">
        <v>1162</v>
      </c>
      <c r="D5" s="66"/>
      <c r="E5" s="10"/>
    </row>
    <row r="6" spans="1:19" x14ac:dyDescent="0.75">
      <c r="B6" s="66" t="s">
        <v>35</v>
      </c>
      <c r="C6" s="65" t="s">
        <v>1217</v>
      </c>
      <c r="D6" s="66" t="s">
        <v>412</v>
      </c>
      <c r="E6" t="s">
        <v>1217</v>
      </c>
    </row>
    <row r="7" spans="1:19" x14ac:dyDescent="0.75">
      <c r="B7" s="66" t="s">
        <v>18</v>
      </c>
      <c r="C7" s="73" t="s">
        <v>849</v>
      </c>
      <c r="D7" s="66" t="s">
        <v>413</v>
      </c>
      <c r="E7" t="s">
        <v>1219</v>
      </c>
    </row>
    <row r="8" spans="1:19" ht="44.25" x14ac:dyDescent="0.75">
      <c r="B8" s="66" t="s">
        <v>410</v>
      </c>
      <c r="C8" s="10" t="s">
        <v>1162</v>
      </c>
      <c r="D8" s="66"/>
      <c r="E8" s="10"/>
      <c r="I8" s="14" t="s">
        <v>387</v>
      </c>
      <c r="J8" s="14" t="s">
        <v>388</v>
      </c>
      <c r="K8" s="14" t="s">
        <v>389</v>
      </c>
      <c r="L8" s="14" t="s">
        <v>390</v>
      </c>
      <c r="M8" s="9" t="s">
        <v>391</v>
      </c>
      <c r="P8" s="62" t="s">
        <v>392</v>
      </c>
      <c r="Q8" s="62">
        <v>6</v>
      </c>
    </row>
    <row r="9" spans="1:19" ht="29.5" x14ac:dyDescent="0.75">
      <c r="B9" s="66" t="s">
        <v>411</v>
      </c>
      <c r="C9" s="1" t="s">
        <v>763</v>
      </c>
      <c r="D9" s="66"/>
      <c r="E9"/>
      <c r="I9" s="14"/>
      <c r="J9" s="9"/>
      <c r="K9" s="9"/>
      <c r="L9" s="9"/>
      <c r="M9" s="9"/>
    </row>
    <row r="10" spans="1:19" x14ac:dyDescent="0.75">
      <c r="B10" s="66"/>
      <c r="D10" s="66"/>
      <c r="E10"/>
      <c r="I10" s="14"/>
      <c r="J10" s="9"/>
      <c r="K10" s="9"/>
      <c r="L10" s="9"/>
      <c r="M10" s="9"/>
    </row>
    <row r="11" spans="1:19" x14ac:dyDescent="0.75">
      <c r="E11" s="10"/>
      <c r="I11" s="24" t="s">
        <v>393</v>
      </c>
      <c r="J11" s="63" t="s">
        <v>394</v>
      </c>
      <c r="K11" s="24" t="s">
        <v>395</v>
      </c>
      <c r="L11" s="63" t="s">
        <v>396</v>
      </c>
      <c r="M11" s="64" t="s">
        <v>397</v>
      </c>
      <c r="N11" s="67" t="s">
        <v>384</v>
      </c>
    </row>
    <row r="12" spans="1:19" x14ac:dyDescent="0.75">
      <c r="E12" s="65"/>
      <c r="I12" s="14"/>
      <c r="J12" s="9"/>
      <c r="K12" s="9"/>
      <c r="L12" s="9"/>
      <c r="M12" s="9"/>
    </row>
    <row r="13" spans="1:19" x14ac:dyDescent="0.75">
      <c r="D13" s="14"/>
      <c r="E13" s="9"/>
      <c r="F13" s="64" t="s">
        <v>397</v>
      </c>
      <c r="G13" s="67" t="s">
        <v>384</v>
      </c>
      <c r="H13" s="67"/>
      <c r="I13" s="14"/>
      <c r="J13" s="9"/>
      <c r="K13" s="64"/>
      <c r="L13" s="64"/>
      <c r="M13" s="64"/>
      <c r="N13" s="67"/>
    </row>
    <row r="14" spans="1:19" x14ac:dyDescent="0.75">
      <c r="A14" s="22"/>
      <c r="B14" s="8" t="s">
        <v>869</v>
      </c>
      <c r="C14" s="9"/>
      <c r="D14" s="4" t="s">
        <v>189</v>
      </c>
      <c r="E14" s="8"/>
      <c r="F14" s="9"/>
      <c r="G14" s="9"/>
      <c r="I14" s="14"/>
      <c r="J14" s="9"/>
      <c r="K14" s="9"/>
      <c r="L14" s="9"/>
      <c r="M14" s="64"/>
      <c r="N14" s="67"/>
    </row>
    <row r="15" spans="1:19" ht="44.25" x14ac:dyDescent="0.75">
      <c r="A15" s="22"/>
      <c r="B15" s="8" t="str">
        <f>PS!B8</f>
        <v>header</v>
      </c>
      <c r="C15" s="8" t="str">
        <f>PS!C8</f>
        <v>A.1 Report header data elements</v>
      </c>
      <c r="D15" s="14"/>
      <c r="E15" s="56"/>
      <c r="F15" s="68" t="s">
        <v>399</v>
      </c>
      <c r="G15" s="68"/>
      <c r="H15" s="69"/>
      <c r="I15" s="14" t="str">
        <f>"* group[=].element[+].code = #"&amp;$B$14&amp;"."&amp;B15</f>
        <v>* group[=].element[+].code = #PatientSummary.header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INDEX('PS-ConceptMap-2'!$I$15:$N$272,Q15+1,R15)</f>
        <v>* group[=].element[+].code = #PatientSummary.header</v>
      </c>
    </row>
    <row r="16" spans="1:19" ht="44.25" x14ac:dyDescent="0.75">
      <c r="A16" s="22"/>
      <c r="B16" s="9" t="str">
        <f>PS!B9</f>
        <v>header.subject</v>
      </c>
      <c r="C16" s="9" t="str">
        <f>PS!C9</f>
        <v>A.1.1 A1.2 Patient/subject</v>
      </c>
      <c r="D16" s="14" t="s">
        <v>407</v>
      </c>
      <c r="E16" s="9"/>
      <c r="F16" s="68" t="s">
        <v>399</v>
      </c>
      <c r="G16" s="68"/>
      <c r="H16" s="69"/>
      <c r="I16" s="14" t="str">
        <f t="shared" ref="I16" si="4">"* group[=].element[+].code = #"&amp;$B$14&amp;"."&amp;B16</f>
        <v>* group[=].element[+].code = #PatientSummary.header.subject</v>
      </c>
      <c r="J16" s="14" t="str">
        <f t="shared" si="0"/>
        <v>* group[=].element[=].display = ##34#A.1.1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INDEX('PS-ConceptMap-2'!$I$15:$N$272,Q16+1,R16)</f>
        <v>* group[=].element[=].display = ##34#A.1 Report header data elements##34#</v>
      </c>
    </row>
    <row r="17" spans="1:19" ht="132.75" x14ac:dyDescent="0.75">
      <c r="A17" s="22"/>
      <c r="B17" s="9" t="str">
        <f>PS!B10</f>
        <v>header.insuranceInfo</v>
      </c>
      <c r="C17" s="9" t="str">
        <f>PS!C10</f>
        <v>A.1.3 Insurance information</v>
      </c>
      <c r="D17" s="14" t="s">
        <v>1329</v>
      </c>
      <c r="E17" s="9"/>
      <c r="F17" s="68" t="s">
        <v>399</v>
      </c>
      <c r="G17" s="14" t="s">
        <v>1330</v>
      </c>
      <c r="H17" s="69"/>
      <c r="I17" s="14" t="str">
        <f t="shared" ref="I17:I37" si="8">"* group[=].element[+].code = #"&amp;$B$14&amp;"."&amp;B17</f>
        <v>* group[=].element[+].code = #PatientSummary.header.insuranceInfo</v>
      </c>
      <c r="J17" s="14" t="str">
        <f t="shared" ref="J17:J37" si="9">"* group[=].element[=].display = ##34#"&amp;C17&amp;"##34#"</f>
        <v>* group[=].element[=].display = ##34#A.1.3 Insurance information##34#</v>
      </c>
      <c r="K17" s="14" t="str">
        <f t="shared" ref="K17:K37" si="10">IF(F17="unmatched","//-- unmatched",IF(D17="","* group[=].element[=].target.code = #"&amp;$D$14,"* group[=].element[=].target.code = #"&amp;$D$14&amp;"."&amp;D17))</f>
        <v>* group[=].element[=].target.code = #Composition.extension:basedOn-vaccination-or-requisition.insurance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##34#extension(http://hl7.eu/fhir/ig/xpandh/ps/StructureDefinition/composition-basedOn-vaccination-or-requisition).resolve().ofType(ServiceRequest).insurance.resolve().ofType(Coverage)##34#</v>
      </c>
      <c r="P17" s="9">
        <v>3</v>
      </c>
      <c r="Q17" s="9">
        <f t="shared" si="6"/>
        <v>0</v>
      </c>
      <c r="R17" s="9">
        <f t="shared" si="7"/>
        <v>3</v>
      </c>
      <c r="S17" s="14" t="str" cm="1">
        <f t="array" ref="S17">INDEX('PS-ConceptMap-2'!$I$15:$N$272,Q17+1,R17)</f>
        <v>* group[=].element[=].target.code = #Composition</v>
      </c>
    </row>
    <row r="18" spans="1:19" ht="73.75" x14ac:dyDescent="0.75">
      <c r="A18" s="22"/>
      <c r="B18" s="9" t="str">
        <f>PS!B11</f>
        <v>header.documentData</v>
      </c>
      <c r="C18" s="9" t="str">
        <f>PS!C11</f>
        <v>A.1.4 Document data</v>
      </c>
      <c r="D18" s="14" t="s">
        <v>494</v>
      </c>
      <c r="E18" s="9"/>
      <c r="F18" s="68" t="s">
        <v>398</v>
      </c>
      <c r="G18" s="68"/>
      <c r="H18" s="69"/>
      <c r="I18" s="14" t="str">
        <f t="shared" si="8"/>
        <v>* group[=].element[+].code = #PatientSummary.header.documentData</v>
      </c>
      <c r="J18" s="14" t="str">
        <f t="shared" si="9"/>
        <v>* group[=].element[=].display = ##34#A.1.4 Document data##34#</v>
      </c>
      <c r="K18" s="14" t="str">
        <f t="shared" si="10"/>
        <v>* group[=].element[=].target.code = #Composition.extension:information-recipient</v>
      </c>
      <c r="L18" s="14" t="str">
        <f t="shared" si="11"/>
        <v>* group[=].element[=].target.display = ##34###34#</v>
      </c>
      <c r="M18" s="14" t="str">
        <f t="shared" si="12"/>
        <v>* group[=].element[=].target.equivalence = #equivalent</v>
      </c>
      <c r="N18" s="14" t="str">
        <f t="shared" si="13"/>
        <v/>
      </c>
      <c r="P18" s="9">
        <v>4</v>
      </c>
      <c r="Q18" s="9">
        <f t="shared" si="6"/>
        <v>0</v>
      </c>
      <c r="R18" s="9">
        <f t="shared" si="7"/>
        <v>4</v>
      </c>
      <c r="S18" s="14" t="str" cm="1">
        <f t="array" ref="S18">INDEX('PS-ConceptMap-2'!$I$15:$N$272,Q18+1,R18)</f>
        <v>* group[=].element[=].target.display = ##34###34#</v>
      </c>
    </row>
    <row r="19" spans="1:19" ht="44.25" x14ac:dyDescent="0.75">
      <c r="A19" s="22"/>
      <c r="B19" s="9" t="str">
        <f>PS!B12</f>
        <v>header.documentData.created</v>
      </c>
      <c r="C19" s="9" t="str">
        <f>PS!C12</f>
        <v>A.1.4.1 Date created</v>
      </c>
      <c r="D19" s="14" t="s">
        <v>495</v>
      </c>
      <c r="E19" s="9"/>
      <c r="F19" s="68" t="s">
        <v>399</v>
      </c>
      <c r="G19" s="68"/>
      <c r="H19" s="69"/>
      <c r="I19" s="14" t="str">
        <f t="shared" si="8"/>
        <v>* group[=].element[+].code = #PatientSummary.header.documentData.created</v>
      </c>
      <c r="J19" s="14" t="str">
        <f t="shared" si="9"/>
        <v>* group[=].element[=].display = ##34#A.1.4.1 Date created##34#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INDEX('PS-ConceptMap-2'!$I$15:$N$272,Q19+1,R19)</f>
        <v>* group[=].element[=].target.equivalence = #relatedto</v>
      </c>
    </row>
    <row r="20" spans="1:19" ht="118" x14ac:dyDescent="0.75">
      <c r="A20" s="22"/>
      <c r="B20" s="9" t="str">
        <f>PS!B13</f>
        <v>header.documentData.lastUpdate</v>
      </c>
      <c r="C20" s="9" t="str">
        <f>PS!C13</f>
        <v>A.1.4.2 Date of last update</v>
      </c>
      <c r="D20" s="14" t="s">
        <v>496</v>
      </c>
      <c r="E20" s="9"/>
      <c r="F20" s="68" t="s">
        <v>398</v>
      </c>
      <c r="G20" s="75" t="s">
        <v>609</v>
      </c>
      <c r="H20" s="69"/>
      <c r="I20" s="14" t="str">
        <f t="shared" si="8"/>
        <v>* group[=].element[+].code = #PatientSummary.header.documentData.lastUpdate</v>
      </c>
      <c r="J20" s="14" t="str">
        <f t="shared" si="9"/>
        <v>* group[=].element[=].display = ##34#A.1.4.2 Date of last update##34#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INDEX('PS-ConceptMap-2'!$I$15:$N$272,Q20+1,R20)</f>
        <v/>
      </c>
    </row>
    <row r="21" spans="1:19" ht="103.25" x14ac:dyDescent="0.75">
      <c r="A21" s="22"/>
      <c r="B21" s="9" t="str">
        <f>PS!B14</f>
        <v>header.documentData.natureOfIPS</v>
      </c>
      <c r="C21" s="9" t="str">
        <f>PS!C14</f>
        <v>A.1.4.3 Nature of the PS</v>
      </c>
      <c r="D21" s="14" t="s">
        <v>496</v>
      </c>
      <c r="E21" s="9"/>
      <c r="F21" s="68" t="s">
        <v>398</v>
      </c>
      <c r="G21" s="75" t="s">
        <v>610</v>
      </c>
      <c r="H21" s="69"/>
      <c r="I21" s="14" t="str">
        <f t="shared" si="8"/>
        <v>* group[=].element[+].code = #PatientSummary.header.documentData.natureOfIPS</v>
      </c>
      <c r="J21" s="14" t="str">
        <f t="shared" si="9"/>
        <v>* group[=].element[=].display = ##34#A.1.4.3 Nature of the PS##34#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INDEX('PS-ConceptMap-2'!$I$15:$N$272,Q21+1,R21)</f>
        <v>* group[=].element[+].code = #PatientSummary.header.subject</v>
      </c>
    </row>
    <row r="22" spans="1:19" ht="44.25" x14ac:dyDescent="0.75">
      <c r="A22" s="22"/>
      <c r="B22" s="9" t="str">
        <f>PS!B15</f>
        <v>header.participant</v>
      </c>
      <c r="C22" s="9" t="str">
        <f>PS!C15</f>
        <v>A.1.5 Author and Organisation</v>
      </c>
      <c r="D22" s="14"/>
      <c r="E22" s="14"/>
      <c r="F22" s="68" t="s">
        <v>399</v>
      </c>
      <c r="G22" s="76"/>
      <c r="H22" s="69"/>
      <c r="I22" s="14" t="str">
        <f t="shared" si="8"/>
        <v>* group[=].element[+].code = #PatientSummary.header.participant</v>
      </c>
      <c r="J22" s="14" t="str">
        <f t="shared" si="9"/>
        <v>* group[=].element[=].display = ##34#A.1.5 Author and Organisation##34#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INDEX('PS-ConceptMap-2'!$I$15:$N$272,Q22+1,R22)</f>
        <v>* group[=].element[=].display = ##34#A.1.1 A1.2 Patient/subject##34#</v>
      </c>
    </row>
    <row r="23" spans="1:19" ht="103.25" x14ac:dyDescent="0.75">
      <c r="A23" s="22"/>
      <c r="B23" s="9" t="str">
        <f>PS!B16</f>
        <v>header.participant.author</v>
      </c>
      <c r="C23" s="9" t="str">
        <f>PS!C16</f>
        <v>A.1.5.1 Author organization</v>
      </c>
      <c r="D23" s="14" t="s">
        <v>221</v>
      </c>
      <c r="E23" s="14"/>
      <c r="F23" s="68" t="s">
        <v>398</v>
      </c>
      <c r="G23" s="75" t="s">
        <v>532</v>
      </c>
      <c r="H23" s="69"/>
      <c r="I23" s="14" t="str">
        <f t="shared" si="8"/>
        <v>* group[=].element[+].code = #PatientSummary.header.participant.author</v>
      </c>
      <c r="J23" s="14" t="str">
        <f t="shared" si="9"/>
        <v>* group[=].element[=].display = ##34#A.1.5.1 Author organization##34#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INDEX('PS-ConceptMap-2'!$I$15:$N$272,Q23+1,R23)</f>
        <v>* group[=].element[=].target.code = #Composition.subject</v>
      </c>
    </row>
    <row r="24" spans="1:19" ht="44.25" x14ac:dyDescent="0.75">
      <c r="B24" s="9" t="str">
        <f>PS!B17</f>
        <v>header.participant.legalAuth</v>
      </c>
      <c r="C24" s="9" t="str">
        <f>PS!C17</f>
        <v>A.1.5.2 Legal authenticator</v>
      </c>
      <c r="D24" s="14" t="s">
        <v>461</v>
      </c>
      <c r="E24" s="14"/>
      <c r="F24" s="68" t="s">
        <v>398</v>
      </c>
      <c r="G24" s="68"/>
      <c r="H24" s="69"/>
      <c r="I24" s="14" t="str">
        <f t="shared" si="8"/>
        <v>* group[=].element[+].code = #PatientSummary.header.participant.legalAuth</v>
      </c>
      <c r="J24" s="14" t="str">
        <f t="shared" si="9"/>
        <v>* group[=].element[=].display = ##34#A.1.5.2 Legal authenticator##34#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INDEX('PS-ConceptMap-2'!$I$15:$N$272,Q24+1,R24)</f>
        <v>* group[=].element[=].target.display = ##34###34#</v>
      </c>
    </row>
    <row r="25" spans="1:19" ht="162.25" x14ac:dyDescent="0.75">
      <c r="B25" s="9" t="str">
        <f>PS!B18</f>
        <v>header.additionalInfo</v>
      </c>
      <c r="C25" s="9" t="str">
        <f>PS!C18</f>
        <v>A.1.6 Additional information / Knowledge resources</v>
      </c>
      <c r="D25" s="14" t="s">
        <v>408</v>
      </c>
      <c r="E25" s="14"/>
      <c r="F25" s="68" t="s">
        <v>399</v>
      </c>
      <c r="G25" s="75" t="s">
        <v>1220</v>
      </c>
      <c r="H25" s="69"/>
      <c r="I25" s="14" t="str">
        <f t="shared" si="8"/>
        <v>* group[=].element[+].code = #PatientSummary.header.additionalInfo</v>
      </c>
      <c r="J25" s="14" t="str">
        <f t="shared" si="9"/>
        <v>* group[=].element[=].display = ##34#A.1.6 Additional information / Knowledge resources##34#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http://hl7.eu/fhir/ig/xpandh/ps/ConceptMap/ConceptMap-eu-diagRptStatus2CompStatus##34#</v>
      </c>
      <c r="P25" s="9">
        <v>11</v>
      </c>
      <c r="Q25" s="9">
        <f t="shared" si="6"/>
        <v>1</v>
      </c>
      <c r="R25" s="9">
        <f t="shared" si="7"/>
        <v>5</v>
      </c>
      <c r="S25" s="14" t="str" cm="1">
        <f t="array" ref="S25">INDEX('PS-ConceptMap-2'!$I$15:$N$272,Q25+1,R25)</f>
        <v>* group[=].element[=].target.equivalence = #relatedto</v>
      </c>
    </row>
    <row r="26" spans="1:19" ht="44.25" x14ac:dyDescent="0.75">
      <c r="B26" s="9" t="str">
        <f>PS!B19</f>
        <v>header.additionalInfo.reference</v>
      </c>
      <c r="C26" s="9" t="str">
        <f>PS!C19</f>
        <v>A.1.6.1 External reference</v>
      </c>
      <c r="D26" s="14" t="s">
        <v>417</v>
      </c>
      <c r="E26" s="14"/>
      <c r="F26" s="68" t="s">
        <v>398</v>
      </c>
      <c r="G26" s="68"/>
      <c r="H26" s="69"/>
      <c r="I26" s="14" t="str">
        <f t="shared" si="8"/>
        <v>* group[=].element[+].code = #PatientSummary.header.additionalInfo.reference</v>
      </c>
      <c r="J26" s="14" t="str">
        <f t="shared" si="9"/>
        <v>* group[=].element[=].display = ##34#A.1.6.1 External reference##34#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INDEX('PS-ConceptMap-2'!$I$15:$N$272,Q26+1,R26)</f>
        <v/>
      </c>
    </row>
    <row r="27" spans="1:19" ht="44.25" x14ac:dyDescent="0.75">
      <c r="B27" s="9" t="str">
        <f>PS!B20</f>
        <v>header.additionalInfo.relatedWith</v>
      </c>
      <c r="C27" s="9" t="str">
        <f>PS!C20</f>
        <v>A.1.6.2 Related with</v>
      </c>
      <c r="D27" s="14" t="s">
        <v>418</v>
      </c>
      <c r="E27" s="14"/>
      <c r="F27" s="68" t="s">
        <v>398</v>
      </c>
      <c r="G27" s="68"/>
      <c r="H27" s="69"/>
      <c r="I27" s="14" t="str">
        <f t="shared" si="8"/>
        <v>* group[=].element[+].code = #PatientSummary.header.additionalInfo.relatedWith</v>
      </c>
      <c r="J27" s="14" t="str">
        <f t="shared" si="9"/>
        <v>* group[=].element[=].display = ##34#A.1.6.2 Related with##34#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INDEX('PS-ConceptMap-2'!$I$15:$N$272,Q27+1,R27)</f>
        <v>* group[=].element[+].code = #PatientSummary.header.insuranceInfo</v>
      </c>
    </row>
    <row r="28" spans="1:19" ht="44.25" x14ac:dyDescent="0.75">
      <c r="B28" s="9" t="e">
        <f>PS!#REF!</f>
        <v>#REF!</v>
      </c>
      <c r="C28" s="9" t="e">
        <f>PS!#REF!</f>
        <v>#REF!</v>
      </c>
      <c r="D28" s="14" t="s">
        <v>559</v>
      </c>
      <c r="E28" s="14"/>
      <c r="F28" s="68" t="s">
        <v>399</v>
      </c>
      <c r="G28" s="68"/>
      <c r="H28" s="69"/>
      <c r="I28" s="14" t="e">
        <f t="shared" si="8"/>
        <v>#REF!</v>
      </c>
      <c r="J28" s="14" t="e">
        <f t="shared" si="9"/>
        <v>#REF!</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INDEX('PS-ConceptMap-2'!$I$15:$N$272,Q28+1,R28)</f>
        <v>* group[=].element[=].display = ##34#A.1.3 Insurance information##34#</v>
      </c>
    </row>
    <row r="29" spans="1:19" ht="44.25" x14ac:dyDescent="0.75">
      <c r="B29" s="9" t="e">
        <f>PS!#REF!</f>
        <v>#REF!</v>
      </c>
      <c r="C29" s="9" t="e">
        <f>PS!#REF!</f>
        <v>#REF!</v>
      </c>
      <c r="D29" s="14" t="s">
        <v>419</v>
      </c>
      <c r="E29" s="14"/>
      <c r="F29" s="68" t="s">
        <v>398</v>
      </c>
      <c r="G29" s="68"/>
      <c r="H29" s="69"/>
      <c r="I29" s="14" t="e">
        <f t="shared" si="8"/>
        <v>#REF!</v>
      </c>
      <c r="J29" s="14" t="e">
        <f t="shared" si="9"/>
        <v>#REF!</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INDEX('PS-ConceptMap-2'!$I$15:$N$272,Q29+1,R29)</f>
        <v>* group[=].element[=].target.code = #Composition.extension:basedOn-vaccination-or-requisition.insurance</v>
      </c>
    </row>
    <row r="30" spans="1:19" ht="44.25" x14ac:dyDescent="0.75">
      <c r="B30" s="9" t="e">
        <f>PS!#REF!</f>
        <v>#REF!</v>
      </c>
      <c r="C30" s="9" t="e">
        <f>PS!#REF!</f>
        <v>#REF!</v>
      </c>
      <c r="D30" s="1" t="s">
        <v>534</v>
      </c>
      <c r="E30" s="14"/>
      <c r="F30" s="68" t="s">
        <v>398</v>
      </c>
      <c r="G30" s="14"/>
      <c r="H30" s="69"/>
      <c r="I30" s="14" t="e">
        <f t="shared" si="8"/>
        <v>#REF!</v>
      </c>
      <c r="J30" s="14" t="e">
        <f t="shared" si="9"/>
        <v>#REF!</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INDEX('PS-ConceptMap-2'!$I$15:$N$272,Q30+1,R30)</f>
        <v>* group[=].element[=].target.display = ##34###34#</v>
      </c>
    </row>
    <row r="31" spans="1:19" ht="44.25" x14ac:dyDescent="0.75">
      <c r="B31" s="9" t="e">
        <f>PS!#REF!</f>
        <v>#REF!</v>
      </c>
      <c r="C31" s="9" t="e">
        <f>PS!#REF!</f>
        <v>#REF!</v>
      </c>
      <c r="D31" s="14" t="s">
        <v>533</v>
      </c>
      <c r="E31" s="14"/>
      <c r="F31" s="68" t="s">
        <v>398</v>
      </c>
      <c r="G31" s="68"/>
      <c r="H31" s="69"/>
      <c r="I31" s="14" t="e">
        <f t="shared" si="8"/>
        <v>#REF!</v>
      </c>
      <c r="J31" s="14" t="e">
        <f t="shared" si="9"/>
        <v>#REF!</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INDEX('PS-ConceptMap-2'!$I$15:$N$272,Q31+1,R31)</f>
        <v>* group[=].element[=].target.equivalence = #relatedto</v>
      </c>
    </row>
    <row r="32" spans="1:19" ht="73.75" x14ac:dyDescent="0.75">
      <c r="B32" s="9" t="e">
        <f>PS!#REF!</f>
        <v>#REF!</v>
      </c>
      <c r="C32" s="9" t="e">
        <f>PS!#REF!</f>
        <v>#REF!</v>
      </c>
      <c r="D32" s="14" t="s">
        <v>535</v>
      </c>
      <c r="E32" s="14"/>
      <c r="F32" s="68" t="s">
        <v>398</v>
      </c>
      <c r="G32" s="68" t="s">
        <v>536</v>
      </c>
      <c r="H32" s="69"/>
      <c r="I32" s="14" t="e">
        <f t="shared" si="8"/>
        <v>#REF!</v>
      </c>
      <c r="J32" s="14" t="e">
        <f t="shared" si="9"/>
        <v>#REF!</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INDEX('PS-ConceptMap-2'!$I$15:$N$272,Q32+1,R32)</f>
        <v>* group[=].element[=].target.comment = ##34#extension(http://hl7.eu/fhir/ig/xpandh/ps/StructureDefinition/composition-basedOn-vaccination-or-requisition).resolve().ofType(ServiceRequest).insurance.resolve().ofType(Coverage)##34#</v>
      </c>
    </row>
    <row r="33" spans="1:19" ht="132.75" x14ac:dyDescent="0.75">
      <c r="B33" s="9" t="e">
        <f>PS!#REF!</f>
        <v>#REF!</v>
      </c>
      <c r="C33" s="9" t="e">
        <f>PS!#REF!</f>
        <v>#REF!</v>
      </c>
      <c r="D33" s="14" t="s">
        <v>1329</v>
      </c>
      <c r="E33" s="14"/>
      <c r="F33" s="68" t="s">
        <v>399</v>
      </c>
      <c r="G33" s="14" t="s">
        <v>1331</v>
      </c>
      <c r="H33" s="69"/>
      <c r="I33" s="14" t="e">
        <f t="shared" si="8"/>
        <v>#REF!</v>
      </c>
      <c r="J33" s="14" t="e">
        <f t="shared" si="9"/>
        <v>#REF!</v>
      </c>
      <c r="K33" s="14" t="str">
        <f t="shared" si="10"/>
        <v>* group[=].element[=].target.code = #Composition.extension:basedOn-vaccination-or-requisition.insurance</v>
      </c>
      <c r="L33" s="14" t="str">
        <f t="shared" si="11"/>
        <v>* group[=].element[=].target.display = ##34###34#</v>
      </c>
      <c r="M33" s="14" t="str">
        <f t="shared" si="12"/>
        <v>* group[=].element[=].target.equivalence = #relatedto</v>
      </c>
      <c r="N33" s="14" t="str">
        <f t="shared" si="13"/>
        <v>* group[=].element[=].target.comment = ##34#extension(http://hl7.eu/fhir/ig/xpandh/ps/StructureDefinition/composition-basedOn-vaccination-or-requisition).resolve().ofType(ServiceRequest)##34#</v>
      </c>
      <c r="P33" s="9">
        <v>19</v>
      </c>
      <c r="Q33" s="9">
        <f t="shared" si="6"/>
        <v>3</v>
      </c>
      <c r="R33" s="9">
        <f t="shared" si="7"/>
        <v>1</v>
      </c>
      <c r="S33" s="14" t="str" cm="1">
        <f t="array" ref="S33">INDEX('PS-ConceptMap-2'!$I$15:$N$272,Q33+1,R33)</f>
        <v>* group[=].element[+].code = #PatientSummary.header.documentData</v>
      </c>
    </row>
    <row r="34" spans="1:19" ht="59" x14ac:dyDescent="0.75">
      <c r="B34" s="9" t="e">
        <f>PS!#REF!</f>
        <v>#REF!</v>
      </c>
      <c r="C34" s="9" t="e">
        <f>PS!#REF!</f>
        <v>#REF!</v>
      </c>
      <c r="D34" s="14" t="s">
        <v>726</v>
      </c>
      <c r="E34" s="14"/>
      <c r="F34" s="68" t="s">
        <v>399</v>
      </c>
      <c r="G34" s="68" t="s">
        <v>420</v>
      </c>
      <c r="H34" s="69"/>
      <c r="I34" s="14" t="e">
        <f t="shared" si="8"/>
        <v>#REF!</v>
      </c>
      <c r="J34" s="14" t="e">
        <f t="shared" si="9"/>
        <v>#REF!</v>
      </c>
      <c r="K34" s="14" t="str">
        <f t="shared" si="10"/>
        <v>* group[=].element[=].target.code = #Composition.section:ps-no-subsections.entry.specimen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INDEX('PS-ConceptMap-2'!$I$15:$N$272,Q34+1,R34)</f>
        <v>* group[=].element[=].display = ##34#A.1.4 Document data##34#</v>
      </c>
    </row>
    <row r="35" spans="1:19" ht="59" x14ac:dyDescent="0.75">
      <c r="B35" s="9" t="e">
        <f>PS!#REF!</f>
        <v>#REF!</v>
      </c>
      <c r="C35" s="9" t="e">
        <f>PS!#REF!</f>
        <v>#REF!</v>
      </c>
      <c r="D35" s="14" t="s">
        <v>727</v>
      </c>
      <c r="E35" s="14"/>
      <c r="F35" s="68" t="s">
        <v>399</v>
      </c>
      <c r="G35" s="68" t="s">
        <v>420</v>
      </c>
      <c r="H35" s="69"/>
      <c r="I35" s="14" t="e">
        <f t="shared" si="8"/>
        <v>#REF!</v>
      </c>
      <c r="J35" s="14" t="e">
        <f t="shared" si="9"/>
        <v>#REF!</v>
      </c>
      <c r="K35" s="14" t="str">
        <f t="shared" si="10"/>
        <v>* group[=].element[=].target.code = #Composition.section:ps-no-subsections.entry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INDEX('PS-ConceptMap-2'!$I$15:$N$272,Q35+1,R35)</f>
        <v>* group[=].element[=].target.code = #Composition.extension:information-recipient</v>
      </c>
    </row>
    <row r="36" spans="1:19" ht="73.75" x14ac:dyDescent="0.75">
      <c r="B36" s="9" t="s">
        <v>203</v>
      </c>
      <c r="C36" s="9" t="s">
        <v>111</v>
      </c>
      <c r="D36" s="14" t="s">
        <v>728</v>
      </c>
      <c r="E36" s="14"/>
      <c r="F36" s="68" t="s">
        <v>399</v>
      </c>
      <c r="G36" s="68" t="s">
        <v>421</v>
      </c>
      <c r="H36" s="69"/>
      <c r="I36" s="14" t="str">
        <f t="shared" si="8"/>
        <v>* group[=].element[+].code = #PatientSummary.specimen</v>
      </c>
      <c r="J36" s="14" t="str">
        <f t="shared" si="9"/>
        <v>* group[=].element[=].display = ##34#A.4 Specimen information##34#</v>
      </c>
      <c r="K36" s="14" t="str">
        <f t="shared" si="10"/>
        <v>* group[=].element[=].target.code = #Composition.section:ps-subsections.section.entry.specimen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INDEX('PS-ConceptMap-2'!$I$15:$N$272,Q36+1,R36)</f>
        <v>* group[=].element[=].target.display = ##34###34#</v>
      </c>
    </row>
    <row r="37" spans="1:19" ht="59" x14ac:dyDescent="0.75">
      <c r="B37" s="9" t="s">
        <v>204</v>
      </c>
      <c r="C37" s="9" t="s">
        <v>139</v>
      </c>
      <c r="D37" s="14" t="s">
        <v>729</v>
      </c>
      <c r="E37" s="14"/>
      <c r="F37" s="68" t="s">
        <v>399</v>
      </c>
      <c r="G37" s="68" t="s">
        <v>421</v>
      </c>
      <c r="H37" s="69"/>
      <c r="I37" s="14" t="str">
        <f t="shared" si="8"/>
        <v>* group[=].element[+].code = #PatientSummary.result</v>
      </c>
      <c r="J37" s="14" t="str">
        <f t="shared" si="9"/>
        <v>* group[=].element[=].display = ##34#A.5 Results data elements##34#</v>
      </c>
      <c r="K37" s="14" t="str">
        <f t="shared" si="10"/>
        <v>* group[=].element[=].target.code = #Composition.section:ps-subsections.section.entry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INDEX('PS-ConceptMap-2'!$I$15:$N$272,Q37+1,R37)</f>
        <v>* group[=].element[=].target.equivalence = #equivalent</v>
      </c>
    </row>
    <row r="38" spans="1:19" x14ac:dyDescent="0.75">
      <c r="B38" s="9"/>
      <c r="C38" s="9"/>
      <c r="D38" s="14"/>
      <c r="E38" s="14"/>
      <c r="F38" s="68"/>
      <c r="G38" s="68"/>
      <c r="H38" s="69"/>
      <c r="K38" s="69"/>
      <c r="L38" s="69"/>
      <c r="M38" s="67"/>
      <c r="N38" s="67"/>
      <c r="P38" s="9">
        <v>24</v>
      </c>
      <c r="Q38" s="9">
        <f t="shared" si="6"/>
        <v>3</v>
      </c>
      <c r="R38" s="9">
        <f t="shared" si="7"/>
        <v>6</v>
      </c>
      <c r="S38" s="14" t="str" cm="1">
        <f t="array" ref="S38">INDEX('PS-ConceptMap-2'!$I$15:$N$272,Q38+1,R38)</f>
        <v/>
      </c>
    </row>
    <row r="39" spans="1:19" s="1" customFormat="1" x14ac:dyDescent="0.75">
      <c r="A39"/>
      <c r="B39" s="9"/>
      <c r="C39"/>
      <c r="D39" s="9"/>
      <c r="E39"/>
      <c r="F39" s="9"/>
      <c r="G39"/>
      <c r="H39" s="9"/>
      <c r="J39"/>
      <c r="K39" s="69"/>
      <c r="L39" s="69"/>
      <c r="M39" s="67"/>
      <c r="N39" s="67"/>
      <c r="P39" s="9">
        <v>25</v>
      </c>
      <c r="Q39" s="9">
        <f t="shared" si="6"/>
        <v>4</v>
      </c>
      <c r="R39" s="9">
        <f t="shared" si="7"/>
        <v>1</v>
      </c>
      <c r="S39" s="14" t="str" cm="1">
        <f t="array" ref="S39">INDEX('PS-ConceptMap-2'!$I$15:$N$272,Q39+1,R39)</f>
        <v>* group[=].element[+].code = #PatientSummary.header.documentData.created</v>
      </c>
    </row>
    <row r="40" spans="1:19" s="1" customFormat="1" x14ac:dyDescent="0.75">
      <c r="A40"/>
      <c r="B40" s="9"/>
      <c r="C40"/>
      <c r="D40" s="9"/>
      <c r="E40"/>
      <c r="F40" s="9"/>
      <c r="G40"/>
      <c r="H40" s="9"/>
      <c r="J40"/>
      <c r="K40" s="69"/>
      <c r="L40" s="69"/>
      <c r="M40" s="67"/>
      <c r="N40" s="67"/>
      <c r="P40" s="9">
        <v>26</v>
      </c>
      <c r="Q40" s="9">
        <f t="shared" si="6"/>
        <v>4</v>
      </c>
      <c r="R40" s="9">
        <f t="shared" si="7"/>
        <v>2</v>
      </c>
      <c r="S40" s="14" t="str" cm="1">
        <f t="array" ref="S40">INDEX('PS-ConceptMap-2'!$I$15:$N$272,Q40+1,R40)</f>
        <v>* group[=].element[=].display = ##34#A.1.4.1 Date created##34#</v>
      </c>
    </row>
    <row r="41" spans="1:19" s="1" customFormat="1" x14ac:dyDescent="0.75">
      <c r="A41"/>
      <c r="B41" s="9"/>
      <c r="C41"/>
      <c r="D41" s="9"/>
      <c r="E41"/>
      <c r="F41" s="9"/>
      <c r="G41"/>
      <c r="H41" s="9"/>
      <c r="J41"/>
      <c r="K41" s="69"/>
      <c r="L41" s="69"/>
      <c r="M41" s="67"/>
      <c r="N41" s="67"/>
      <c r="P41" s="9">
        <v>27</v>
      </c>
      <c r="Q41" s="9">
        <f t="shared" si="6"/>
        <v>4</v>
      </c>
      <c r="R41" s="9">
        <f t="shared" si="7"/>
        <v>3</v>
      </c>
      <c r="S41" s="14" t="str" cm="1">
        <f t="array" ref="S41">INDEX('PS-ConceptMap-2'!$I$15:$N$272,Q41+1,R41)</f>
        <v>* group[=].element[=].target.code = #Composition.author</v>
      </c>
    </row>
    <row r="42" spans="1:19" s="1" customFormat="1" x14ac:dyDescent="0.75">
      <c r="A42"/>
      <c r="B42" s="9"/>
      <c r="C42"/>
      <c r="D42" s="9"/>
      <c r="E42"/>
      <c r="F42" s="9"/>
      <c r="G42"/>
      <c r="H42" s="9"/>
      <c r="J42" s="69"/>
      <c r="K42" s="69"/>
      <c r="L42" s="69"/>
      <c r="M42" s="67"/>
      <c r="N42" s="67"/>
      <c r="P42" s="9">
        <v>28</v>
      </c>
      <c r="Q42" s="9">
        <f t="shared" si="6"/>
        <v>4</v>
      </c>
      <c r="R42" s="9">
        <f t="shared" si="7"/>
        <v>4</v>
      </c>
      <c r="S42" s="14" t="str" cm="1">
        <f t="array" ref="S42">INDEX('PS-ConceptMap-2'!$I$15:$N$272,Q42+1,R42)</f>
        <v>* group[=].element[=].target.display = ##34###34#</v>
      </c>
    </row>
    <row r="43" spans="1:19" s="1" customFormat="1" x14ac:dyDescent="0.75">
      <c r="A43"/>
      <c r="B43" s="9"/>
      <c r="C43"/>
      <c r="D43" s="9"/>
      <c r="E43"/>
      <c r="F43" s="9"/>
      <c r="G43"/>
      <c r="H43" s="9"/>
      <c r="J43" s="69"/>
      <c r="K43" s="69"/>
      <c r="L43" s="69"/>
      <c r="M43" s="67"/>
      <c r="N43" s="67"/>
      <c r="P43" s="9">
        <v>29</v>
      </c>
      <c r="Q43" s="9">
        <f t="shared" si="6"/>
        <v>4</v>
      </c>
      <c r="R43" s="9">
        <f t="shared" si="7"/>
        <v>5</v>
      </c>
      <c r="S43" s="14" t="str" cm="1">
        <f t="array" ref="S43">INDEX('PS-ConceptMap-2'!$I$15:$N$272,Q43+1,R43)</f>
        <v>* group[=].element[=].target.equivalence = #relatedto</v>
      </c>
    </row>
    <row r="44" spans="1:19" s="1" customFormat="1" x14ac:dyDescent="0.75">
      <c r="A44"/>
      <c r="B44" s="9"/>
      <c r="C44"/>
      <c r="D44" s="9"/>
      <c r="E44"/>
      <c r="F44" s="9"/>
      <c r="G44"/>
      <c r="H44" s="9"/>
      <c r="J44" s="69"/>
      <c r="K44" s="69"/>
      <c r="L44" s="69"/>
      <c r="M44" s="67"/>
      <c r="N44" s="67"/>
      <c r="P44" s="9">
        <v>30</v>
      </c>
      <c r="Q44" s="9">
        <f t="shared" si="6"/>
        <v>4</v>
      </c>
      <c r="R44" s="9">
        <f t="shared" si="7"/>
        <v>6</v>
      </c>
      <c r="S44" s="14" t="str" cm="1">
        <f t="array" ref="S44">INDEX('PS-ConceptMap-2'!$I$15:$N$272,Q44+1,R44)</f>
        <v/>
      </c>
    </row>
    <row r="45" spans="1:19" s="1" customFormat="1" x14ac:dyDescent="0.75">
      <c r="A45"/>
      <c r="B45" s="9"/>
      <c r="C45"/>
      <c r="D45" s="9"/>
      <c r="E45"/>
      <c r="F45" s="9"/>
      <c r="G45"/>
      <c r="H45" s="9"/>
      <c r="J45" s="69"/>
      <c r="K45" s="69"/>
      <c r="L45" s="69"/>
      <c r="M45" s="69"/>
      <c r="N45" s="69"/>
      <c r="P45" s="9">
        <v>31</v>
      </c>
      <c r="Q45" s="9">
        <f t="shared" si="6"/>
        <v>5</v>
      </c>
      <c r="R45" s="9">
        <f t="shared" si="7"/>
        <v>1</v>
      </c>
      <c r="S45" s="14" t="str" cm="1">
        <f t="array" ref="S45">INDEX('PS-ConceptMap-2'!$I$15:$N$272,Q45+1,R45)</f>
        <v>* group[=].element[+].code = #PatientSummary.header.documentData.lastUpdate</v>
      </c>
    </row>
    <row r="46" spans="1:19" s="1" customFormat="1" x14ac:dyDescent="0.75">
      <c r="A46"/>
      <c r="B46" s="9"/>
      <c r="C46"/>
      <c r="D46" s="9"/>
      <c r="E46"/>
      <c r="F46" s="9"/>
      <c r="G46"/>
      <c r="H46" s="9"/>
      <c r="J46" s="69"/>
      <c r="K46" s="69"/>
      <c r="L46" s="69"/>
      <c r="M46" s="69"/>
      <c r="N46" s="69"/>
      <c r="P46" s="9">
        <v>32</v>
      </c>
      <c r="Q46" s="9">
        <f t="shared" si="6"/>
        <v>5</v>
      </c>
      <c r="R46" s="9">
        <f t="shared" si="7"/>
        <v>2</v>
      </c>
      <c r="S46" s="14" t="str" cm="1">
        <f t="array" ref="S46">INDEX('PS-ConceptMap-2'!$I$15:$N$272,Q46+1,R46)</f>
        <v>* group[=].element[=].display = ##34#A.1.4.2 Date of last update##34#</v>
      </c>
    </row>
    <row r="47" spans="1:19" s="1" customFormat="1" x14ac:dyDescent="0.75">
      <c r="A47"/>
      <c r="B47" s="9"/>
      <c r="C47"/>
      <c r="D47" s="9"/>
      <c r="E47"/>
      <c r="F47" s="9"/>
      <c r="G47"/>
      <c r="H47" s="9"/>
      <c r="J47" s="69"/>
      <c r="K47" s="69"/>
      <c r="L47" s="69"/>
      <c r="M47" s="69"/>
      <c r="N47" s="69"/>
      <c r="P47" s="9">
        <v>33</v>
      </c>
      <c r="Q47" s="9">
        <f t="shared" si="6"/>
        <v>5</v>
      </c>
      <c r="R47" s="9">
        <f t="shared" si="7"/>
        <v>3</v>
      </c>
      <c r="S47" s="14" t="str" cm="1">
        <f t="array" ref="S47">INDEX('PS-ConceptMap-2'!$I$15:$N$272,Q47+1,R47)</f>
        <v>* group[=].element[=].target.code = #Composition.attester.party</v>
      </c>
    </row>
    <row r="48" spans="1:19" s="1" customFormat="1" x14ac:dyDescent="0.75">
      <c r="A48"/>
      <c r="B48" s="9"/>
      <c r="C48"/>
      <c r="D48" s="9"/>
      <c r="E48"/>
      <c r="F48" s="9"/>
      <c r="G48"/>
      <c r="H48" s="9"/>
      <c r="J48" s="69"/>
      <c r="K48" s="69"/>
      <c r="L48" s="69"/>
      <c r="M48" s="69"/>
      <c r="N48" s="69"/>
      <c r="P48" s="9">
        <v>34</v>
      </c>
      <c r="Q48" s="9">
        <f t="shared" si="6"/>
        <v>5</v>
      </c>
      <c r="R48" s="9">
        <f t="shared" si="7"/>
        <v>4</v>
      </c>
      <c r="S48" s="14" t="str" cm="1">
        <f t="array" ref="S48">INDEX('PS-ConceptMap-2'!$I$15:$N$272,Q48+1,R48)</f>
        <v>* group[=].element[=].target.display = ##34###34#</v>
      </c>
    </row>
    <row r="49" spans="1:19" s="1" customFormat="1" x14ac:dyDescent="0.75">
      <c r="A49"/>
      <c r="B49" s="9"/>
      <c r="C49"/>
      <c r="D49" s="9"/>
      <c r="E49"/>
      <c r="F49" s="9"/>
      <c r="G49"/>
      <c r="H49" s="9"/>
      <c r="J49" s="69"/>
      <c r="K49" s="69"/>
      <c r="L49" s="69"/>
      <c r="M49" s="69"/>
      <c r="N49" s="69"/>
      <c r="P49" s="9">
        <v>35</v>
      </c>
      <c r="Q49" s="9">
        <f t="shared" si="6"/>
        <v>5</v>
      </c>
      <c r="R49" s="9">
        <f t="shared" si="7"/>
        <v>5</v>
      </c>
      <c r="S49" s="14" t="str" cm="1">
        <f t="array" ref="S49">INDEX('PS-ConceptMap-2'!$I$15:$N$272,Q49+1,R49)</f>
        <v>* group[=].element[=].target.equivalence = #equivalent</v>
      </c>
    </row>
    <row r="50" spans="1:19" s="1" customFormat="1" ht="44.25" x14ac:dyDescent="0.75">
      <c r="A50"/>
      <c r="B50" s="9"/>
      <c r="C50"/>
      <c r="D50" s="9"/>
      <c r="E50"/>
      <c r="F50" s="9"/>
      <c r="G50"/>
      <c r="H50" s="9"/>
      <c r="J50" s="69"/>
      <c r="K50" s="69"/>
      <c r="L50" s="69"/>
      <c r="M50" s="69"/>
      <c r="N50" s="69"/>
      <c r="P50" s="9">
        <v>36</v>
      </c>
      <c r="Q50" s="9">
        <f t="shared" si="6"/>
        <v>5</v>
      </c>
      <c r="R50" s="9">
        <f t="shared" si="7"/>
        <v>6</v>
      </c>
      <c r="S50" s="14" t="str" cm="1">
        <f t="array" ref="S50">INDEX('PS-ConceptMap-2'!$I$15:$N$272,Q50+1,R50)</f>
        <v>* group[=].element[=].target.comment = ##34#The person authenticated the content and accepted legal responsibility for its content.
attester.where(mode='legal')##34#</v>
      </c>
    </row>
    <row r="51" spans="1:19" x14ac:dyDescent="0.75">
      <c r="D51"/>
      <c r="E51"/>
      <c r="J51" s="69"/>
      <c r="K51" s="69"/>
      <c r="L51" s="69"/>
      <c r="M51" s="69"/>
      <c r="N51" s="69"/>
      <c r="P51" s="9">
        <v>37</v>
      </c>
      <c r="Q51" s="9">
        <f t="shared" si="6"/>
        <v>6</v>
      </c>
      <c r="R51" s="9">
        <f t="shared" si="7"/>
        <v>1</v>
      </c>
      <c r="S51" s="14" t="str" cm="1">
        <f t="array" ref="S51">INDEX('PS-ConceptMap-2'!$I$15:$N$272,Q51+1,R51)</f>
        <v>* group[=].element[+].code = #PatientSummary.header.documentData.natureOfIPS</v>
      </c>
    </row>
    <row r="52" spans="1:19" x14ac:dyDescent="0.75">
      <c r="D52"/>
      <c r="E52"/>
      <c r="J52" s="69"/>
      <c r="K52" s="69"/>
      <c r="L52" s="69"/>
      <c r="M52" s="69"/>
      <c r="N52" s="69"/>
      <c r="P52" s="9">
        <v>38</v>
      </c>
      <c r="Q52" s="9">
        <f t="shared" si="6"/>
        <v>6</v>
      </c>
      <c r="R52" s="9">
        <f t="shared" si="7"/>
        <v>2</v>
      </c>
      <c r="S52" s="14" t="str" cm="1">
        <f t="array" ref="S52">INDEX('PS-ConceptMap-2'!$I$15:$N$272,Q52+1,R52)</f>
        <v>* group[=].element[=].display = ##34#A.1.4.3 Nature of the PS##34#</v>
      </c>
    </row>
    <row r="53" spans="1:19" x14ac:dyDescent="0.75">
      <c r="D53"/>
      <c r="E53"/>
      <c r="J53" s="69"/>
      <c r="K53" s="69"/>
      <c r="L53" s="69"/>
      <c r="M53" s="69"/>
      <c r="N53" s="69"/>
      <c r="P53" s="9">
        <v>39</v>
      </c>
      <c r="Q53" s="9">
        <f t="shared" si="6"/>
        <v>6</v>
      </c>
      <c r="R53" s="9">
        <f t="shared" si="7"/>
        <v>3</v>
      </c>
      <c r="S53" s="14" t="str" cm="1">
        <f t="array" ref="S53">INDEX('PS-ConceptMap-2'!$I$15:$N$272,Q53+1,R53)</f>
        <v>* group[=].element[=].target.code = #Composition.attester.party</v>
      </c>
    </row>
    <row r="54" spans="1:19" x14ac:dyDescent="0.75">
      <c r="D54"/>
      <c r="E54"/>
      <c r="J54" s="69"/>
      <c r="K54" s="69"/>
      <c r="L54" s="69"/>
      <c r="M54" s="69"/>
      <c r="N54" s="69"/>
      <c r="P54" s="9">
        <v>40</v>
      </c>
      <c r="Q54" s="9">
        <f t="shared" si="6"/>
        <v>6</v>
      </c>
      <c r="R54" s="9">
        <f t="shared" si="7"/>
        <v>4</v>
      </c>
      <c r="S54" s="14" t="str" cm="1">
        <f t="array" ref="S54">INDEX('PS-ConceptMap-2'!$I$15:$N$272,Q54+1,R54)</f>
        <v>* group[=].element[=].target.display = ##34###34#</v>
      </c>
    </row>
    <row r="55" spans="1:19" x14ac:dyDescent="0.75">
      <c r="D55"/>
      <c r="E55"/>
      <c r="P55" s="9">
        <v>41</v>
      </c>
      <c r="Q55" s="9">
        <f t="shared" si="6"/>
        <v>6</v>
      </c>
      <c r="R55" s="9">
        <f t="shared" si="7"/>
        <v>5</v>
      </c>
      <c r="S55" s="14" t="str" cm="1">
        <f t="array" ref="S55">INDEX('PS-ConceptMap-2'!$I$15:$N$272,Q55+1,R55)</f>
        <v>* group[=].element[=].target.equivalence = #equivalent</v>
      </c>
    </row>
    <row r="56" spans="1:19" ht="44.25" x14ac:dyDescent="0.75">
      <c r="D56"/>
      <c r="E56"/>
      <c r="P56" s="9">
        <v>42</v>
      </c>
      <c r="Q56" s="9">
        <f t="shared" si="6"/>
        <v>6</v>
      </c>
      <c r="R56" s="9">
        <f t="shared" si="7"/>
        <v>6</v>
      </c>
      <c r="S56" s="14" t="str" cm="1">
        <f t="array" ref="S56">INDEX('PS-ConceptMap-2'!$I$15:$N$272,Q56+1,R56)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INDEX('PS-ConceptMap-2'!$I$15:$N$272,Q57+1,R57)</f>
        <v>* group[=].element[+].code = #PatientSummary.header.participant</v>
      </c>
    </row>
    <row r="58" spans="1:19" x14ac:dyDescent="0.75">
      <c r="P58" s="9">
        <v>44</v>
      </c>
      <c r="Q58" s="9">
        <f t="shared" si="6"/>
        <v>7</v>
      </c>
      <c r="R58" s="9">
        <f t="shared" si="7"/>
        <v>2</v>
      </c>
      <c r="S58" s="14" t="str" cm="1">
        <f t="array" ref="S58">INDEX('PS-ConceptMap-2'!$I$15:$N$272,Q58+1,R58)</f>
        <v>* group[=].element[=].display = ##34#A.1.5 Author and Organisation##34#</v>
      </c>
    </row>
    <row r="59" spans="1:19" x14ac:dyDescent="0.75">
      <c r="P59" s="9">
        <v>45</v>
      </c>
      <c r="Q59" s="9">
        <f t="shared" si="6"/>
        <v>7</v>
      </c>
      <c r="R59" s="9">
        <f t="shared" si="7"/>
        <v>3</v>
      </c>
      <c r="S59" s="14" t="str" cm="1">
        <f t="array" ref="S59">INDEX('PS-ConceptMap-2'!$I$15:$N$272,Q59+1,R59)</f>
        <v>* group[=].element[=].target.code = #Composition</v>
      </c>
    </row>
    <row r="60" spans="1:19" x14ac:dyDescent="0.75">
      <c r="P60" s="9">
        <v>46</v>
      </c>
      <c r="Q60" s="9">
        <f t="shared" si="6"/>
        <v>7</v>
      </c>
      <c r="R60" s="9">
        <f t="shared" si="7"/>
        <v>4</v>
      </c>
      <c r="S60" s="14" t="str" cm="1">
        <f t="array" ref="S60">INDEX('PS-ConceptMap-2'!$I$15:$N$272,Q60+1,R60)</f>
        <v>* group[=].element[=].target.display = ##34###34#</v>
      </c>
    </row>
    <row r="61" spans="1:19" x14ac:dyDescent="0.75">
      <c r="P61" s="9">
        <v>47</v>
      </c>
      <c r="Q61" s="9">
        <f t="shared" si="6"/>
        <v>7</v>
      </c>
      <c r="R61" s="9">
        <f t="shared" si="7"/>
        <v>5</v>
      </c>
      <c r="S61" s="14" t="str" cm="1">
        <f t="array" ref="S61">INDEX('PS-ConceptMap-2'!$I$15:$N$272,Q61+1,R61)</f>
        <v>* group[=].element[=].target.equivalence = #relatedto</v>
      </c>
    </row>
    <row r="62" spans="1:19" x14ac:dyDescent="0.75">
      <c r="P62" s="9">
        <v>48</v>
      </c>
      <c r="Q62" s="9">
        <f t="shared" si="6"/>
        <v>7</v>
      </c>
      <c r="R62" s="9">
        <f t="shared" si="7"/>
        <v>6</v>
      </c>
      <c r="S62" s="14" t="str" cm="1">
        <f t="array" ref="S62">INDEX('PS-ConceptMap-2'!$I$15:$N$272,Q62+1,R62)</f>
        <v/>
      </c>
    </row>
    <row r="63" spans="1:19" x14ac:dyDescent="0.75">
      <c r="P63" s="9">
        <v>49</v>
      </c>
      <c r="Q63" s="9">
        <f t="shared" si="6"/>
        <v>8</v>
      </c>
      <c r="R63" s="9">
        <f t="shared" si="7"/>
        <v>1</v>
      </c>
      <c r="S63" s="14" t="str" cm="1">
        <f t="array" ref="S63">INDEX('PS-ConceptMap-2'!$I$15:$N$272,Q63+1,R63)</f>
        <v>* group[=].element[+].code = #PatientSummary.header.participant.author</v>
      </c>
    </row>
    <row r="64" spans="1:19" x14ac:dyDescent="0.75">
      <c r="P64" s="9">
        <v>50</v>
      </c>
      <c r="Q64" s="9">
        <f t="shared" si="6"/>
        <v>8</v>
      </c>
      <c r="R64" s="9">
        <f t="shared" si="7"/>
        <v>2</v>
      </c>
      <c r="S64" s="14" t="str" cm="1">
        <f t="array" ref="S64">INDEX('PS-ConceptMap-2'!$I$15:$N$272,Q64+1,R64)</f>
        <v>* group[=].element[=].display = ##34#A.1.5.1 Author organization##34#</v>
      </c>
    </row>
    <row r="65" spans="16:19" x14ac:dyDescent="0.75">
      <c r="P65" s="9">
        <v>51</v>
      </c>
      <c r="Q65" s="9">
        <f t="shared" si="6"/>
        <v>8</v>
      </c>
      <c r="R65" s="9">
        <f t="shared" si="7"/>
        <v>3</v>
      </c>
      <c r="S65" s="14" t="str" cm="1">
        <f t="array" ref="S65">INDEX('PS-ConceptMap-2'!$I$15:$N$272,Q65+1,R65)</f>
        <v>* group[=].element[=].target.code = #Composition.identifier</v>
      </c>
    </row>
    <row r="66" spans="16:19" x14ac:dyDescent="0.75">
      <c r="P66" s="9">
        <v>52</v>
      </c>
      <c r="Q66" s="9">
        <f t="shared" si="6"/>
        <v>8</v>
      </c>
      <c r="R66" s="9">
        <f t="shared" si="7"/>
        <v>4</v>
      </c>
      <c r="S66" s="14" t="str" cm="1">
        <f t="array" ref="S66">INDEX('PS-ConceptMap-2'!$I$15:$N$272,Q66+1,R66)</f>
        <v>* group[=].element[=].target.display = ##34###34#</v>
      </c>
    </row>
    <row r="67" spans="16:19" x14ac:dyDescent="0.75">
      <c r="P67" s="9">
        <v>53</v>
      </c>
      <c r="Q67" s="9">
        <f t="shared" si="6"/>
        <v>8</v>
      </c>
      <c r="R67" s="9">
        <f t="shared" si="7"/>
        <v>5</v>
      </c>
      <c r="S67" s="14" t="str" cm="1">
        <f t="array" ref="S67">INDEX('PS-ConceptMap-2'!$I$15:$N$272,Q67+1,R67)</f>
        <v>* group[=].element[=].target.equivalence = #equivalent</v>
      </c>
    </row>
    <row r="68" spans="16:19" ht="44.25" x14ac:dyDescent="0.75">
      <c r="P68" s="9">
        <v>54</v>
      </c>
      <c r="Q68" s="9">
        <f t="shared" si="6"/>
        <v>8</v>
      </c>
      <c r="R68" s="9">
        <f t="shared" si="7"/>
        <v>6</v>
      </c>
      <c r="S68" s="14" t="str" cm="1">
        <f t="array" ref="S68">INDEX('PS-ConceptMap-2'!$I$15:$N$272,Q68+1,R68)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INDEX('PS-ConceptMap-2'!$I$15:$N$272,Q69+1,R69)</f>
        <v>* group[=].element[+].code = #PatientSummary.header.participant.legalAuth</v>
      </c>
    </row>
    <row r="70" spans="16:19" x14ac:dyDescent="0.75">
      <c r="P70" s="9">
        <v>56</v>
      </c>
      <c r="Q70" s="9">
        <f t="shared" si="6"/>
        <v>9</v>
      </c>
      <c r="R70" s="9">
        <f t="shared" si="7"/>
        <v>2</v>
      </c>
      <c r="S70" s="14" t="str" cm="1">
        <f t="array" ref="S70">INDEX('PS-ConceptMap-2'!$I$15:$N$272,Q70+1,R70)</f>
        <v>* group[=].element[=].display = ##34#A.1.5.2 Legal authenticator##34#</v>
      </c>
    </row>
    <row r="71" spans="16:19" x14ac:dyDescent="0.75">
      <c r="P71" s="9">
        <v>57</v>
      </c>
      <c r="Q71" s="9">
        <f t="shared" si="6"/>
        <v>9</v>
      </c>
      <c r="R71" s="9">
        <f t="shared" si="7"/>
        <v>3</v>
      </c>
      <c r="S71" s="14" t="str" cm="1">
        <f t="array" ref="S71">INDEX('PS-ConceptMap-2'!$I$15:$N$272,Q71+1,R71)</f>
        <v>* group[=].element[=].target.code = #Composition.type</v>
      </c>
    </row>
    <row r="72" spans="16:19" x14ac:dyDescent="0.75">
      <c r="P72" s="9">
        <v>58</v>
      </c>
      <c r="Q72" s="9">
        <f t="shared" si="6"/>
        <v>9</v>
      </c>
      <c r="R72" s="9">
        <f t="shared" si="7"/>
        <v>4</v>
      </c>
      <c r="S72" s="14" t="str" cm="1">
        <f t="array" ref="S72">INDEX('PS-ConceptMap-2'!$I$15:$N$272,Q72+1,R72)</f>
        <v>* group[=].element[=].target.display = ##34###34#</v>
      </c>
    </row>
    <row r="73" spans="16:19" x14ac:dyDescent="0.75">
      <c r="P73" s="9">
        <v>59</v>
      </c>
      <c r="Q73" s="9">
        <f t="shared" si="6"/>
        <v>9</v>
      </c>
      <c r="R73" s="9">
        <f t="shared" si="7"/>
        <v>5</v>
      </c>
      <c r="S73" s="14" t="str" cm="1">
        <f t="array" ref="S73">INDEX('PS-ConceptMap-2'!$I$15:$N$272,Q73+1,R73)</f>
        <v>* group[=].element[=].target.equivalence = #equivalent</v>
      </c>
    </row>
    <row r="74" spans="16:19" x14ac:dyDescent="0.75">
      <c r="P74" s="9">
        <v>60</v>
      </c>
      <c r="Q74" s="9">
        <f t="shared" si="6"/>
        <v>9</v>
      </c>
      <c r="R74" s="9">
        <f t="shared" si="7"/>
        <v>6</v>
      </c>
      <c r="S74" s="14" t="str" cm="1">
        <f t="array" ref="S74">INDEX('PS-ConceptMap-2'!$I$15:$N$272,Q74+1,R74)</f>
        <v/>
      </c>
    </row>
    <row r="75" spans="16:19" x14ac:dyDescent="0.75">
      <c r="P75" s="9">
        <v>61</v>
      </c>
      <c r="Q75" s="9">
        <f t="shared" si="6"/>
        <v>10</v>
      </c>
      <c r="R75" s="9">
        <f t="shared" si="7"/>
        <v>1</v>
      </c>
      <c r="S75" s="14" t="str" cm="1">
        <f t="array" ref="S75">INDEX('PS-ConceptMap-2'!$I$15:$N$272,Q75+1,R75)</f>
        <v>* group[=].element[+].code = #PatientSummary.header.additionalInfo</v>
      </c>
    </row>
    <row r="76" spans="16:19" ht="29.5" x14ac:dyDescent="0.75">
      <c r="P76" s="9">
        <v>62</v>
      </c>
      <c r="Q76" s="9">
        <f t="shared" si="6"/>
        <v>10</v>
      </c>
      <c r="R76" s="9">
        <f t="shared" si="7"/>
        <v>2</v>
      </c>
      <c r="S76" s="14" t="str" cm="1">
        <f t="array" ref="S76">INDEX('PS-ConceptMap-2'!$I$15:$N$272,Q76+1,R76)</f>
        <v>* group[=].element[=].display = ##34#A.1.6 Additional information / Knowledge resources##34#</v>
      </c>
    </row>
    <row r="77" spans="16:19" x14ac:dyDescent="0.75">
      <c r="P77" s="9">
        <v>63</v>
      </c>
      <c r="Q77" s="9">
        <f t="shared" si="6"/>
        <v>10</v>
      </c>
      <c r="R77" s="9">
        <f t="shared" si="7"/>
        <v>3</v>
      </c>
      <c r="S77" s="14" t="str" cm="1">
        <f t="array" ref="S77">INDEX('PS-ConceptMap-2'!$I$15:$N$272,Q77+1,R77)</f>
        <v>* group[=].element[=].target.code = #Composition.status</v>
      </c>
    </row>
    <row r="78" spans="16:19" x14ac:dyDescent="0.75">
      <c r="P78" s="9">
        <v>64</v>
      </c>
      <c r="Q78" s="9">
        <f t="shared" si="6"/>
        <v>10</v>
      </c>
      <c r="R78" s="9">
        <f t="shared" si="7"/>
        <v>4</v>
      </c>
      <c r="S78" s="14" t="str" cm="1">
        <f t="array" ref="S78">INDEX('PS-ConceptMap-2'!$I$15:$N$272,Q78+1,R78)</f>
        <v>* group[=].element[=].target.display = ##34###34#</v>
      </c>
    </row>
    <row r="79" spans="16:19" x14ac:dyDescent="0.75">
      <c r="P79" s="9">
        <v>65</v>
      </c>
      <c r="Q79" s="9">
        <f t="shared" si="6"/>
        <v>10</v>
      </c>
      <c r="R79" s="9">
        <f t="shared" si="7"/>
        <v>5</v>
      </c>
      <c r="S79" s="14" t="str" cm="1">
        <f t="array" ref="S79">INDEX('PS-ConceptMap-2'!$I$15:$N$272,Q79+1,R79)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INDEX('PS-ConceptMap-2'!$I$15:$N$272,Q80+1,R80)</f>
        <v>* group[=].element[=].target.comment = ##34#For FHIR R4 the more granular status is recorded in the DiagnosticReport.status. Mapping rules for valuing the Compisition.status are specified in http://hl7.eu/fhir/ig/xpandh/ps/ConceptMap/ConceptMap-eu-diagRptStatus2CompStatus##34#</v>
      </c>
    </row>
    <row r="81" spans="16:19" x14ac:dyDescent="0.75">
      <c r="P81" s="9">
        <v>67</v>
      </c>
      <c r="Q81" s="9">
        <f t="shared" si="14"/>
        <v>11</v>
      </c>
      <c r="R81" s="9">
        <f t="shared" si="15"/>
        <v>1</v>
      </c>
      <c r="S81" s="14" t="str" cm="1">
        <f t="array" ref="S81">INDEX('PS-ConceptMap-2'!$I$15:$N$272,Q81+1,R81)</f>
        <v>* group[=].element[+].code = #PatientSummary.header.additionalInfo.reference</v>
      </c>
    </row>
    <row r="82" spans="16:19" x14ac:dyDescent="0.75">
      <c r="P82" s="9">
        <v>68</v>
      </c>
      <c r="Q82" s="9">
        <f t="shared" si="14"/>
        <v>11</v>
      </c>
      <c r="R82" s="9">
        <f t="shared" si="15"/>
        <v>2</v>
      </c>
      <c r="S82" s="14" t="str" cm="1">
        <f t="array" ref="S82">INDEX('PS-ConceptMap-2'!$I$15:$N$272,Q82+1,R82)</f>
        <v>* group[=].element[=].display = ##34#A.1.6.1 External reference##34#</v>
      </c>
    </row>
    <row r="83" spans="16:19" x14ac:dyDescent="0.75">
      <c r="P83" s="9">
        <v>69</v>
      </c>
      <c r="Q83" s="9">
        <f t="shared" si="14"/>
        <v>11</v>
      </c>
      <c r="R83" s="9">
        <f t="shared" si="15"/>
        <v>3</v>
      </c>
      <c r="S83" s="14" t="str" cm="1">
        <f t="array" ref="S83">INDEX('PS-ConceptMap-2'!$I$15:$N$272,Q83+1,R83)</f>
        <v>* group[=].element[=].target.code = #Composition.date</v>
      </c>
    </row>
    <row r="84" spans="16:19" x14ac:dyDescent="0.75">
      <c r="P84" s="9">
        <v>70</v>
      </c>
      <c r="Q84" s="9">
        <f t="shared" si="14"/>
        <v>11</v>
      </c>
      <c r="R84" s="9">
        <f t="shared" si="15"/>
        <v>4</v>
      </c>
      <c r="S84" s="14" t="str" cm="1">
        <f t="array" ref="S84">INDEX('PS-ConceptMap-2'!$I$15:$N$272,Q84+1,R84)</f>
        <v>* group[=].element[=].target.display = ##34###34#</v>
      </c>
    </row>
    <row r="85" spans="16:19" x14ac:dyDescent="0.75">
      <c r="P85" s="9">
        <v>71</v>
      </c>
      <c r="Q85" s="9">
        <f t="shared" si="14"/>
        <v>11</v>
      </c>
      <c r="R85" s="9">
        <f t="shared" si="15"/>
        <v>5</v>
      </c>
      <c r="S85" s="14" t="str" cm="1">
        <f t="array" ref="S85">INDEX('PS-ConceptMap-2'!$I$15:$N$272,Q85+1,R85)</f>
        <v>* group[=].element[=].target.equivalence = #equivalent</v>
      </c>
    </row>
    <row r="86" spans="16:19" x14ac:dyDescent="0.75">
      <c r="P86" s="9">
        <v>72</v>
      </c>
      <c r="Q86" s="9">
        <f t="shared" si="14"/>
        <v>11</v>
      </c>
      <c r="R86" s="9">
        <f t="shared" si="15"/>
        <v>6</v>
      </c>
      <c r="S86" s="14" t="str" cm="1">
        <f t="array" ref="S86">INDEX('PS-ConceptMap-2'!$I$15:$N$272,Q86+1,R86)</f>
        <v/>
      </c>
    </row>
    <row r="87" spans="16:19" x14ac:dyDescent="0.75">
      <c r="P87" s="9">
        <v>73</v>
      </c>
      <c r="Q87" s="9">
        <f t="shared" si="14"/>
        <v>12</v>
      </c>
      <c r="R87" s="9">
        <f t="shared" si="15"/>
        <v>1</v>
      </c>
      <c r="S87" s="14" t="str" cm="1">
        <f t="array" ref="S87">INDEX('PS-ConceptMap-2'!$I$15:$N$272,Q87+1,R87)</f>
        <v>* group[=].element[+].code = #PatientSummary.header.additionalInfo.relatedWith</v>
      </c>
    </row>
    <row r="88" spans="16:19" x14ac:dyDescent="0.75">
      <c r="P88" s="9">
        <v>74</v>
      </c>
      <c r="Q88" s="9">
        <f t="shared" si="14"/>
        <v>12</v>
      </c>
      <c r="R88" s="9">
        <f t="shared" si="15"/>
        <v>2</v>
      </c>
      <c r="S88" s="14" t="str" cm="1">
        <f t="array" ref="S88">INDEX('PS-ConceptMap-2'!$I$15:$N$272,Q88+1,R88)</f>
        <v>* group[=].element[=].display = ##34#A.1.6.2 Related with##34#</v>
      </c>
    </row>
    <row r="89" spans="16:19" x14ac:dyDescent="0.75">
      <c r="P89" s="9">
        <v>75</v>
      </c>
      <c r="Q89" s="9">
        <f t="shared" si="14"/>
        <v>12</v>
      </c>
      <c r="R89" s="9">
        <f t="shared" si="15"/>
        <v>3</v>
      </c>
      <c r="S89" s="14" t="str" cm="1">
        <f t="array" ref="S89">INDEX('PS-ConceptMap-2'!$I$15:$N$272,Q89+1,R89)</f>
        <v>* group[=].element[=].target.code = #Composition.title</v>
      </c>
    </row>
    <row r="90" spans="16:19" x14ac:dyDescent="0.75">
      <c r="P90" s="9">
        <v>76</v>
      </c>
      <c r="Q90" s="9">
        <f t="shared" si="14"/>
        <v>12</v>
      </c>
      <c r="R90" s="9">
        <f t="shared" si="15"/>
        <v>4</v>
      </c>
      <c r="S90" s="14" t="str" cm="1">
        <f t="array" ref="S90">INDEX('PS-ConceptMap-2'!$I$15:$N$272,Q90+1,R90)</f>
        <v>* group[=].element[=].target.display = ##34###34#</v>
      </c>
    </row>
    <row r="91" spans="16:19" x14ac:dyDescent="0.75">
      <c r="P91" s="9">
        <v>77</v>
      </c>
      <c r="Q91" s="9">
        <f t="shared" si="14"/>
        <v>12</v>
      </c>
      <c r="R91" s="9">
        <f t="shared" si="15"/>
        <v>5</v>
      </c>
      <c r="S91" s="14" t="str" cm="1">
        <f t="array" ref="S91">INDEX('PS-ConceptMap-2'!$I$15:$N$272,Q91+1,R91)</f>
        <v>* group[=].element[=].target.equivalence = #equivalent</v>
      </c>
    </row>
    <row r="92" spans="16:19" x14ac:dyDescent="0.75">
      <c r="P92" s="9">
        <v>78</v>
      </c>
      <c r="Q92" s="9">
        <f t="shared" si="14"/>
        <v>12</v>
      </c>
      <c r="R92" s="9">
        <f t="shared" si="15"/>
        <v>6</v>
      </c>
      <c r="S92" s="14" t="str" cm="1">
        <f t="array" ref="S92">INDEX('PS-ConceptMap-2'!$I$15:$N$272,Q92+1,R92)</f>
        <v/>
      </c>
    </row>
    <row r="93" spans="16:19" x14ac:dyDescent="0.75">
      <c r="P93" s="9">
        <v>79</v>
      </c>
      <c r="Q93" s="9">
        <f t="shared" si="14"/>
        <v>13</v>
      </c>
      <c r="R93" s="9">
        <f t="shared" si="15"/>
        <v>1</v>
      </c>
      <c r="S93" s="14" t="e" cm="1">
        <f t="array" ref="S93">INDEX('PS-ConceptMap-2'!$I$15:$N$272,Q93+1,R93)</f>
        <v>#REF!</v>
      </c>
    </row>
    <row r="94" spans="16:19" x14ac:dyDescent="0.75">
      <c r="P94" s="9">
        <v>80</v>
      </c>
      <c r="Q94" s="9">
        <f t="shared" si="14"/>
        <v>13</v>
      </c>
      <c r="R94" s="9">
        <f t="shared" si="15"/>
        <v>2</v>
      </c>
      <c r="S94" s="14" t="e" cm="1">
        <f t="array" ref="S94">INDEX('PS-ConceptMap-2'!$I$15:$N$272,Q94+1,R94)</f>
        <v>#REF!</v>
      </c>
    </row>
    <row r="95" spans="16:19" x14ac:dyDescent="0.75">
      <c r="P95" s="9">
        <v>81</v>
      </c>
      <c r="Q95" s="9">
        <f t="shared" si="14"/>
        <v>13</v>
      </c>
      <c r="R95" s="9">
        <f t="shared" si="15"/>
        <v>3</v>
      </c>
      <c r="S95" s="14" t="str" cm="1">
        <f t="array" ref="S95">INDEX('PS-ConceptMap-2'!$I$15:$N$272,Q95+1,R95)</f>
        <v>* group[=].element[=].target.code = #Composition.category</v>
      </c>
    </row>
    <row r="96" spans="16:19" x14ac:dyDescent="0.75">
      <c r="P96" s="9">
        <v>82</v>
      </c>
      <c r="Q96" s="9">
        <f t="shared" si="14"/>
        <v>13</v>
      </c>
      <c r="R96" s="9">
        <f t="shared" si="15"/>
        <v>4</v>
      </c>
      <c r="S96" s="14" t="str" cm="1">
        <f t="array" ref="S96">INDEX('PS-ConceptMap-2'!$I$15:$N$272,Q96+1,R96)</f>
        <v>* group[=].element[=].target.display = ##34###34#</v>
      </c>
    </row>
    <row r="97" spans="16:19" x14ac:dyDescent="0.75">
      <c r="P97" s="9">
        <v>83</v>
      </c>
      <c r="Q97" s="9">
        <f t="shared" si="14"/>
        <v>13</v>
      </c>
      <c r="R97" s="9">
        <f t="shared" si="15"/>
        <v>5</v>
      </c>
      <c r="S97" s="14" t="str" cm="1">
        <f t="array" ref="S97">INDEX('PS-ConceptMap-2'!$I$15:$N$272,Q97+1,R97)</f>
        <v>* group[=].element[=].target.equivalence = #relatedto</v>
      </c>
    </row>
    <row r="98" spans="16:19" x14ac:dyDescent="0.75">
      <c r="P98" s="9">
        <v>84</v>
      </c>
      <c r="Q98" s="9">
        <f t="shared" si="14"/>
        <v>13</v>
      </c>
      <c r="R98" s="9">
        <f t="shared" si="15"/>
        <v>6</v>
      </c>
      <c r="S98" s="14" t="str" cm="1">
        <f t="array" ref="S98">INDEX('PS-ConceptMap-2'!$I$15:$N$272,Q98+1,R98)</f>
        <v/>
      </c>
    </row>
    <row r="99" spans="16:19" x14ac:dyDescent="0.75">
      <c r="P99" s="9">
        <v>85</v>
      </c>
      <c r="Q99" s="9">
        <f t="shared" si="14"/>
        <v>14</v>
      </c>
      <c r="R99" s="9">
        <f t="shared" si="15"/>
        <v>1</v>
      </c>
      <c r="S99" s="14" t="e" cm="1">
        <f t="array" ref="S99">INDEX('PS-ConceptMap-2'!$I$15:$N$272,Q99+1,R99)</f>
        <v>#REF!</v>
      </c>
    </row>
    <row r="100" spans="16:19" x14ac:dyDescent="0.75">
      <c r="P100" s="9">
        <v>86</v>
      </c>
      <c r="Q100" s="9">
        <f t="shared" si="14"/>
        <v>14</v>
      </c>
      <c r="R100" s="9">
        <f t="shared" si="15"/>
        <v>2</v>
      </c>
      <c r="S100" s="14" t="e" cm="1">
        <f t="array" ref="S100">INDEX('PS-ConceptMap-2'!$I$15:$N$272,Q100+1,R100)</f>
        <v>#REF!</v>
      </c>
    </row>
    <row r="101" spans="16:19" x14ac:dyDescent="0.75">
      <c r="P101" s="9">
        <v>87</v>
      </c>
      <c r="Q101" s="9">
        <f t="shared" si="14"/>
        <v>14</v>
      </c>
      <c r="R101" s="9">
        <f t="shared" si="15"/>
        <v>3</v>
      </c>
      <c r="S101" s="14" t="str" cm="1">
        <f t="array" ref="S101">INDEX('PS-ConceptMap-2'!$I$15:$N$272,Q101+1,R101)</f>
        <v>* group[=].element[=].target.code = #Composition.custodian</v>
      </c>
    </row>
    <row r="102" spans="16:19" x14ac:dyDescent="0.75">
      <c r="P102" s="9">
        <v>88</v>
      </c>
      <c r="Q102" s="9">
        <f t="shared" si="14"/>
        <v>14</v>
      </c>
      <c r="R102" s="9">
        <f t="shared" si="15"/>
        <v>4</v>
      </c>
      <c r="S102" s="14" t="str" cm="1">
        <f t="array" ref="S102">INDEX('PS-ConceptMap-2'!$I$15:$N$272,Q102+1,R102)</f>
        <v>* group[=].element[=].target.display = ##34###34#</v>
      </c>
    </row>
    <row r="103" spans="16:19" x14ac:dyDescent="0.75">
      <c r="P103" s="9">
        <v>89</v>
      </c>
      <c r="Q103" s="9">
        <f t="shared" si="14"/>
        <v>14</v>
      </c>
      <c r="R103" s="9">
        <f t="shared" si="15"/>
        <v>5</v>
      </c>
      <c r="S103" s="14" t="str" cm="1">
        <f t="array" ref="S103">INDEX('PS-ConceptMap-2'!$I$15:$N$272,Q103+1,R103)</f>
        <v>* group[=].element[=].target.equivalence = #equivalent</v>
      </c>
    </row>
    <row r="104" spans="16:19" x14ac:dyDescent="0.75">
      <c r="P104" s="9">
        <v>90</v>
      </c>
      <c r="Q104" s="9">
        <f t="shared" si="14"/>
        <v>14</v>
      </c>
      <c r="R104" s="9">
        <f t="shared" si="15"/>
        <v>6</v>
      </c>
      <c r="S104" s="14" t="str" cm="1">
        <f t="array" ref="S104">INDEX('PS-ConceptMap-2'!$I$15:$N$272,Q104+1,R104)</f>
        <v/>
      </c>
    </row>
    <row r="105" spans="16:19" x14ac:dyDescent="0.75">
      <c r="P105" s="9">
        <v>91</v>
      </c>
      <c r="Q105" s="9">
        <f t="shared" si="14"/>
        <v>15</v>
      </c>
      <c r="R105" s="9">
        <f t="shared" si="15"/>
        <v>1</v>
      </c>
      <c r="S105" s="14" t="e" cm="1">
        <f t="array" ref="S105">INDEX('PS-ConceptMap-2'!$I$15:$N$272,Q105+1,R105)</f>
        <v>#REF!</v>
      </c>
    </row>
    <row r="106" spans="16:19" x14ac:dyDescent="0.75">
      <c r="P106" s="9">
        <v>92</v>
      </c>
      <c r="Q106" s="9">
        <f t="shared" si="14"/>
        <v>15</v>
      </c>
      <c r="R106" s="9">
        <f t="shared" si="15"/>
        <v>2</v>
      </c>
      <c r="S106" s="14" t="e" cm="1">
        <f t="array" ref="S106">INDEX('PS-ConceptMap-2'!$I$15:$N$272,Q106+1,R106)</f>
        <v>#REF!</v>
      </c>
    </row>
    <row r="107" spans="16:19" x14ac:dyDescent="0.75">
      <c r="P107" s="9">
        <v>93</v>
      </c>
      <c r="Q107" s="9">
        <f t="shared" si="14"/>
        <v>15</v>
      </c>
      <c r="R107" s="9">
        <f t="shared" si="15"/>
        <v>3</v>
      </c>
      <c r="S107" s="14" t="str" cm="1">
        <f t="array" ref="S107">INDEX('PS-ConceptMap-2'!$I$15:$N$272,Q107+1,R107)</f>
        <v>* group[=].element[=].target.code = #Composition.confidentiality</v>
      </c>
    </row>
    <row r="108" spans="16:19" x14ac:dyDescent="0.75">
      <c r="P108" s="9">
        <v>94</v>
      </c>
      <c r="Q108" s="9">
        <f t="shared" si="14"/>
        <v>15</v>
      </c>
      <c r="R108" s="9">
        <f t="shared" si="15"/>
        <v>4</v>
      </c>
      <c r="S108" s="14" t="str" cm="1">
        <f t="array" ref="S108">INDEX('PS-ConceptMap-2'!$I$15:$N$272,Q108+1,R108)</f>
        <v>* group[=].element[=].target.display = ##34###34#</v>
      </c>
    </row>
    <row r="109" spans="16:19" x14ac:dyDescent="0.75">
      <c r="P109" s="9">
        <v>95</v>
      </c>
      <c r="Q109" s="9">
        <f t="shared" si="14"/>
        <v>15</v>
      </c>
      <c r="R109" s="9">
        <f t="shared" si="15"/>
        <v>5</v>
      </c>
      <c r="S109" s="14" t="str" cm="1">
        <f t="array" ref="S109">INDEX('PS-ConceptMap-2'!$I$15:$N$272,Q109+1,R109)</f>
        <v>* group[=].element[=].target.equivalence = #equivalent</v>
      </c>
    </row>
    <row r="110" spans="16:19" x14ac:dyDescent="0.75">
      <c r="P110" s="9">
        <v>96</v>
      </c>
      <c r="Q110" s="9">
        <f t="shared" si="14"/>
        <v>15</v>
      </c>
      <c r="R110" s="9">
        <f t="shared" si="15"/>
        <v>6</v>
      </c>
      <c r="S110" s="14" t="str" cm="1">
        <f t="array" ref="S110">INDEX('PS-ConceptMap-2'!$I$15:$N$272,Q110+1,R110)</f>
        <v/>
      </c>
    </row>
    <row r="111" spans="16:19" x14ac:dyDescent="0.75">
      <c r="P111" s="9">
        <v>97</v>
      </c>
      <c r="Q111" s="9">
        <f t="shared" si="14"/>
        <v>16</v>
      </c>
      <c r="R111" s="9">
        <f t="shared" si="15"/>
        <v>1</v>
      </c>
      <c r="S111" s="14" t="e" cm="1">
        <f t="array" ref="S111">INDEX('PS-ConceptMap-2'!$I$15:$N$272,Q111+1,R111)</f>
        <v>#REF!</v>
      </c>
    </row>
    <row r="112" spans="16:19" x14ac:dyDescent="0.75">
      <c r="P112" s="9">
        <v>98</v>
      </c>
      <c r="Q112" s="9">
        <f t="shared" si="14"/>
        <v>16</v>
      </c>
      <c r="R112" s="9">
        <f t="shared" si="15"/>
        <v>2</v>
      </c>
      <c r="S112" s="14" t="e" cm="1">
        <f t="array" ref="S112">INDEX('PS-ConceptMap-2'!$I$15:$N$272,Q112+1,R112)</f>
        <v>#REF!</v>
      </c>
    </row>
    <row r="113" spans="16:19" x14ac:dyDescent="0.75">
      <c r="P113" s="9">
        <v>99</v>
      </c>
      <c r="Q113" s="9">
        <f t="shared" si="14"/>
        <v>16</v>
      </c>
      <c r="R113" s="9">
        <f t="shared" si="15"/>
        <v>3</v>
      </c>
      <c r="S113" s="14" t="str" cm="1">
        <f t="array" ref="S113">INDEX('PS-ConceptMap-2'!$I$15:$N$272,Q113+1,R113)</f>
        <v>* group[=].element[=].target.code = #Composition.language</v>
      </c>
    </row>
    <row r="114" spans="16:19" x14ac:dyDescent="0.75">
      <c r="P114" s="9">
        <v>100</v>
      </c>
      <c r="Q114" s="9">
        <f t="shared" si="14"/>
        <v>16</v>
      </c>
      <c r="R114" s="9">
        <f t="shared" si="15"/>
        <v>4</v>
      </c>
      <c r="S114" s="14" t="str" cm="1">
        <f t="array" ref="S114">INDEX('PS-ConceptMap-2'!$I$15:$N$272,Q114+1,R114)</f>
        <v>* group[=].element[=].target.display = ##34###34#</v>
      </c>
    </row>
    <row r="115" spans="16:19" x14ac:dyDescent="0.75">
      <c r="P115" s="9">
        <v>101</v>
      </c>
      <c r="Q115" s="9">
        <f t="shared" si="14"/>
        <v>16</v>
      </c>
      <c r="R115" s="9">
        <f t="shared" si="15"/>
        <v>5</v>
      </c>
      <c r="S115" s="14" t="str" cm="1">
        <f t="array" ref="S115">INDEX('PS-ConceptMap-2'!$I$15:$N$272,Q115+1,R115)</f>
        <v>* group[=].element[=].target.equivalence = #equivalent</v>
      </c>
    </row>
    <row r="116" spans="16:19" x14ac:dyDescent="0.75">
      <c r="P116" s="9">
        <v>102</v>
      </c>
      <c r="Q116" s="9">
        <f t="shared" si="14"/>
        <v>16</v>
      </c>
      <c r="R116" s="9">
        <f t="shared" si="15"/>
        <v>6</v>
      </c>
      <c r="S116" s="14" t="str" cm="1">
        <f t="array" ref="S116">INDEX('PS-ConceptMap-2'!$I$15:$N$272,Q116+1,R116)</f>
        <v/>
      </c>
    </row>
    <row r="117" spans="16:19" x14ac:dyDescent="0.75">
      <c r="P117" s="9">
        <v>103</v>
      </c>
      <c r="Q117" s="9">
        <f t="shared" si="14"/>
        <v>17</v>
      </c>
      <c r="R117" s="9">
        <f t="shared" si="15"/>
        <v>1</v>
      </c>
      <c r="S117" s="14" t="e" cm="1">
        <f t="array" ref="S117">INDEX('PS-ConceptMap-2'!$I$15:$N$272,Q117+1,R117)</f>
        <v>#REF!</v>
      </c>
    </row>
    <row r="118" spans="16:19" x14ac:dyDescent="0.75">
      <c r="P118" s="9">
        <v>104</v>
      </c>
      <c r="Q118" s="9">
        <f t="shared" si="14"/>
        <v>17</v>
      </c>
      <c r="R118" s="9">
        <f t="shared" si="15"/>
        <v>2</v>
      </c>
      <c r="S118" s="14" t="e" cm="1">
        <f t="array" ref="S118">INDEX('PS-ConceptMap-2'!$I$15:$N$272,Q118+1,R118)</f>
        <v>#REF!</v>
      </c>
    </row>
    <row r="119" spans="16:19" x14ac:dyDescent="0.75">
      <c r="P119" s="9">
        <v>105</v>
      </c>
      <c r="Q119" s="9">
        <f t="shared" si="14"/>
        <v>17</v>
      </c>
      <c r="R119" s="9">
        <f t="shared" si="15"/>
        <v>3</v>
      </c>
      <c r="S119" s="14" t="str" cm="1">
        <f t="array" ref="S119">INDEX('PS-ConceptMap-2'!$I$15:$N$272,Q119+1,R119)</f>
        <v>* group[=].element[=].target.code = #Composition.extension:versionNumber</v>
      </c>
    </row>
    <row r="120" spans="16:19" x14ac:dyDescent="0.75">
      <c r="P120" s="9">
        <v>106</v>
      </c>
      <c r="Q120" s="9">
        <f t="shared" si="14"/>
        <v>17</v>
      </c>
      <c r="R120" s="9">
        <f t="shared" si="15"/>
        <v>4</v>
      </c>
      <c r="S120" s="14" t="str" cm="1">
        <f t="array" ref="S120">INDEX('PS-ConceptMap-2'!$I$15:$N$272,Q120+1,R120)</f>
        <v>* group[=].element[=].target.display = ##34###34#</v>
      </c>
    </row>
    <row r="121" spans="16:19" x14ac:dyDescent="0.75">
      <c r="P121" s="9">
        <v>107</v>
      </c>
      <c r="Q121" s="9">
        <f t="shared" si="14"/>
        <v>17</v>
      </c>
      <c r="R121" s="9">
        <f t="shared" si="15"/>
        <v>5</v>
      </c>
      <c r="S121" s="14" t="str" cm="1">
        <f t="array" ref="S121">INDEX('PS-ConceptMap-2'!$I$15:$N$272,Q121+1,R121)</f>
        <v>* group[=].element[=].target.equivalence = #equivalent</v>
      </c>
    </row>
    <row r="122" spans="16:19" ht="29.5" x14ac:dyDescent="0.75">
      <c r="P122" s="9">
        <v>108</v>
      </c>
      <c r="Q122" s="9">
        <f t="shared" si="14"/>
        <v>17</v>
      </c>
      <c r="R122" s="9">
        <f t="shared" si="15"/>
        <v>6</v>
      </c>
      <c r="S122" s="14" t="str" cm="1">
        <f t="array" ref="S122">INDEX('PS-ConceptMap-2'!$I$15:$N$272,Q122+1,R122)</f>
        <v>* group[=].element[=].target.comment = ##34#if it refers to the business report version##34#</v>
      </c>
    </row>
    <row r="123" spans="16:19" x14ac:dyDescent="0.75">
      <c r="P123" s="9">
        <v>109</v>
      </c>
      <c r="Q123" s="9">
        <f t="shared" si="14"/>
        <v>18</v>
      </c>
      <c r="R123" s="9">
        <f t="shared" si="15"/>
        <v>1</v>
      </c>
      <c r="S123" s="14" t="e" cm="1">
        <f t="array" ref="S123">INDEX('PS-ConceptMap-2'!$I$15:$N$272,Q123+1,R123)</f>
        <v>#REF!</v>
      </c>
    </row>
    <row r="124" spans="16:19" x14ac:dyDescent="0.75">
      <c r="P124" s="9">
        <v>110</v>
      </c>
      <c r="Q124" s="9">
        <f t="shared" si="14"/>
        <v>18</v>
      </c>
      <c r="R124" s="9">
        <f t="shared" si="15"/>
        <v>2</v>
      </c>
      <c r="S124" s="14" t="e" cm="1">
        <f t="array" ref="S124">INDEX('PS-ConceptMap-2'!$I$15:$N$272,Q124+1,R124)</f>
        <v>#REF!</v>
      </c>
    </row>
    <row r="125" spans="16:19" ht="29.5" x14ac:dyDescent="0.75">
      <c r="P125" s="9">
        <v>111</v>
      </c>
      <c r="Q125" s="9">
        <f t="shared" si="14"/>
        <v>18</v>
      </c>
      <c r="R125" s="9">
        <f t="shared" si="15"/>
        <v>3</v>
      </c>
      <c r="S125" s="14" t="str" cm="1">
        <f t="array" ref="S125">INDEX('PS-ConceptMap-2'!$I$15:$N$272,Q125+1,R125)</f>
        <v>* group[=].element[=].target.code = #Composition.extension:basedOn-vaccination-or-requisition.insurance</v>
      </c>
    </row>
    <row r="126" spans="16:19" x14ac:dyDescent="0.75">
      <c r="P126" s="9">
        <v>112</v>
      </c>
      <c r="Q126" s="9">
        <f t="shared" si="14"/>
        <v>18</v>
      </c>
      <c r="R126" s="9">
        <f t="shared" si="15"/>
        <v>4</v>
      </c>
      <c r="S126" s="14" t="str" cm="1">
        <f t="array" ref="S126">INDEX('PS-ConceptMap-2'!$I$15:$N$272,Q126+1,R126)</f>
        <v>* group[=].element[=].target.display = ##34###34#</v>
      </c>
    </row>
    <row r="127" spans="16:19" x14ac:dyDescent="0.75">
      <c r="P127" s="9">
        <v>113</v>
      </c>
      <c r="Q127" s="9">
        <f t="shared" si="14"/>
        <v>18</v>
      </c>
      <c r="R127" s="9">
        <f t="shared" si="15"/>
        <v>5</v>
      </c>
      <c r="S127" s="14" t="str" cm="1">
        <f t="array" ref="S127">INDEX('PS-ConceptMap-2'!$I$15:$N$272,Q127+1,R127)</f>
        <v>* group[=].element[=].target.equivalence = #relatedto</v>
      </c>
    </row>
    <row r="128" spans="16:19" ht="44.25" x14ac:dyDescent="0.75">
      <c r="P128" s="9">
        <v>114</v>
      </c>
      <c r="Q128" s="9">
        <f t="shared" si="14"/>
        <v>18</v>
      </c>
      <c r="R128" s="9">
        <f t="shared" si="15"/>
        <v>6</v>
      </c>
      <c r="S128" s="14" t="str" cm="1">
        <f t="array" ref="S128">INDEX('PS-ConceptMap-2'!$I$15:$N$272,Q128+1,R128)</f>
        <v>* group[=].element[=].target.comment = ##34#extension(http://hl7.eu/fhir/ig/xpandh/ps/StructureDefinition/composition-basedOn-vaccination-or-requisition).resolve().ofType(ServiceRequest)##34#</v>
      </c>
    </row>
    <row r="129" spans="16:19" x14ac:dyDescent="0.75">
      <c r="P129" s="9">
        <v>115</v>
      </c>
      <c r="Q129" s="9">
        <f t="shared" si="14"/>
        <v>19</v>
      </c>
      <c r="R129" s="9">
        <f t="shared" si="15"/>
        <v>1</v>
      </c>
      <c r="S129" s="14" t="e" cm="1">
        <f t="array" ref="S129">INDEX('PS-ConceptMap-2'!$I$15:$N$272,Q129+1,R129)</f>
        <v>#REF!</v>
      </c>
    </row>
    <row r="130" spans="16:19" x14ac:dyDescent="0.75">
      <c r="P130" s="9">
        <v>116</v>
      </c>
      <c r="Q130" s="9">
        <f t="shared" si="14"/>
        <v>19</v>
      </c>
      <c r="R130" s="9">
        <f t="shared" si="15"/>
        <v>2</v>
      </c>
      <c r="S130" s="14" t="e" cm="1">
        <f t="array" ref="S130">INDEX('PS-ConceptMap-2'!$I$15:$N$272,Q130+1,R130)</f>
        <v>#REF!</v>
      </c>
    </row>
    <row r="131" spans="16:19" ht="29.5" x14ac:dyDescent="0.75">
      <c r="P131" s="9">
        <v>117</v>
      </c>
      <c r="Q131" s="9">
        <f t="shared" si="14"/>
        <v>19</v>
      </c>
      <c r="R131" s="9">
        <f t="shared" si="15"/>
        <v>3</v>
      </c>
      <c r="S131" s="14" t="str" cm="1">
        <f t="array" ref="S131">INDEX('PS-ConceptMap-2'!$I$15:$N$272,Q131+1,R131)</f>
        <v>* group[=].element[=].target.code = #Composition.section:ps-no-subsections.entry.specimen</v>
      </c>
    </row>
    <row r="132" spans="16:19" x14ac:dyDescent="0.75">
      <c r="P132" s="9">
        <v>118</v>
      </c>
      <c r="Q132" s="9">
        <f t="shared" si="14"/>
        <v>19</v>
      </c>
      <c r="R132" s="9">
        <f t="shared" si="15"/>
        <v>4</v>
      </c>
      <c r="S132" s="14" t="str" cm="1">
        <f t="array" ref="S132">INDEX('PS-ConceptMap-2'!$I$15:$N$272,Q132+1,R132)</f>
        <v>* group[=].element[=].target.display = ##34###34#</v>
      </c>
    </row>
    <row r="133" spans="16:19" x14ac:dyDescent="0.75">
      <c r="P133" s="9">
        <v>119</v>
      </c>
      <c r="Q133" s="9">
        <f t="shared" si="14"/>
        <v>19</v>
      </c>
      <c r="R133" s="9">
        <f t="shared" si="15"/>
        <v>5</v>
      </c>
      <c r="S133" s="14" t="str" cm="1">
        <f t="array" ref="S133">INDEX('PS-ConceptMap-2'!$I$15:$N$272,Q133+1,R133)</f>
        <v>* group[=].element[=].target.equivalence = #relatedto</v>
      </c>
    </row>
    <row r="134" spans="16:19" x14ac:dyDescent="0.75">
      <c r="P134" s="9">
        <v>120</v>
      </c>
      <c r="Q134" s="9">
        <f t="shared" si="14"/>
        <v>19</v>
      </c>
      <c r="R134" s="9">
        <f t="shared" si="15"/>
        <v>6</v>
      </c>
      <c r="S134" s="14" t="str" cm="1">
        <f t="array" ref="S134">INDEX('PS-ConceptMap-2'!$I$15:$N$272,Q134+1,R134)</f>
        <v>* group[=].element[=].target.comment = ##34#If no sub sections##34#</v>
      </c>
    </row>
    <row r="135" spans="16:19" x14ac:dyDescent="0.75">
      <c r="P135" s="9">
        <v>121</v>
      </c>
      <c r="Q135" s="9">
        <f t="shared" si="14"/>
        <v>20</v>
      </c>
      <c r="R135" s="9">
        <f t="shared" si="15"/>
        <v>1</v>
      </c>
      <c r="S135" s="14" t="e" cm="1">
        <f t="array" ref="S135">INDEX('PS-ConceptMap-2'!$I$15:$N$272,Q135+1,R135)</f>
        <v>#REF!</v>
      </c>
    </row>
    <row r="136" spans="16:19" x14ac:dyDescent="0.75">
      <c r="P136" s="9">
        <v>122</v>
      </c>
      <c r="Q136" s="9">
        <f t="shared" si="14"/>
        <v>20</v>
      </c>
      <c r="R136" s="9">
        <f t="shared" si="15"/>
        <v>2</v>
      </c>
      <c r="S136" s="14" t="e" cm="1">
        <f t="array" ref="S136">INDEX('PS-ConceptMap-2'!$I$15:$N$272,Q136+1,R136)</f>
        <v>#REF!</v>
      </c>
    </row>
    <row r="137" spans="16:19" x14ac:dyDescent="0.75">
      <c r="P137" s="9">
        <v>123</v>
      </c>
      <c r="Q137" s="9">
        <f t="shared" si="14"/>
        <v>20</v>
      </c>
      <c r="R137" s="9">
        <f t="shared" si="15"/>
        <v>3</v>
      </c>
      <c r="S137" s="14" t="str" cm="1">
        <f t="array" ref="S137">INDEX('PS-ConceptMap-2'!$I$15:$N$272,Q137+1,R137)</f>
        <v>* group[=].element[=].target.code = #Composition.section:ps-no-subsections.entry</v>
      </c>
    </row>
    <row r="138" spans="16:19" x14ac:dyDescent="0.75">
      <c r="P138" s="9">
        <v>124</v>
      </c>
      <c r="Q138" s="9">
        <f t="shared" si="14"/>
        <v>20</v>
      </c>
      <c r="R138" s="9">
        <f t="shared" si="15"/>
        <v>4</v>
      </c>
      <c r="S138" s="14" t="str" cm="1">
        <f t="array" ref="S138">INDEX('PS-ConceptMap-2'!$I$15:$N$272,Q138+1,R138)</f>
        <v>* group[=].element[=].target.display = ##34###34#</v>
      </c>
    </row>
    <row r="139" spans="16:19" x14ac:dyDescent="0.75">
      <c r="P139" s="9">
        <v>125</v>
      </c>
      <c r="Q139" s="9">
        <f t="shared" si="14"/>
        <v>20</v>
      </c>
      <c r="R139" s="9">
        <f t="shared" si="15"/>
        <v>5</v>
      </c>
      <c r="S139" s="14" t="str" cm="1">
        <f t="array" ref="S139">INDEX('PS-ConceptMap-2'!$I$15:$N$272,Q139+1,R139)</f>
        <v>* group[=].element[=].target.equivalence = #relatedto</v>
      </c>
    </row>
    <row r="140" spans="16:19" x14ac:dyDescent="0.75">
      <c r="P140" s="9">
        <v>126</v>
      </c>
      <c r="Q140" s="9">
        <f t="shared" si="14"/>
        <v>20</v>
      </c>
      <c r="R140" s="9">
        <f t="shared" si="15"/>
        <v>6</v>
      </c>
      <c r="S140" s="14" t="str" cm="1">
        <f t="array" ref="S140">INDEX('PS-ConceptMap-2'!$I$15:$N$272,Q140+1,R140)</f>
        <v>* group[=].element[=].target.comment = ##34#If no sub sections##34#</v>
      </c>
    </row>
    <row r="141" spans="16:19" x14ac:dyDescent="0.75">
      <c r="P141" s="9">
        <v>127</v>
      </c>
      <c r="Q141" s="9">
        <f t="shared" si="14"/>
        <v>21</v>
      </c>
      <c r="R141" s="9">
        <f t="shared" si="15"/>
        <v>1</v>
      </c>
      <c r="S141" s="14" t="str" cm="1">
        <f t="array" ref="S141">INDEX('PS-ConceptMap-2'!$I$15:$N$272,Q141+1,R141)</f>
        <v>* group[=].element[+].code = #PatientSummary.specimen</v>
      </c>
    </row>
    <row r="142" spans="16:19" x14ac:dyDescent="0.75">
      <c r="P142" s="9">
        <v>128</v>
      </c>
      <c r="Q142" s="9">
        <f t="shared" si="14"/>
        <v>21</v>
      </c>
      <c r="R142" s="9">
        <f t="shared" si="15"/>
        <v>2</v>
      </c>
      <c r="S142" s="14" t="str" cm="1">
        <f t="array" ref="S142">INDEX('PS-ConceptMap-2'!$I$15:$N$272,Q142+1,R142)</f>
        <v>* group[=].element[=].display = ##34#A.4 Specimen information##34#</v>
      </c>
    </row>
    <row r="143" spans="16:19" ht="29.5" x14ac:dyDescent="0.75">
      <c r="P143" s="9">
        <v>129</v>
      </c>
      <c r="Q143" s="9">
        <f t="shared" si="14"/>
        <v>21</v>
      </c>
      <c r="R143" s="9">
        <f t="shared" si="15"/>
        <v>3</v>
      </c>
      <c r="S143" s="14" t="str" cm="1">
        <f t="array" ref="S143">INDEX('PS-ConceptMap-2'!$I$15:$N$272,Q143+1,R143)</f>
        <v>* group[=].element[=].target.code = #Composition.section:ps-subsections.section.entry.specimen</v>
      </c>
    </row>
    <row r="144" spans="16:19" x14ac:dyDescent="0.75">
      <c r="P144" s="9">
        <v>130</v>
      </c>
      <c r="Q144" s="9">
        <f t="shared" ref="Q144:Q192" si="16">IF(MOD(P144,$Q$8)=0,P144/$Q$8-1,INT(P144/$Q$8))</f>
        <v>21</v>
      </c>
      <c r="R144" s="9">
        <f t="shared" ref="R144:R192" si="17">IF(MOD(P144,$Q$8)=0,$Q$8,MOD(P144,$Q$8))</f>
        <v>4</v>
      </c>
      <c r="S144" s="14" t="str" cm="1">
        <f t="array" ref="S144">INDEX('PS-ConceptMap-2'!$I$15:$N$272,Q144+1,R144)</f>
        <v>* group[=].element[=].target.display = ##34###34#</v>
      </c>
    </row>
    <row r="145" spans="16:19" x14ac:dyDescent="0.75">
      <c r="P145" s="9">
        <v>131</v>
      </c>
      <c r="Q145" s="9">
        <f t="shared" si="16"/>
        <v>21</v>
      </c>
      <c r="R145" s="9">
        <f t="shared" si="17"/>
        <v>5</v>
      </c>
      <c r="S145" s="14" t="str" cm="1">
        <f t="array" ref="S145">INDEX('PS-ConceptMap-2'!$I$15:$N$272,Q145+1,R145)</f>
        <v>* group[=].element[=].target.equivalence = #relatedto</v>
      </c>
    </row>
    <row r="146" spans="16:19" x14ac:dyDescent="0.75">
      <c r="P146" s="9">
        <v>132</v>
      </c>
      <c r="Q146" s="9">
        <f t="shared" si="16"/>
        <v>21</v>
      </c>
      <c r="R146" s="9">
        <f t="shared" si="17"/>
        <v>6</v>
      </c>
      <c r="S146" s="14" t="str" cm="1">
        <f t="array" ref="S146">INDEX('PS-ConceptMap-2'!$I$15:$N$272,Q146+1,R146)</f>
        <v>* group[=].element[=].target.comment = ##34#If sub sections##34#</v>
      </c>
    </row>
    <row r="147" spans="16:19" x14ac:dyDescent="0.75">
      <c r="P147" s="9">
        <v>133</v>
      </c>
      <c r="Q147" s="9">
        <f t="shared" si="16"/>
        <v>22</v>
      </c>
      <c r="R147" s="9">
        <f t="shared" si="17"/>
        <v>1</v>
      </c>
      <c r="S147" s="14" t="str" cm="1">
        <f t="array" ref="S147">INDEX('PS-ConceptMap-2'!$I$15:$N$272,Q147+1,R147)</f>
        <v>* group[=].element[+].code = #PatientSummary.result</v>
      </c>
    </row>
    <row r="148" spans="16:19" x14ac:dyDescent="0.75">
      <c r="P148" s="9">
        <v>134</v>
      </c>
      <c r="Q148" s="9">
        <f t="shared" si="16"/>
        <v>22</v>
      </c>
      <c r="R148" s="9">
        <f t="shared" si="17"/>
        <v>2</v>
      </c>
      <c r="S148" s="14" t="str" cm="1">
        <f t="array" ref="S148">INDEX('PS-ConceptMap-2'!$I$15:$N$272,Q148+1,R148)</f>
        <v>* group[=].element[=].display = ##34#A.5 Results data elements##34#</v>
      </c>
    </row>
    <row r="149" spans="16:19" ht="29.5" x14ac:dyDescent="0.75">
      <c r="P149" s="9">
        <v>135</v>
      </c>
      <c r="Q149" s="9">
        <f t="shared" si="16"/>
        <v>22</v>
      </c>
      <c r="R149" s="9">
        <f t="shared" si="17"/>
        <v>3</v>
      </c>
      <c r="S149" s="14" t="str" cm="1">
        <f t="array" ref="S149">INDEX('PS-ConceptMap-2'!$I$15:$N$272,Q149+1,R149)</f>
        <v>* group[=].element[=].target.code = #Composition.section:ps-subsections.section.entry</v>
      </c>
    </row>
    <row r="150" spans="16:19" x14ac:dyDescent="0.75">
      <c r="P150" s="9">
        <v>136</v>
      </c>
      <c r="Q150" s="9">
        <f t="shared" si="16"/>
        <v>22</v>
      </c>
      <c r="R150" s="9">
        <f t="shared" si="17"/>
        <v>4</v>
      </c>
      <c r="S150" s="14" t="str" cm="1">
        <f t="array" ref="S150">INDEX('PS-ConceptMap-2'!$I$15:$N$272,Q150+1,R150)</f>
        <v>* group[=].element[=].target.display = ##34###34#</v>
      </c>
    </row>
    <row r="151" spans="16:19" x14ac:dyDescent="0.75">
      <c r="P151" s="9">
        <v>137</v>
      </c>
      <c r="Q151" s="9">
        <f t="shared" si="16"/>
        <v>22</v>
      </c>
      <c r="R151" s="9">
        <f t="shared" si="17"/>
        <v>5</v>
      </c>
      <c r="S151" s="14" t="str" cm="1">
        <f t="array" ref="S151">INDEX('PS-ConceptMap-2'!$I$15:$N$272,Q151+1,R151)</f>
        <v>* group[=].element[=].target.equivalence = #relatedto</v>
      </c>
    </row>
    <row r="152" spans="16:19" x14ac:dyDescent="0.75">
      <c r="P152" s="9">
        <v>138</v>
      </c>
      <c r="Q152" s="9">
        <f t="shared" si="16"/>
        <v>22</v>
      </c>
      <c r="R152" s="9">
        <f t="shared" si="17"/>
        <v>6</v>
      </c>
      <c r="S152" s="14" t="str" cm="1">
        <f t="array" ref="S152">INDEX('PS-ConceptMap-2'!$I$15:$N$272,Q152+1,R152)</f>
        <v>* group[=].element[=].target.comment = ##34#If sub sections##34#</v>
      </c>
    </row>
    <row r="153" spans="16:19" x14ac:dyDescent="0.75">
      <c r="P153" s="9">
        <v>139</v>
      </c>
      <c r="Q153" s="9">
        <f t="shared" si="16"/>
        <v>23</v>
      </c>
      <c r="R153" s="9">
        <f t="shared" si="17"/>
        <v>1</v>
      </c>
      <c r="S153" s="14" cm="1">
        <f t="array" ref="S153">INDEX('PS-ConceptMap-2'!$I$15:$N$272,Q153+1,R153)</f>
        <v>0</v>
      </c>
    </row>
    <row r="154" spans="16:19" x14ac:dyDescent="0.75">
      <c r="P154" s="9">
        <v>140</v>
      </c>
      <c r="Q154" s="9">
        <f t="shared" si="16"/>
        <v>23</v>
      </c>
      <c r="R154" s="9">
        <f t="shared" si="17"/>
        <v>2</v>
      </c>
      <c r="S154" s="14" cm="1">
        <f t="array" ref="S154">INDEX('PS-ConceptMap-2'!$I$15:$N$272,Q154+1,R154)</f>
        <v>0</v>
      </c>
    </row>
    <row r="155" spans="16:19" x14ac:dyDescent="0.75">
      <c r="P155" s="9">
        <v>141</v>
      </c>
      <c r="Q155" s="9">
        <f t="shared" si="16"/>
        <v>23</v>
      </c>
      <c r="R155" s="9">
        <f t="shared" si="17"/>
        <v>3</v>
      </c>
      <c r="S155" s="14" cm="1">
        <f t="array" ref="S155">INDEX('PS-ConceptMap-2'!$I$15:$N$272,Q155+1,R155)</f>
        <v>0</v>
      </c>
    </row>
    <row r="156" spans="16:19" x14ac:dyDescent="0.75">
      <c r="P156" s="9">
        <v>142</v>
      </c>
      <c r="Q156" s="9">
        <f t="shared" si="16"/>
        <v>23</v>
      </c>
      <c r="R156" s="9">
        <f t="shared" si="17"/>
        <v>4</v>
      </c>
      <c r="S156" s="14" cm="1">
        <f t="array" ref="S156">INDEX('PS-ConceptMap-2'!$I$15:$N$272,Q156+1,R156)</f>
        <v>0</v>
      </c>
    </row>
    <row r="157" spans="16:19" x14ac:dyDescent="0.75">
      <c r="P157" s="9">
        <v>143</v>
      </c>
      <c r="Q157" s="9">
        <f t="shared" si="16"/>
        <v>23</v>
      </c>
      <c r="R157" s="9">
        <f t="shared" si="17"/>
        <v>5</v>
      </c>
      <c r="S157" s="14" cm="1">
        <f t="array" ref="S157">INDEX('PS-ConceptMap-2'!$I$15:$N$272,Q157+1,R157)</f>
        <v>0</v>
      </c>
    </row>
    <row r="158" spans="16:19" x14ac:dyDescent="0.75">
      <c r="P158" s="9">
        <v>144</v>
      </c>
      <c r="Q158" s="9">
        <f t="shared" si="16"/>
        <v>23</v>
      </c>
      <c r="R158" s="9">
        <f t="shared" si="17"/>
        <v>6</v>
      </c>
      <c r="S158" s="14" cm="1">
        <f t="array" ref="S158">INDEX('PS-ConceptMap-2'!$I$15:$N$272,Q158+1,R158)</f>
        <v>0</v>
      </c>
    </row>
    <row r="159" spans="16:19" x14ac:dyDescent="0.75">
      <c r="P159" s="9">
        <v>145</v>
      </c>
      <c r="Q159" s="9">
        <f t="shared" si="16"/>
        <v>24</v>
      </c>
      <c r="R159" s="9">
        <f t="shared" si="17"/>
        <v>1</v>
      </c>
      <c r="S159" s="14" cm="1">
        <f t="array" ref="S159">INDEX('PS-ConceptMap-2'!$I$15:$N$272,Q159+1,R159)</f>
        <v>0</v>
      </c>
    </row>
    <row r="160" spans="16:19" x14ac:dyDescent="0.75">
      <c r="P160" s="9">
        <v>146</v>
      </c>
      <c r="Q160" s="9">
        <f t="shared" si="16"/>
        <v>24</v>
      </c>
      <c r="R160" s="9">
        <f t="shared" si="17"/>
        <v>2</v>
      </c>
      <c r="S160" s="14" cm="1">
        <f t="array" ref="S160">INDEX('PS-ConceptMap-2'!$I$15:$N$272,Q160+1,R160)</f>
        <v>0</v>
      </c>
    </row>
    <row r="161" spans="16:19" x14ac:dyDescent="0.75">
      <c r="P161" s="9">
        <v>147</v>
      </c>
      <c r="Q161" s="9">
        <f t="shared" si="16"/>
        <v>24</v>
      </c>
      <c r="R161" s="9">
        <f t="shared" si="17"/>
        <v>3</v>
      </c>
      <c r="S161" s="14" cm="1">
        <f t="array" ref="S161">INDEX('PS-ConceptMap-2'!$I$15:$N$272,Q161+1,R161)</f>
        <v>0</v>
      </c>
    </row>
    <row r="162" spans="16:19" x14ac:dyDescent="0.75">
      <c r="P162" s="9">
        <v>148</v>
      </c>
      <c r="Q162" s="9">
        <f t="shared" si="16"/>
        <v>24</v>
      </c>
      <c r="R162" s="9">
        <f t="shared" si="17"/>
        <v>4</v>
      </c>
      <c r="S162" s="14" cm="1">
        <f t="array" ref="S162">INDEX('PS-ConceptMap-2'!$I$15:$N$272,Q162+1,R162)</f>
        <v>0</v>
      </c>
    </row>
    <row r="163" spans="16:19" x14ac:dyDescent="0.75">
      <c r="P163" s="9">
        <v>149</v>
      </c>
      <c r="Q163" s="9">
        <f t="shared" si="16"/>
        <v>24</v>
      </c>
      <c r="R163" s="9">
        <f t="shared" si="17"/>
        <v>5</v>
      </c>
      <c r="S163" s="14" cm="1">
        <f t="array" ref="S163">INDEX('PS-ConceptMap-2'!$I$15:$N$272,Q163+1,R163)</f>
        <v>0</v>
      </c>
    </row>
    <row r="164" spans="16:19" x14ac:dyDescent="0.75">
      <c r="P164" s="9">
        <v>150</v>
      </c>
      <c r="Q164" s="9">
        <f t="shared" si="16"/>
        <v>24</v>
      </c>
      <c r="R164" s="9">
        <f t="shared" si="17"/>
        <v>6</v>
      </c>
      <c r="S164" s="14" cm="1">
        <f t="array" ref="S164">INDEX('PS-ConceptMap-2'!$I$15:$N$272,Q164+1,R164)</f>
        <v>0</v>
      </c>
    </row>
    <row r="165" spans="16:19" x14ac:dyDescent="0.75">
      <c r="P165" s="9">
        <v>151</v>
      </c>
      <c r="Q165" s="9">
        <f t="shared" si="16"/>
        <v>25</v>
      </c>
      <c r="R165" s="9">
        <f t="shared" si="17"/>
        <v>1</v>
      </c>
      <c r="S165" s="14" cm="1">
        <f t="array" ref="S165">INDEX('PS-ConceptMap-2'!$I$15:$N$272,Q165+1,R165)</f>
        <v>0</v>
      </c>
    </row>
    <row r="166" spans="16:19" x14ac:dyDescent="0.75">
      <c r="P166" s="9">
        <v>152</v>
      </c>
      <c r="Q166" s="9">
        <f t="shared" si="16"/>
        <v>25</v>
      </c>
      <c r="R166" s="9">
        <f t="shared" si="17"/>
        <v>2</v>
      </c>
      <c r="S166" s="14" cm="1">
        <f t="array" ref="S166">INDEX('PS-ConceptMap-2'!$I$15:$N$272,Q166+1,R166)</f>
        <v>0</v>
      </c>
    </row>
    <row r="167" spans="16:19" x14ac:dyDescent="0.75">
      <c r="P167" s="9">
        <v>153</v>
      </c>
      <c r="Q167" s="9">
        <f t="shared" si="16"/>
        <v>25</v>
      </c>
      <c r="R167" s="9">
        <f t="shared" si="17"/>
        <v>3</v>
      </c>
      <c r="S167" s="14" cm="1">
        <f t="array" ref="S167">INDEX('PS-ConceptMap-2'!$I$15:$N$272,Q167+1,R167)</f>
        <v>0</v>
      </c>
    </row>
    <row r="168" spans="16:19" x14ac:dyDescent="0.75">
      <c r="P168" s="9">
        <v>154</v>
      </c>
      <c r="Q168" s="9">
        <f t="shared" si="16"/>
        <v>25</v>
      </c>
      <c r="R168" s="9">
        <f t="shared" si="17"/>
        <v>4</v>
      </c>
      <c r="S168" s="14" cm="1">
        <f t="array" ref="S168">INDEX('PS-ConceptMap-2'!$I$15:$N$272,Q168+1,R168)</f>
        <v>0</v>
      </c>
    </row>
    <row r="169" spans="16:19" x14ac:dyDescent="0.75">
      <c r="P169" s="9">
        <v>155</v>
      </c>
      <c r="Q169" s="9">
        <f t="shared" si="16"/>
        <v>25</v>
      </c>
      <c r="R169" s="9">
        <f t="shared" si="17"/>
        <v>5</v>
      </c>
      <c r="S169" s="14" cm="1">
        <f t="array" ref="S169">INDEX('PS-ConceptMap-2'!$I$15:$N$272,Q169+1,R169)</f>
        <v>0</v>
      </c>
    </row>
    <row r="170" spans="16:19" x14ac:dyDescent="0.75">
      <c r="P170" s="9">
        <v>156</v>
      </c>
      <c r="Q170" s="9">
        <f t="shared" si="16"/>
        <v>25</v>
      </c>
      <c r="R170" s="9">
        <f t="shared" si="17"/>
        <v>6</v>
      </c>
      <c r="S170" s="14" cm="1">
        <f t="array" ref="S170">INDEX('PS-ConceptMap-2'!$I$15:$N$272,Q170+1,R170)</f>
        <v>0</v>
      </c>
    </row>
    <row r="171" spans="16:19" x14ac:dyDescent="0.75">
      <c r="P171" s="9">
        <v>157</v>
      </c>
      <c r="Q171" s="9">
        <f t="shared" si="16"/>
        <v>26</v>
      </c>
      <c r="R171" s="9">
        <f t="shared" si="17"/>
        <v>1</v>
      </c>
      <c r="S171" s="14" cm="1">
        <f t="array" ref="S171">INDEX('PS-ConceptMap-2'!$I$15:$N$272,Q171+1,R171)</f>
        <v>0</v>
      </c>
    </row>
    <row r="172" spans="16:19" x14ac:dyDescent="0.75">
      <c r="P172" s="9">
        <v>158</v>
      </c>
      <c r="Q172" s="9">
        <f t="shared" si="16"/>
        <v>26</v>
      </c>
      <c r="R172" s="9">
        <f t="shared" si="17"/>
        <v>2</v>
      </c>
      <c r="S172" s="14" cm="1">
        <f t="array" ref="S172">INDEX('PS-ConceptMap-2'!$I$15:$N$272,Q172+1,R172)</f>
        <v>0</v>
      </c>
    </row>
    <row r="173" spans="16:19" x14ac:dyDescent="0.75">
      <c r="P173" s="9">
        <v>159</v>
      </c>
      <c r="Q173" s="9">
        <f t="shared" si="16"/>
        <v>26</v>
      </c>
      <c r="R173" s="9">
        <f t="shared" si="17"/>
        <v>3</v>
      </c>
      <c r="S173" s="14" cm="1">
        <f t="array" ref="S173">INDEX('PS-ConceptMap-2'!$I$15:$N$272,Q173+1,R173)</f>
        <v>0</v>
      </c>
    </row>
    <row r="174" spans="16:19" x14ac:dyDescent="0.75">
      <c r="P174" s="9">
        <v>160</v>
      </c>
      <c r="Q174" s="9">
        <f t="shared" si="16"/>
        <v>26</v>
      </c>
      <c r="R174" s="9">
        <f t="shared" si="17"/>
        <v>4</v>
      </c>
      <c r="S174" s="14" cm="1">
        <f t="array" ref="S174">INDEX('PS-ConceptMap-2'!$I$15:$N$272,Q174+1,R174)</f>
        <v>0</v>
      </c>
    </row>
    <row r="175" spans="16:19" x14ac:dyDescent="0.75">
      <c r="P175" s="9">
        <v>161</v>
      </c>
      <c r="Q175" s="9">
        <f t="shared" si="16"/>
        <v>26</v>
      </c>
      <c r="R175" s="9">
        <f t="shared" si="17"/>
        <v>5</v>
      </c>
      <c r="S175" s="14" cm="1">
        <f t="array" ref="S175">INDEX('PS-ConceptMap-2'!$I$15:$N$272,Q175+1,R175)</f>
        <v>0</v>
      </c>
    </row>
    <row r="176" spans="16:19" x14ac:dyDescent="0.75">
      <c r="P176" s="9">
        <v>162</v>
      </c>
      <c r="Q176" s="9">
        <f t="shared" si="16"/>
        <v>26</v>
      </c>
      <c r="R176" s="9">
        <f t="shared" si="17"/>
        <v>6</v>
      </c>
      <c r="S176" s="14" cm="1">
        <f t="array" ref="S176">INDEX('PS-ConceptMap-2'!$I$15:$N$272,Q176+1,R176)</f>
        <v>0</v>
      </c>
    </row>
    <row r="177" spans="16:19" x14ac:dyDescent="0.75">
      <c r="P177" s="9">
        <v>163</v>
      </c>
      <c r="Q177" s="9">
        <f t="shared" si="16"/>
        <v>27</v>
      </c>
      <c r="R177" s="9">
        <f t="shared" si="17"/>
        <v>1</v>
      </c>
      <c r="S177" s="14" cm="1">
        <f t="array" ref="S177">INDEX('PS-ConceptMap-2'!$I$15:$N$272,Q177+1,R177)</f>
        <v>0</v>
      </c>
    </row>
    <row r="178" spans="16:19" x14ac:dyDescent="0.75">
      <c r="P178" s="9">
        <v>164</v>
      </c>
      <c r="Q178" s="9">
        <f t="shared" si="16"/>
        <v>27</v>
      </c>
      <c r="R178" s="9">
        <f t="shared" si="17"/>
        <v>2</v>
      </c>
      <c r="S178" s="14" cm="1">
        <f t="array" ref="S178">INDEX('PS-ConceptMap-2'!$I$15:$N$272,Q178+1,R178)</f>
        <v>0</v>
      </c>
    </row>
    <row r="179" spans="16:19" x14ac:dyDescent="0.75">
      <c r="P179" s="9">
        <v>165</v>
      </c>
      <c r="Q179" s="9">
        <f t="shared" si="16"/>
        <v>27</v>
      </c>
      <c r="R179" s="9">
        <f t="shared" si="17"/>
        <v>3</v>
      </c>
      <c r="S179" s="14" cm="1">
        <f t="array" ref="S179">INDEX('PS-ConceptMap-2'!$I$15:$N$272,Q179+1,R179)</f>
        <v>0</v>
      </c>
    </row>
    <row r="180" spans="16:19" x14ac:dyDescent="0.75">
      <c r="P180" s="9">
        <v>166</v>
      </c>
      <c r="Q180" s="9">
        <f t="shared" si="16"/>
        <v>27</v>
      </c>
      <c r="R180" s="9">
        <f t="shared" si="17"/>
        <v>4</v>
      </c>
      <c r="S180" s="14" cm="1">
        <f t="array" ref="S180">INDEX('PS-ConceptMap-2'!$I$15:$N$272,Q180+1,R180)</f>
        <v>0</v>
      </c>
    </row>
    <row r="181" spans="16:19" x14ac:dyDescent="0.75">
      <c r="P181" s="9">
        <v>167</v>
      </c>
      <c r="Q181" s="9">
        <f t="shared" si="16"/>
        <v>27</v>
      </c>
      <c r="R181" s="9">
        <f t="shared" si="17"/>
        <v>5</v>
      </c>
      <c r="S181" s="14" cm="1">
        <f t="array" ref="S181">INDEX('PS-ConceptMap-2'!$I$15:$N$272,Q181+1,R181)</f>
        <v>0</v>
      </c>
    </row>
    <row r="182" spans="16:19" x14ac:dyDescent="0.75">
      <c r="P182" s="9">
        <v>168</v>
      </c>
      <c r="Q182" s="9">
        <f t="shared" si="16"/>
        <v>27</v>
      </c>
      <c r="R182" s="9">
        <f t="shared" si="17"/>
        <v>6</v>
      </c>
      <c r="S182" s="14" cm="1">
        <f t="array" ref="S182">INDEX('PS-ConceptMap-2'!$I$15:$N$272,Q182+1,R182)</f>
        <v>0</v>
      </c>
    </row>
    <row r="183" spans="16:19" x14ac:dyDescent="0.75">
      <c r="P183" s="9">
        <v>169</v>
      </c>
      <c r="Q183" s="9">
        <f t="shared" si="16"/>
        <v>28</v>
      </c>
      <c r="R183" s="9">
        <f t="shared" si="17"/>
        <v>1</v>
      </c>
      <c r="S183" s="14" cm="1">
        <f t="array" ref="S183">INDEX('PS-ConceptMap-2'!$I$15:$N$272,Q183+1,R183)</f>
        <v>0</v>
      </c>
    </row>
    <row r="184" spans="16:19" x14ac:dyDescent="0.75">
      <c r="P184" s="9">
        <v>170</v>
      </c>
      <c r="Q184" s="9">
        <f t="shared" si="16"/>
        <v>28</v>
      </c>
      <c r="R184" s="9">
        <f t="shared" si="17"/>
        <v>2</v>
      </c>
      <c r="S184" s="14" cm="1">
        <f t="array" ref="S184">INDEX('PS-ConceptMap-2'!$I$15:$N$272,Q184+1,R184)</f>
        <v>0</v>
      </c>
    </row>
    <row r="185" spans="16:19" x14ac:dyDescent="0.75">
      <c r="P185" s="9">
        <v>171</v>
      </c>
      <c r="Q185" s="9">
        <f t="shared" si="16"/>
        <v>28</v>
      </c>
      <c r="R185" s="9">
        <f t="shared" si="17"/>
        <v>3</v>
      </c>
      <c r="S185" s="14" cm="1">
        <f t="array" ref="S185">INDEX('PS-ConceptMap-2'!$I$15:$N$272,Q185+1,R185)</f>
        <v>0</v>
      </c>
    </row>
    <row r="186" spans="16:19" x14ac:dyDescent="0.75">
      <c r="P186" s="9">
        <v>172</v>
      </c>
      <c r="Q186" s="9">
        <f t="shared" si="16"/>
        <v>28</v>
      </c>
      <c r="R186" s="9">
        <f t="shared" si="17"/>
        <v>4</v>
      </c>
      <c r="S186" s="14" cm="1">
        <f t="array" ref="S186">INDEX('PS-ConceptMap-2'!$I$15:$N$272,Q186+1,R186)</f>
        <v>0</v>
      </c>
    </row>
    <row r="187" spans="16:19" x14ac:dyDescent="0.75">
      <c r="P187" s="9">
        <v>173</v>
      </c>
      <c r="Q187" s="9">
        <f t="shared" si="16"/>
        <v>28</v>
      </c>
      <c r="R187" s="9">
        <f t="shared" si="17"/>
        <v>5</v>
      </c>
      <c r="S187" s="14" cm="1">
        <f t="array" ref="S187">INDEX('PS-ConceptMap-2'!$I$15:$N$272,Q187+1,R187)</f>
        <v>0</v>
      </c>
    </row>
    <row r="188" spans="16:19" x14ac:dyDescent="0.75">
      <c r="P188" s="9">
        <v>174</v>
      </c>
      <c r="Q188" s="9">
        <f t="shared" si="16"/>
        <v>28</v>
      </c>
      <c r="R188" s="9">
        <f t="shared" si="17"/>
        <v>6</v>
      </c>
      <c r="S188" s="14" cm="1">
        <f t="array" ref="S188">INDEX('PS-ConceptMap-2'!$I$15:$N$272,Q188+1,R188)</f>
        <v>0</v>
      </c>
    </row>
    <row r="189" spans="16:19" x14ac:dyDescent="0.75">
      <c r="P189" s="9">
        <v>175</v>
      </c>
      <c r="Q189" s="9">
        <f t="shared" si="16"/>
        <v>29</v>
      </c>
      <c r="R189" s="9">
        <f t="shared" si="17"/>
        <v>1</v>
      </c>
      <c r="S189" s="14" cm="1">
        <f t="array" ref="S189">INDEX('PS-ConceptMap-2'!$I$15:$N$272,Q189+1,R189)</f>
        <v>0</v>
      </c>
    </row>
    <row r="190" spans="16:19" x14ac:dyDescent="0.75">
      <c r="P190" s="9">
        <v>176</v>
      </c>
      <c r="Q190" s="9">
        <f t="shared" si="16"/>
        <v>29</v>
      </c>
      <c r="R190" s="9">
        <f t="shared" si="17"/>
        <v>2</v>
      </c>
      <c r="S190" s="14" cm="1">
        <f t="array" ref="S190">INDEX('PS-ConceptMap-2'!$I$15:$N$272,Q190+1,R190)</f>
        <v>0</v>
      </c>
    </row>
    <row r="191" spans="16:19" x14ac:dyDescent="0.75">
      <c r="P191" s="9">
        <v>177</v>
      </c>
      <c r="Q191" s="9">
        <f t="shared" si="16"/>
        <v>29</v>
      </c>
      <c r="R191" s="9">
        <f t="shared" si="17"/>
        <v>3</v>
      </c>
      <c r="S191" s="14" cm="1">
        <f t="array" ref="S191">INDEX('PS-ConceptMap-2'!$I$15:$N$272,Q191+1,R191)</f>
        <v>0</v>
      </c>
    </row>
    <row r="192" spans="16:19" x14ac:dyDescent="0.75">
      <c r="P192" s="9">
        <v>178</v>
      </c>
      <c r="Q192" s="9">
        <f t="shared" si="16"/>
        <v>29</v>
      </c>
      <c r="R192" s="9">
        <f t="shared" si="17"/>
        <v>4</v>
      </c>
      <c r="S192" s="14" cm="1">
        <f t="array" ref="S192">INDEX('PS-ConceptMap-2'!$I$15:$N$272,Q192+1,R192)</f>
        <v>0</v>
      </c>
    </row>
  </sheetData>
  <hyperlinks>
    <hyperlink ref="C6" r:id="rId1" display="http://hl7.eu/fhir/laboratory/StructureDefinition/LabReport" xr:uid="{C45E566D-E06A-4329-88C7-EEB6948E5590}"/>
    <hyperlink ref="E4" r:id="rId2" display="http://hl7.eu/fhir/laboratory/StructureDefinition/Bundle-eu-lab" xr:uid="{3ECB2FB9-61D2-4922-A1DB-E0191819688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20" sqref="B20:B23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401</v>
      </c>
      <c r="G2" s="50" t="s">
        <v>1161</v>
      </c>
    </row>
    <row r="3" spans="2:7" x14ac:dyDescent="0.75">
      <c r="B3" s="32" t="s">
        <v>37</v>
      </c>
    </row>
    <row r="4" spans="2:7" x14ac:dyDescent="0.75">
      <c r="B4" s="70" t="str">
        <f>"Instance: "&amp;'PS-ConceptMap-1'!C4</f>
        <v>Instance: patientSummary2FHIR-eu-ps</v>
      </c>
    </row>
    <row r="5" spans="2:7" x14ac:dyDescent="0.75">
      <c r="B5" s="70" t="s">
        <v>402</v>
      </c>
    </row>
    <row r="6" spans="2:7" x14ac:dyDescent="0.75">
      <c r="B6" s="70" t="s">
        <v>403</v>
      </c>
    </row>
    <row r="7" spans="2:7" x14ac:dyDescent="0.75">
      <c r="B7" s="70" t="s">
        <v>409</v>
      </c>
    </row>
    <row r="8" spans="2:7" x14ac:dyDescent="0.75">
      <c r="B8" s="70" t="str">
        <f>"* name = ##34#"&amp;'PS-ConceptMap-1'!C3&amp;"##34#"</f>
        <v>* name = ##34#PatientSummary2FHIR##34#</v>
      </c>
    </row>
    <row r="9" spans="2:7" x14ac:dyDescent="0.75">
      <c r="B9" s="70" t="str">
        <f>"* title = ##34#"&amp;'PS-ConceptMap-1'!C5&amp;"##34#"</f>
        <v>* title = ##34#eHN Patient Summary to this guide Map##34#</v>
      </c>
    </row>
    <row r="10" spans="2:7" x14ac:dyDescent="0.75">
      <c r="B10" s="70" t="s">
        <v>404</v>
      </c>
    </row>
    <row r="11" spans="2:7" x14ac:dyDescent="0.75">
      <c r="B11" s="70" t="s">
        <v>405</v>
      </c>
    </row>
    <row r="12" spans="2:7" x14ac:dyDescent="0.75">
      <c r="B12" s="70" t="str">
        <f>"* description = ##34#"&amp;'PS-ConceptMap-1'!C8&amp;"##34#"</f>
        <v>* description = ##34#eHN Patient Summary to this guide Map##34#</v>
      </c>
    </row>
    <row r="13" spans="2:7" x14ac:dyDescent="0.75">
      <c r="B13" s="70" t="str">
        <f>"* purpose = ##34#"&amp;'PS-ConceptMap-1'!C9&amp;"##34#"</f>
        <v>* purpose = ##34#It shows how the Patient Summary data set defined by the EU eHN guidelines is mapped into this guide##34#</v>
      </c>
    </row>
    <row r="14" spans="2:7" x14ac:dyDescent="0.75">
      <c r="B14" s="71" t="str">
        <f>"* sourceUri = ##34#"&amp;'PS-ConceptMap-1'!E3&amp;"##34#"</f>
        <v>* sourceUri = ##34#http://hl7.eu/fhir/ig/xpandh/ps/StructureDefinition/PatientSummary##34#</v>
      </c>
    </row>
    <row r="15" spans="2:7" x14ac:dyDescent="0.75">
      <c r="B15" s="71" t="str">
        <f>"* targetUri = ##34#"&amp;'PS-ConceptMap-1'!E4&amp;"##34#"</f>
        <v>* targetUri = ##34#http://hl7.eu/fhir/ig/xpandh/ps/StructureDefinition/Bundle-eu-ps##34#</v>
      </c>
    </row>
    <row r="16" spans="2:7" x14ac:dyDescent="0.75">
      <c r="B16" s="70"/>
    </row>
    <row r="17" spans="2:7" x14ac:dyDescent="0.75">
      <c r="B17" s="72" t="str">
        <f>"* group[+].source = ##34#"&amp;'PS-ConceptMap-1'!E6&amp;"##34#"</f>
        <v>* group[+].source = ##34#http://hl7.eu/fhir/ig/xpandh/ps/StructureDefinition/PatientSummary##34#</v>
      </c>
    </row>
    <row r="18" spans="2:7" x14ac:dyDescent="0.75">
      <c r="B18" s="72" t="str">
        <f>"* group[=].target = ##34#"&amp;'PS-ConceptMap-1'!E7&amp;"##34#"</f>
        <v>* group[=].target = ##34#http://hl7.eu/fhir/ig/xpandh/ps/StructureDefinition/Composition-eu-ps##34#</v>
      </c>
    </row>
    <row r="19" spans="2:7" x14ac:dyDescent="0.75">
      <c r="B19" s="74"/>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group[=].element[=].target.comment = ##34#To be checked##34#</v>
      </c>
    </row>
    <row r="38" spans="2:2" x14ac:dyDescent="0.75">
      <c r="B38" s="14" t="str">
        <f>IF('PS-ConceptMap-1'!S33=0,"//---END",'PS-ConceptMap-1'!S33)</f>
        <v>* group[=].element[+].code = #PatientSummary.header.documentData</v>
      </c>
    </row>
    <row r="39" spans="2:2" x14ac:dyDescent="0.75">
      <c r="B39" s="14" t="str">
        <f>IF('PS-ConceptMap-1'!S34=0,"//---END",'PS-ConceptMap-1'!S34)</f>
        <v>* group[=].element[=].display = ##34#A.1.4 Document data##34#</v>
      </c>
    </row>
    <row r="40" spans="2:2" x14ac:dyDescent="0.75">
      <c r="B40" s="14" t="str">
        <f>IF('PS-ConceptMap-1'!S35=0,"//---END",'PS-ConceptMap-1'!S35)</f>
        <v>* group[=].element[=].target.code = #Composition</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x14ac:dyDescent="0.75">
      <c r="B43" s="14" t="str">
        <f>IF('PS-ConceptMap-1'!S38=0,"//---END",'PS-ConceptMap-1'!S38)</f>
        <v/>
      </c>
    </row>
    <row r="44" spans="2:2" x14ac:dyDescent="0.75">
      <c r="B44" s="14" t="str">
        <f>IF('PS-ConceptMap-1'!S39=0,"//---END",'PS-ConceptMap-1'!S39)</f>
        <v>* group[=].element[+].code = #PatientSummary.header.documentData.created</v>
      </c>
    </row>
    <row r="45" spans="2:2" x14ac:dyDescent="0.75">
      <c r="B45" s="14" t="str">
        <f>IF('PS-ConceptMap-1'!S40=0,"//---END",'PS-ConceptMap-1'!S40)</f>
        <v>* group[=].element[=].display = ##34#A.1.4.1 Date created##34#</v>
      </c>
    </row>
    <row r="46" spans="2:2" x14ac:dyDescent="0.75">
      <c r="B46" s="14" t="str">
        <f>IF('PS-ConceptMap-1'!S41=0,"//---END",'PS-ConceptMap-1'!S41)</f>
        <v>* group[=].element[=].target.code = #Composition.date</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#PatientSummary.header.documentData.lastUpdate</v>
      </c>
    </row>
    <row r="51" spans="2:2" x14ac:dyDescent="0.75">
      <c r="B51" s="14" t="str">
        <f>IF('PS-ConceptMap-1'!S46=0,"//---END",'PS-ConceptMap-1'!S46)</f>
        <v>* group[=].element[=].display = ##34#A.1.4.2 Date of last update##34#</v>
      </c>
    </row>
    <row r="52" spans="2:2" x14ac:dyDescent="0.75">
      <c r="B52" s="14" t="str">
        <f>IF('PS-ConceptMap-1'!S47=0,"//---END",'PS-ConceptMap-1'!S47)</f>
        <v>* group[=].element[=].target.code = #Composition.event:careProvisioningEvent.period.end</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group[=].element[=].target.comment = ##34#To be checked##34#</v>
      </c>
    </row>
    <row r="56" spans="2:2" x14ac:dyDescent="0.75">
      <c r="B56" s="14" t="str">
        <f>IF('PS-ConceptMap-1'!S51=0,"//---END",'PS-ConceptMap-1'!S51)</f>
        <v>* group[=].element[+].code = #PatientSummary.header.documentData.natureOfIPS</v>
      </c>
    </row>
    <row r="57" spans="2:2" x14ac:dyDescent="0.75">
      <c r="B57" s="14" t="str">
        <f>IF('PS-ConceptMap-1'!S52=0,"//---END",'PS-ConceptMap-1'!S52)</f>
        <v>* group[=].element[=].display = ##34#A.1.4.3 Nature of the PS##34#</v>
      </c>
    </row>
    <row r="58" spans="2:2" x14ac:dyDescent="0.75">
      <c r="B58" s="14" t="str">
        <f>IF('PS-ConceptMap-1'!S53=0,"//---END",'PS-ConceptMap-1'!S53)</f>
        <v>* group[=].element[=].target.code = #Composition.author</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ht="29.5" x14ac:dyDescent="0.75">
      <c r="B61" s="14" t="str">
        <f>IF('PS-ConceptMap-1'!S56=0,"//---END",'PS-ConceptMap-1'!S56)</f>
        <v>* group[=].element[=].target.comment = ##34#the nature of a PS is determined as a comobination of type if author and legal authenticator. Future versions may cosndier to use Provenance data for this scope##34#</v>
      </c>
    </row>
    <row r="62" spans="2:2" x14ac:dyDescent="0.75">
      <c r="B62" s="14" t="str">
        <f>IF('PS-ConceptMap-1'!S57=0,"//---END",'PS-ConceptMap-1'!S57)</f>
        <v>* group[=].element[+].code = #PatientSummary.header.participant</v>
      </c>
    </row>
    <row r="63" spans="2:2" x14ac:dyDescent="0.75">
      <c r="B63" s="14" t="str">
        <f>IF('PS-ConceptMap-1'!S58=0,"//---END",'PS-ConceptMap-1'!S58)</f>
        <v>* group[=].element[=].display = ##34#A.1.5 Author and Organisation##34#</v>
      </c>
    </row>
    <row r="64" spans="2:2" x14ac:dyDescent="0.75">
      <c r="B64" s="14" t="str">
        <f>IF('PS-ConceptMap-1'!S59=0,"//---END",'PS-ConceptMap-1'!S59)</f>
        <v>* group[=].element[=].target.code = #Composition.author</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c>
    </row>
    <row r="68" spans="2:4" x14ac:dyDescent="0.75">
      <c r="B68" s="14" t="str">
        <f>IF('PS-ConceptMap-1'!S63=0,"//---END",'PS-ConceptMap-1'!S63)</f>
        <v>* group[=].element[+].code = #PatientSummary.header.participant.author</v>
      </c>
    </row>
    <row r="69" spans="2:4" x14ac:dyDescent="0.75">
      <c r="B69" s="14" t="str">
        <f>IF('PS-ConceptMap-1'!S64=0,"//---END",'PS-ConceptMap-1'!S64)</f>
        <v>* group[=].element[=].display = ##34#A.1.5.1 Author organization##34#</v>
      </c>
    </row>
    <row r="70" spans="2:4" x14ac:dyDescent="0.75">
      <c r="B70" s="14" t="str">
        <f>IF('PS-ConceptMap-1'!S65=0,"//---END",'PS-ConceptMap-1'!S65)</f>
        <v>* group[=].element[=].target.code = #Composition.author</v>
      </c>
      <c r="D70" s="69"/>
    </row>
    <row r="71" spans="2:4" x14ac:dyDescent="0.75">
      <c r="B71" s="14" t="str">
        <f>IF('PS-ConceptMap-1'!S66=0,"//---END",'PS-ConceptMap-1'!S66)</f>
        <v>* group[=].element[=].target.display = ##34###34#</v>
      </c>
    </row>
    <row r="72" spans="2:4" x14ac:dyDescent="0.75">
      <c r="B72" s="14" t="str">
        <f>IF('PS-ConceptMap-1'!S67=0,"//---END",'PS-ConceptMap-1'!S67)</f>
        <v>* group[=].element[=].target.equivalence = #equivalent</v>
      </c>
    </row>
    <row r="73" spans="2:4" x14ac:dyDescent="0.75">
      <c r="B73" s="14" t="str">
        <f>IF('PS-ConceptMap-1'!S68=0,"//---END",'PS-ConceptMap-1'!S68)</f>
        <v>* group[=].element[=].target.comment = ##34#author can be of type Organziation, Pracitctioner or PractictionerRole##34#</v>
      </c>
    </row>
    <row r="74" spans="2:4" x14ac:dyDescent="0.75">
      <c r="B74" s="14" t="str">
        <f>IF('PS-ConceptMap-1'!S69=0,"//---END",'PS-ConceptMap-1'!S69)</f>
        <v>* group[=].element[+].code = #PatientSummary.header.participant.legalAuth</v>
      </c>
    </row>
    <row r="75" spans="2:4" x14ac:dyDescent="0.75">
      <c r="B75" s="14" t="str">
        <f>IF('PS-ConceptMap-1'!S70=0,"//---END",'PS-ConceptMap-1'!S70)</f>
        <v>* group[=].element[=].display = ##34#A.1.5.2 Legal authenticator##34#</v>
      </c>
    </row>
    <row r="76" spans="2:4" x14ac:dyDescent="0.75">
      <c r="B76" s="14" t="str">
        <f>IF('PS-ConceptMap-1'!S71=0,"//---END",'PS-ConceptMap-1'!S71)</f>
        <v>* group[=].element[=].target.code = #Composition.attester</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group[=].element[=].target.comment = ##34#attester.mode = 'legal'##34#</v>
      </c>
    </row>
    <row r="80" spans="2:4" x14ac:dyDescent="0.75">
      <c r="B80" s="14" t="str">
        <f>IF('PS-ConceptMap-1'!S75=0,"//---END",'PS-ConceptMap-1'!S75)</f>
        <v>* group[=].element[+].code = #PatientSummary.header.additionalInfo</v>
      </c>
    </row>
    <row r="81" spans="2:2" x14ac:dyDescent="0.75">
      <c r="B81" s="14" t="str">
        <f>IF('PS-ConceptMap-1'!S76=0,"//---END",'PS-ConceptMap-1'!S76)</f>
        <v>* group[=].element[=].display = ##34#A.1.6 Additional information / Knowledge resources##34#</v>
      </c>
    </row>
    <row r="82" spans="2:2" x14ac:dyDescent="0.75">
      <c r="B82" s="14" t="str">
        <f>IF('PS-ConceptMap-1'!S77=0,"//---END",'PS-ConceptMap-1'!S77)</f>
        <v>//-- unmatched</v>
      </c>
    </row>
    <row r="83" spans="2:2" x14ac:dyDescent="0.75">
      <c r="B83" s="14" t="str">
        <f>IF('PS-ConceptMap-1'!S78=0,"//---END",'PS-ConceptMap-1'!S78)</f>
        <v>//-- unmatched</v>
      </c>
    </row>
    <row r="84" spans="2:2" x14ac:dyDescent="0.75">
      <c r="B84" s="14" t="str">
        <f>IF('PS-ConceptMap-1'!S79=0,"//---END",'PS-ConceptMap-1'!S79)</f>
        <v>* group[=].element[=].target.equivalence = #unmatched</v>
      </c>
    </row>
    <row r="85" spans="2:2" x14ac:dyDescent="0.75">
      <c r="B85" s="14" t="str">
        <f>IF('PS-ConceptMap-1'!S80=0,"//---END",'PS-ConceptMap-1'!S80)</f>
        <v>* group[=].element[=].target.comment = ##34#Covered by other resources##34#</v>
      </c>
    </row>
    <row r="86" spans="2:2" x14ac:dyDescent="0.75">
      <c r="B86" s="14" t="str">
        <f>IF('PS-ConceptMap-1'!S81=0,"//---END",'PS-ConceptMap-1'!S81)</f>
        <v>* group[=].element[+].code = #PatientSummary.header.additionalInfo.reference</v>
      </c>
    </row>
    <row r="87" spans="2:2" x14ac:dyDescent="0.75">
      <c r="B87" s="14" t="str">
        <f>IF('PS-ConceptMap-1'!S82=0,"//---END",'PS-ConceptMap-1'!S82)</f>
        <v>* group[=].element[=].display = ##34#A.1.6.1 External reference##34#</v>
      </c>
    </row>
    <row r="88" spans="2:2" x14ac:dyDescent="0.75">
      <c r="B88" s="14" t="str">
        <f>IF('PS-ConceptMap-1'!S83=0,"//---END",'PS-ConceptMap-1'!S83)</f>
        <v>//-- unmatched</v>
      </c>
    </row>
    <row r="89" spans="2:2" x14ac:dyDescent="0.75">
      <c r="B89" s="14" t="str">
        <f>IF('PS-ConceptMap-1'!S84=0,"//---END",'PS-ConceptMap-1'!S84)</f>
        <v>//-- unmatched</v>
      </c>
    </row>
    <row r="90" spans="2:2" x14ac:dyDescent="0.75">
      <c r="B90" s="14" t="str">
        <f>IF('PS-ConceptMap-1'!S85=0,"//---END",'PS-ConceptMap-1'!S85)</f>
        <v>* group[=].element[=].target.equivalence = #unmatched</v>
      </c>
    </row>
    <row r="91" spans="2:2" x14ac:dyDescent="0.75">
      <c r="B91" s="14" t="str">
        <f>IF('PS-ConceptMap-1'!S86=0,"//---END",'PS-ConceptMap-1'!S86)</f>
        <v>* group[=].element[=].target.comment = ##34#Covered by other resources##34#</v>
      </c>
    </row>
    <row r="92" spans="2:2" x14ac:dyDescent="0.75">
      <c r="B92" s="14" t="str">
        <f>IF('PS-ConceptMap-1'!S87=0,"//---END",'PS-ConceptMap-1'!S87)</f>
        <v>* group[=].element[+].code = #PatientSummary.header.additionalInfo.relatedWith</v>
      </c>
    </row>
    <row r="93" spans="2:2" x14ac:dyDescent="0.75">
      <c r="B93" s="14" t="str">
        <f>IF('PS-ConceptMap-1'!S88=0,"//---END",'PS-ConceptMap-1'!S88)</f>
        <v>* group[=].element[=].display = ##34#A.1.6.2 Related with##34#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#PatientSummary.body</v>
      </c>
    </row>
    <row r="99" spans="2:2" x14ac:dyDescent="0.75">
      <c r="B99" s="14" t="str">
        <f>IF('PS-ConceptMap-1'!S94=0,"//---END",'PS-ConceptMap-1'!S94)</f>
        <v>* group[=].element[=].display = ##34#A.2 Patient summary body data elements##34#</v>
      </c>
    </row>
    <row r="100" spans="2:2" x14ac:dyDescent="0.75">
      <c r="B100" s="14" t="str">
        <f>IF('PS-ConceptMap-1'!S95=0,"//---END",'PS-ConceptMap-1'!S95)</f>
        <v>* group[=].element[=].target.code = #Composition.section</v>
      </c>
    </row>
    <row r="101" spans="2:2" x14ac:dyDescent="0.75">
      <c r="B101" s="14" t="str">
        <f>IF('PS-ConceptMap-1'!S96=0,"//---END",'PS-ConceptMap-1'!S96)</f>
        <v>* group[=].element[=].target.display = ##34###34#</v>
      </c>
    </row>
    <row r="102" spans="2:2" x14ac:dyDescent="0.75">
      <c r="B102" s="14" t="str">
        <f>IF('PS-ConceptMap-1'!S97=0,"//---END",'PS-ConceptMap-1'!S97)</f>
        <v>* group[=].element[=].target.equivalence = #relatedto</v>
      </c>
    </row>
    <row r="103" spans="2:2" x14ac:dyDescent="0.75">
      <c r="B103" s="14" t="str">
        <f>IF('PS-ConceptMap-1'!S98=0,"//---END",'PS-ConceptMap-1'!S98)</f>
        <v/>
      </c>
    </row>
    <row r="104" spans="2:2" x14ac:dyDescent="0.75">
      <c r="B104" s="14" t="str">
        <f>IF('PS-ConceptMap-1'!S99=0,"//---END",'PS-ConceptMap-1'!S99)</f>
        <v>* group[=].element[+].code = #PatientSummary.body.alerts</v>
      </c>
    </row>
    <row r="105" spans="2:2" x14ac:dyDescent="0.75">
      <c r="B105" s="14" t="str">
        <f>IF('PS-ConceptMap-1'!S100=0,"//---END",'PS-ConceptMap-1'!S100)</f>
        <v>* group[=].element[=].display = ##34#A.2.1 Alerts##34#</v>
      </c>
    </row>
    <row r="106" spans="2:2" x14ac:dyDescent="0.75">
      <c r="B106" s="14" t="str">
        <f>IF('PS-ConceptMap-1'!S101=0,"//---END",'PS-ConceptMap-1'!S101)</f>
        <v>* group[=].element[=].target.code = #Composition.section</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str">
        <f>IF('PS-ConceptMap-1'!S105=0,"//---END",'PS-ConceptMap-1'!S105)</f>
        <v>* group[=].element[+].code = #PatientSummary.body.alerts.allergy</v>
      </c>
    </row>
    <row r="111" spans="2:2" x14ac:dyDescent="0.75">
      <c r="B111" s="14" t="str">
        <f>IF('PS-ConceptMap-1'!S106=0,"//---END",'PS-ConceptMap-1'!S106)</f>
        <v>* group[=].element[=].display = ##34#A.2.1.1 Allergy##34#</v>
      </c>
    </row>
    <row r="112" spans="2:2" x14ac:dyDescent="0.75">
      <c r="B112" s="14" t="str">
        <f>IF('PS-ConceptMap-1'!S107=0,"//---END",'PS-ConceptMap-1'!S107)</f>
        <v>* group[=].element[=].target.code = #Composition.section:sectionAllergies.entry</v>
      </c>
    </row>
    <row r="113" spans="2:2" x14ac:dyDescent="0.75">
      <c r="B113" s="14" t="str">
        <f>IF('PS-ConceptMap-1'!S108=0,"//---END",'PS-ConceptMap-1'!S108)</f>
        <v>* group[=].element[=].target.display = ##34###34#</v>
      </c>
    </row>
    <row r="114" spans="2:2" x14ac:dyDescent="0.75">
      <c r="B114" s="14" t="str">
        <f>IF('PS-ConceptMap-1'!S109=0,"//---END",'PS-ConceptMap-1'!S109)</f>
        <v>* group[=].element[=].target.equivalence = #equivalent</v>
      </c>
    </row>
    <row r="115" spans="2:2" x14ac:dyDescent="0.75">
      <c r="B115" s="14" t="str">
        <f>IF('PS-ConceptMap-1'!S110=0,"//---END",'PS-ConceptMap-1'!S110)</f>
        <v/>
      </c>
    </row>
    <row r="116" spans="2:2" x14ac:dyDescent="0.75">
      <c r="B116" s="14" t="str">
        <f>IF('PS-ConceptMap-1'!S111=0,"//---END",'PS-ConceptMap-1'!S111)</f>
        <v>* group[=].element[+].code = #PatientSummary.body.alerts.alert</v>
      </c>
    </row>
    <row r="117" spans="2:2" x14ac:dyDescent="0.75">
      <c r="B117" s="14" t="str">
        <f>IF('PS-ConceptMap-1'!S112=0,"//---END",'PS-ConceptMap-1'!S112)</f>
        <v>* group[=].element[=].display = ##34#A.2.1.2 Medical alert information (other alerts not included in allergies)##34#</v>
      </c>
    </row>
    <row r="118" spans="2:2" x14ac:dyDescent="0.75">
      <c r="B118" s="14" t="str">
        <f>IF('PS-ConceptMap-1'!S113=0,"//---END",'PS-ConceptMap-1'!S113)</f>
        <v>* group[=].element[=].target.code = #Composition.section:sectionAlert</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c>
    </row>
    <row r="122" spans="2:2" x14ac:dyDescent="0.75">
      <c r="B122" s="14" t="str">
        <f>IF('PS-ConceptMap-1'!S117=0,"//---END",'PS-ConceptMap-1'!S117)</f>
        <v>* group[=].element[+].code = #PatientSummary.body.alerts.alert.description</v>
      </c>
    </row>
    <row r="123" spans="2:2" x14ac:dyDescent="0.75">
      <c r="B123" s="14" t="str">
        <f>IF('PS-ConceptMap-1'!S118=0,"//---END",'PS-ConceptMap-1'!S118)</f>
        <v>* group[=].element[=].display = ##34#A.2.1.2.1 Healthcare alert description##34#</v>
      </c>
    </row>
    <row r="124" spans="2:2" x14ac:dyDescent="0.75">
      <c r="B124" s="14" t="str">
        <f>IF('PS-ConceptMap-1'!S119=0,"//---END",'PS-ConceptMap-1'!S119)</f>
        <v>* group[=].element[=].target.code = #Composition.section:sectionAlert.text</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#PatientSummary.body.alerts.alert.description</v>
      </c>
    </row>
    <row r="129" spans="2:2" x14ac:dyDescent="0.75">
      <c r="B129" s="14" t="str">
        <f>IF('PS-ConceptMap-1'!S124=0,"//---END",'PS-ConceptMap-1'!S124)</f>
        <v>* group[=].element[=].display = ##34#A.2.1.2.1 Healthcare alert description##34#</v>
      </c>
    </row>
    <row r="130" spans="2:2" x14ac:dyDescent="0.75">
      <c r="B130" s="14" t="str">
        <f>IF('PS-ConceptMap-1'!S125=0,"//---END",'PS-ConceptMap-1'!S125)</f>
        <v>* group[=].element[=].target.code = #Composition.section:sectionAlert.entry.code.text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group[=].element[=].target.comment = ##34#entry of type Flag##34#</v>
      </c>
    </row>
    <row r="134" spans="2:2" x14ac:dyDescent="0.75">
      <c r="B134" s="14" t="str">
        <f>IF('PS-ConceptMap-1'!S129=0,"//---END",'PS-ConceptMap-1'!S129)</f>
        <v>* group[=].element[+].code = #PatientSummary.body.medicalHistory</v>
      </c>
    </row>
    <row r="135" spans="2:2" x14ac:dyDescent="0.75">
      <c r="B135" s="14" t="str">
        <f>IF('PS-ConceptMap-1'!S130=0,"//---END",'PS-ConceptMap-1'!S130)</f>
        <v>* group[=].element[=].display = ##34#A.2.2 Medical history##34#</v>
      </c>
    </row>
    <row r="136" spans="2:2" x14ac:dyDescent="0.75">
      <c r="B136" s="14" t="str">
        <f>IF('PS-ConceptMap-1'!S131=0,"//---END",'PS-ConceptMap-1'!S131)</f>
        <v>* group[=].element[=].target.code = #Composition.section</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c>
    </row>
    <row r="140" spans="2:2" x14ac:dyDescent="0.75">
      <c r="B140" s="14" t="str">
        <f>IF('PS-ConceptMap-1'!S135=0,"//---END",'PS-ConceptMap-1'!S135)</f>
        <v>* group[=].element[+].code = #PatientSummary.body.medicalHistory.vaccination</v>
      </c>
    </row>
    <row r="141" spans="2:2" x14ac:dyDescent="0.75">
      <c r="B141" s="14" t="str">
        <f>IF('PS-ConceptMap-1'!S136=0,"//---END",'PS-ConceptMap-1'!S136)</f>
        <v>* group[=].element[=].display = ##34#A.2.2.1 Vaccination/ prophylaxis information##34#</v>
      </c>
    </row>
    <row r="142" spans="2:2" x14ac:dyDescent="0.75">
      <c r="B142" s="14" t="str">
        <f>IF('PS-ConceptMap-1'!S137=0,"//---END",'PS-ConceptMap-1'!S137)</f>
        <v>* group[=].element[=].target.code = #Composition.section:sectionImmunizations.entry</v>
      </c>
    </row>
    <row r="143" spans="2:2" x14ac:dyDescent="0.75">
      <c r="B143" s="14" t="str">
        <f>IF('PS-ConceptMap-1'!S138=0,"//---END",'PS-ConceptMap-1'!S138)</f>
        <v>* group[=].element[=].target.display = ##34###34#</v>
      </c>
    </row>
    <row r="144" spans="2:2" x14ac:dyDescent="0.75">
      <c r="B144" s="14" t="str">
        <f>IF('PS-ConceptMap-1'!S139=0,"//---END",'PS-ConceptMap-1'!S139)</f>
        <v>* group[=].element[=].target.equivalence = #equivalent</v>
      </c>
    </row>
    <row r="145" spans="2:2" x14ac:dyDescent="0.75">
      <c r="B145" s="14" t="str">
        <f>IF('PS-ConceptMap-1'!S140=0,"//---END",'PS-ConceptMap-1'!S140)</f>
        <v/>
      </c>
    </row>
    <row r="146" spans="2:2" x14ac:dyDescent="0.75">
      <c r="B146" s="14" t="str">
        <f>IF('PS-ConceptMap-1'!S141=0,"//---END",'PS-ConceptMap-1'!S141)</f>
        <v>* group[=].element[+].code = #PatientSummary.body.medicalHistory.inactiveProblem</v>
      </c>
    </row>
    <row r="147" spans="2:2" x14ac:dyDescent="0.75">
      <c r="B147" s="14" t="str">
        <f>IF('PS-ConceptMap-1'!S142=0,"//---END",'PS-ConceptMap-1'!S142)</f>
        <v>* group[=].element[=].display = ##34#A.2.2.2 Resolved, closed or inactive problems##34#</v>
      </c>
    </row>
    <row r="148" spans="2:2" x14ac:dyDescent="0.75">
      <c r="B148" s="14" t="str">
        <f>IF('PS-ConceptMap-1'!S143=0,"//---END",'PS-ConceptMap-1'!S143)</f>
        <v>* group[=].element[=].target.code = #Composition.section:sectionPastIllnessHx.entry</v>
      </c>
    </row>
    <row r="149" spans="2:2" x14ac:dyDescent="0.75">
      <c r="B149" s="14" t="str">
        <f>IF('PS-ConceptMap-1'!S144=0,"//---END",'PS-ConceptMap-1'!S144)</f>
        <v>* group[=].element[=].target.display = ##34###34#</v>
      </c>
    </row>
    <row r="150" spans="2:2" x14ac:dyDescent="0.75">
      <c r="B150" s="14" t="str">
        <f>IF('PS-ConceptMap-1'!S145=0,"//---END",'PS-ConceptMap-1'!S145)</f>
        <v>* group[=].element[=].target.equivalence = #equivalent</v>
      </c>
    </row>
    <row r="151" spans="2:2" x14ac:dyDescent="0.75">
      <c r="B151" s="14" t="str">
        <f>IF('PS-ConceptMap-1'!S146=0,"//---END",'PS-ConceptMap-1'!S146)</f>
        <v/>
      </c>
    </row>
    <row r="152" spans="2:2" x14ac:dyDescent="0.75">
      <c r="B152" s="14" t="str">
        <f>IF('PS-ConceptMap-1'!S147=0,"//---END",'PS-ConceptMap-1'!S147)</f>
        <v>* group[=].element[+].code = #PatientSummary.body.medicalHistory.anamnesis</v>
      </c>
    </row>
    <row r="153" spans="2:2" x14ac:dyDescent="0.75">
      <c r="B153" s="14" t="str">
        <f>IF('PS-ConceptMap-1'!S148=0,"//---END",'PS-ConceptMap-1'!S148)</f>
        <v>* group[=].element[=].display = ##34#A.2.2.3 Medical history##34#</v>
      </c>
    </row>
    <row r="154" spans="2:2" x14ac:dyDescent="0.75">
      <c r="B154" s="14" t="str">
        <f>IF('PS-ConceptMap-1'!S149=0,"//---END",'PS-ConceptMap-1'!S149)</f>
        <v>* group[=].element[=].target.code = #Composition</v>
      </c>
    </row>
    <row r="155" spans="2:2" x14ac:dyDescent="0.75">
      <c r="B155" s="14" t="str">
        <f>IF('PS-ConceptMap-1'!S150=0,"//---END",'PS-ConceptMap-1'!S150)</f>
        <v>* group[=].element[=].target.display = ##34###34#</v>
      </c>
    </row>
    <row r="156" spans="2:2" x14ac:dyDescent="0.75">
      <c r="B156" s="14" t="str">
        <f>IF('PS-ConceptMap-1'!S151=0,"//---END",'PS-ConceptMap-1'!S151)</f>
        <v>* group[=].element[=].target.equivalence = #relatedto</v>
      </c>
    </row>
    <row r="157" spans="2:2" x14ac:dyDescent="0.75">
      <c r="B157" s="14" t="str">
        <f>IF('PS-ConceptMap-1'!S152=0,"//---END",'PS-ConceptMap-1'!S152)</f>
        <v/>
      </c>
    </row>
    <row r="158" spans="2:2" x14ac:dyDescent="0.75">
      <c r="B158" s="14" t="str">
        <f>IF('PS-ConceptMap-1'!S153=0,"//---END",'PS-ConceptMap-1'!S153)</f>
        <v>* group[=].element[+].code = #PatientSummary.body.medicalHistory.medicalDevices</v>
      </c>
    </row>
    <row r="159" spans="2:2" x14ac:dyDescent="0.75">
      <c r="B159" s="14" t="str">
        <f>IF('PS-ConceptMap-1'!S154=0,"//---END",'PS-ConceptMap-1'!S154)</f>
        <v>* group[=].element[=].display = ##34#A.2.3.2 Medical devices and implants##34#</v>
      </c>
    </row>
    <row r="160" spans="2:2" x14ac:dyDescent="0.75">
      <c r="B160" s="14" t="str">
        <f>IF('PS-ConceptMap-1'!S155=0,"//---END",'PS-ConceptMap-1'!S155)</f>
        <v>* group[=].element[=].target.code = #Composition. section:sectionMedicalDevices</v>
      </c>
    </row>
    <row r="161" spans="2:2" x14ac:dyDescent="0.75">
      <c r="B161" s="14" t="str">
        <f>IF('PS-ConceptMap-1'!S156=0,"//---END",'PS-ConceptMap-1'!S156)</f>
        <v>* group[=].element[=].target.display = ##34###34#</v>
      </c>
    </row>
    <row r="162" spans="2:2" x14ac:dyDescent="0.75">
      <c r="B162" s="14" t="str">
        <f>IF('PS-ConceptMap-1'!S157=0,"//---END",'PS-ConceptMap-1'!S157)</f>
        <v>* group[=].element[=].target.equivalence = #equivalent</v>
      </c>
    </row>
    <row r="163" spans="2:2" x14ac:dyDescent="0.75">
      <c r="B163" s="14" t="str">
        <f>IF('PS-ConceptMap-1'!S158=0,"//---END",'PS-ConceptMap-1'!S158)</f>
        <v/>
      </c>
    </row>
    <row r="164" spans="2:2" x14ac:dyDescent="0.75">
      <c r="B164" s="14" t="str">
        <f>IF('PS-ConceptMap-1'!S159=0,"//---END",'PS-ConceptMap-1'!S159)</f>
        <v>* group[=].element[+].code = #PatientSummary.body.medicalHistory.procedures</v>
      </c>
    </row>
    <row r="165" spans="2:2" x14ac:dyDescent="0.75">
      <c r="B165" s="14" t="str">
        <f>IF('PS-ConceptMap-1'!S160=0,"//---END",'PS-ConceptMap-1'!S160)</f>
        <v>* group[=].element[=].display = ##34#A.2.3.3 Procedures##34#</v>
      </c>
    </row>
    <row r="166" spans="2:2" x14ac:dyDescent="0.75">
      <c r="B166" s="14" t="str">
        <f>IF('PS-ConceptMap-1'!S161=0,"//---END",'PS-ConceptMap-1'!S161)</f>
        <v>* group[=].element[=].target.code = #Composition.section:sectionProceduresHx</v>
      </c>
    </row>
    <row r="167" spans="2:2" x14ac:dyDescent="0.75">
      <c r="B167" s="14" t="str">
        <f>IF('PS-ConceptMap-1'!S162=0,"//---END",'PS-ConceptMap-1'!S162)</f>
        <v>* group[=].element[=].target.display = ##34###34#</v>
      </c>
    </row>
    <row r="168" spans="2:2" x14ac:dyDescent="0.75">
      <c r="B168" s="14" t="str">
        <f>IF('PS-ConceptMap-1'!S163=0,"//---END",'PS-ConceptMap-1'!S163)</f>
        <v>* group[=].element[=].target.equivalence = #equivalent</v>
      </c>
    </row>
    <row r="169" spans="2:2" x14ac:dyDescent="0.75">
      <c r="B169" s="14" t="str">
        <f>IF('PS-ConceptMap-1'!S164=0,"//---END",'PS-ConceptMap-1'!S164)</f>
        <v/>
      </c>
    </row>
    <row r="170" spans="2:2" x14ac:dyDescent="0.75">
      <c r="B170" s="14" t="str">
        <f>IF('PS-ConceptMap-1'!S165=0,"//---END",'PS-ConceptMap-1'!S165)</f>
        <v>* group[=].element[+].code = #PatientSummary.body.medicalHistory.functionalStatus</v>
      </c>
    </row>
    <row r="171" spans="2:2" x14ac:dyDescent="0.75">
      <c r="B171" s="14" t="str">
        <f>IF('PS-ConceptMap-1'!S166=0,"//---END",'PS-ConceptMap-1'!S166)</f>
        <v>* group[=].element[=].display = ##34#A.2.3.4 Functional status##34#</v>
      </c>
    </row>
    <row r="172" spans="2:2" x14ac:dyDescent="0.75">
      <c r="B172" s="14" t="str">
        <f>IF('PS-ConceptMap-1'!S167=0,"//---END",'PS-ConceptMap-1'!S167)</f>
        <v>* group[=].element[=].target.code = #Composition.section:sectionFunctionalStatus</v>
      </c>
    </row>
    <row r="173" spans="2:2" x14ac:dyDescent="0.75">
      <c r="B173" s="14" t="str">
        <f>IF('PS-ConceptMap-1'!S168=0,"//---END",'PS-ConceptMap-1'!S168)</f>
        <v>* group[=].element[=].target.display = ##34###34#</v>
      </c>
    </row>
    <row r="174" spans="2:2" x14ac:dyDescent="0.75">
      <c r="B174" s="14" t="str">
        <f>IF('PS-ConceptMap-1'!S169=0,"//---END",'PS-ConceptMap-1'!S169)</f>
        <v>* group[=].element[=].target.equivalence = #equivalent</v>
      </c>
    </row>
    <row r="175" spans="2:2" x14ac:dyDescent="0.75">
      <c r="B175" s="14" t="str">
        <f>IF('PS-ConceptMap-1'!S170=0,"//---END",'PS-ConceptMap-1'!S170)</f>
        <v/>
      </c>
    </row>
    <row r="176" spans="2:2" x14ac:dyDescent="0.75">
      <c r="B176" s="14" t="str">
        <f>IF('PS-ConceptMap-1'!S171=0,"//---END",'PS-ConceptMap-1'!S171)</f>
        <v>* group[=].element[+].code = #PatientSummary.body.medicationSummary</v>
      </c>
    </row>
    <row r="177" spans="2:2" x14ac:dyDescent="0.75">
      <c r="B177" s="14" t="str">
        <f>IF('PS-ConceptMap-1'!S172=0,"//---END",'PS-ConceptMap-1'!S172)</f>
        <v>* group[=].element[=].display = ##34#A.2.4 Medication summary##34#</v>
      </c>
    </row>
    <row r="178" spans="2:2" x14ac:dyDescent="0.75">
      <c r="B178" s="14" t="str">
        <f>IF('PS-ConceptMap-1'!S173=0,"//---END",'PS-ConceptMap-1'!S173)</f>
        <v>* group[=].element[=].target.code = #Composition.section:sectionMedications</v>
      </c>
    </row>
    <row r="179" spans="2:2" x14ac:dyDescent="0.75">
      <c r="B179" s="14" t="str">
        <f>IF('PS-ConceptMap-1'!S174=0,"//---END",'PS-ConceptMap-1'!S174)</f>
        <v>* group[=].element[=].target.display = ##34###34#</v>
      </c>
    </row>
    <row r="180" spans="2:2" x14ac:dyDescent="0.75">
      <c r="B180" s="14" t="str">
        <f>IF('PS-ConceptMap-1'!S175=0,"//---END",'PS-ConceptMap-1'!S175)</f>
        <v>* group[=].element[=].target.equivalence = #equivalent</v>
      </c>
    </row>
    <row r="181" spans="2:2" x14ac:dyDescent="0.75">
      <c r="B181" s="14" t="str">
        <f>IF('PS-ConceptMap-1'!S176=0,"//---END",'PS-ConceptMap-1'!S176)</f>
        <v/>
      </c>
    </row>
    <row r="182" spans="2:2" x14ac:dyDescent="0.75">
      <c r="B182" s="14" t="str">
        <f>IF('PS-ConceptMap-1'!S177=0,"//---END",'PS-ConceptMap-1'!S177)</f>
        <v>* group[=].element[+].code = #PatientSummary.body.socialHistory</v>
      </c>
    </row>
    <row r="183" spans="2:2" x14ac:dyDescent="0.75">
      <c r="B183" s="14" t="str">
        <f>IF('PS-ConceptMap-1'!S178=0,"//---END",'PS-ConceptMap-1'!S178)</f>
        <v>* group[=].element[=].display = ##34#A.2.5 Social history##34#</v>
      </c>
    </row>
    <row r="184" spans="2:2" x14ac:dyDescent="0.75">
      <c r="B184" s="14" t="str">
        <f>IF('PS-ConceptMap-1'!S179=0,"//---END",'PS-ConceptMap-1'!S179)</f>
        <v>* group[=].element[=].target.code = #Composition.section:sectionSocialHistory</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#PatientSummary.body.pregnancyHistory</v>
      </c>
    </row>
    <row r="189" spans="2:2" x14ac:dyDescent="0.75">
      <c r="B189" s="14" t="str">
        <f>IF('PS-ConceptMap-1'!S184=0,"//---END",'PS-ConceptMap-1'!S184)</f>
        <v>* group[=].element[=].display = ##34#A.2.6 Pregnancy history##34#</v>
      </c>
    </row>
    <row r="190" spans="2:2" x14ac:dyDescent="0.75">
      <c r="B190" s="14" t="str">
        <f>IF('PS-ConceptMap-1'!S185=0,"//---END",'PS-ConceptMap-1'!S185)</f>
        <v>* group[=].element[=].target.code = #Composition.section:sectionPregnancyHx</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#PatientSummary.body.patientData</v>
      </c>
    </row>
    <row r="195" spans="2:2" x14ac:dyDescent="0.75">
      <c r="B195" s="14" t="str">
        <f>IF('PS-ConceptMap-1'!S190=0,"//---END",'PS-ConceptMap-1'!S190)</f>
        <v>* group[=].element[=].display = ##34#A.2.7 Patient provided data##34#</v>
      </c>
    </row>
    <row r="196" spans="2:2" x14ac:dyDescent="0.75">
      <c r="B196" s="14" t="str">
        <f>IF('PS-ConceptMap-1'!S191=0,"//---END",'PS-ConceptMap-1'!S191)</f>
        <v>* group[=].element[=].target.code = #Composition.section</v>
      </c>
    </row>
    <row r="197" spans="2:2" x14ac:dyDescent="0.75">
      <c r="B197" s="14" t="str">
        <f>IF('PS-ConceptMap-1'!S192=0,"//---END",'PS-ConceptMap-1'!S192)</f>
        <v>* group[=].element[=].target.display = ##34###34#</v>
      </c>
    </row>
    <row r="198" spans="2:2" x14ac:dyDescent="0.75">
      <c r="B198" s="14" t="str">
        <f>IF('PS-ConceptMap-1'!S193=0,"//---END",'PS-ConceptMap-1'!S193)</f>
        <v>* group[=].element[=].target.equivalence = #relatedto</v>
      </c>
    </row>
    <row r="199" spans="2:2" x14ac:dyDescent="0.75">
      <c r="B199" s="14" t="str">
        <f>IF('PS-ConceptMap-1'!S194=0,"//---END",'PS-ConceptMap-1'!S194)</f>
        <v/>
      </c>
    </row>
    <row r="200" spans="2:2" x14ac:dyDescent="0.75">
      <c r="B200" s="14" t="str">
        <f>IF('PS-ConceptMap-1'!S195=0,"//---END",'PS-ConceptMap-1'!S195)</f>
        <v>* group[=].element[+].code = #PatientSummary.body.patientData.travelHistory</v>
      </c>
    </row>
    <row r="201" spans="2:2" x14ac:dyDescent="0.75">
      <c r="B201" s="14" t="str">
        <f>IF('PS-ConceptMap-1'!S196=0,"//---END",'PS-ConceptMap-1'!S196)</f>
        <v>* group[=].element[=].display = ##34#A.2.7.1 Travel history##34#</v>
      </c>
    </row>
    <row r="202" spans="2:2" x14ac:dyDescent="0.75">
      <c r="B202" s="14" t="str">
        <f>IF('PS-ConceptMap-1'!S197=0,"//---END",'PS-ConceptMap-1'!S197)</f>
        <v>* group[=].element[=].target.code = #Composition.section:sectionTravelHx</v>
      </c>
    </row>
    <row r="203" spans="2:2" x14ac:dyDescent="0.75">
      <c r="B203" s="14" t="str">
        <f>IF('PS-ConceptMap-1'!S198=0,"//---END",'PS-ConceptMap-1'!S198)</f>
        <v>* group[=].element[=].target.display = ##34###34#</v>
      </c>
    </row>
    <row r="204" spans="2:2" x14ac:dyDescent="0.75">
      <c r="B204" s="14" t="str">
        <f>IF('PS-ConceptMap-1'!S199=0,"//---END",'PS-ConceptMap-1'!S199)</f>
        <v>* group[=].element[=].target.equivalence = #relatedto</v>
      </c>
    </row>
    <row r="205" spans="2:2" x14ac:dyDescent="0.75">
      <c r="B205" s="14" t="str">
        <f>IF('PS-ConceptMap-1'!S200=0,"//---END",'PS-ConceptMap-1'!S200)</f>
        <v/>
      </c>
    </row>
    <row r="206" spans="2:2" x14ac:dyDescent="0.75">
      <c r="B206" s="14" t="str">
        <f>IF('PS-ConceptMap-1'!S201=0,"//---END",'PS-ConceptMap-1'!S201)</f>
        <v>* group[=].element[+].code = #PatientSummary.body.patientData.advanceDirective</v>
      </c>
    </row>
    <row r="207" spans="2:2" x14ac:dyDescent="0.75">
      <c r="B207" s="14" t="str">
        <f>IF('PS-ConceptMap-1'!S202=0,"//---END",'PS-ConceptMap-1'!S202)</f>
        <v>* group[=].element[=].display = ##34#A.2.7.2 Advance Directive##34#</v>
      </c>
    </row>
    <row r="208" spans="2:2" x14ac:dyDescent="0.75">
      <c r="B208" s="14" t="str">
        <f>IF('PS-ConceptMap-1'!S203=0,"//---END",'PS-ConceptMap-1'!S203)</f>
        <v>* group[=].element[=].target.code = #Composition.section:sectionAdvanceDirectives</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 group[=].element[+].code = #PatientSummary.body.results</v>
      </c>
    </row>
    <row r="213" spans="2:2" x14ac:dyDescent="0.75">
      <c r="B213" s="14" t="str">
        <f>IF('PS-ConceptMap-1'!S208=0,"//---END",'PS-ConceptMap-1'!S208)</f>
        <v>* group[=].element[=].display = ##34#A.2.8 Results##34#</v>
      </c>
    </row>
    <row r="214" spans="2:2" x14ac:dyDescent="0.75">
      <c r="B214" s="14" t="str">
        <f>IF('PS-ConceptMap-1'!S209=0,"//---END",'PS-ConceptMap-1'!S209)</f>
        <v>* group[=].element[=].target.code = #Composition.section:sectionResults</v>
      </c>
    </row>
    <row r="215" spans="2:2" x14ac:dyDescent="0.75">
      <c r="B215" s="14" t="str">
        <f>IF('PS-ConceptMap-1'!S210=0,"//---END",'PS-ConceptMap-1'!S210)</f>
        <v>* group[=].element[=].target.display = ##34###34#</v>
      </c>
    </row>
    <row r="216" spans="2:2" x14ac:dyDescent="0.75">
      <c r="B216" s="14" t="str">
        <f>IF('PS-ConceptMap-1'!S211=0,"//---END",'PS-ConceptMap-1'!S211)</f>
        <v>* group[=].element[=].target.equivalence = #equivalent</v>
      </c>
    </row>
    <row r="217" spans="2:2" x14ac:dyDescent="0.75">
      <c r="B217" s="14" t="str">
        <f>IF('PS-ConceptMap-1'!S212=0,"//---END",'PS-ConceptMap-1'!S212)</f>
        <v/>
      </c>
    </row>
    <row r="218" spans="2:2" x14ac:dyDescent="0.75">
      <c r="B218" s="14" t="str">
        <f>IF('PS-ConceptMap-1'!S213=0,"//---END",'PS-ConceptMap-1'!S213)</f>
        <v>* group[=].element[+].code = #PatientSummary.body.planOfCare</v>
      </c>
    </row>
    <row r="219" spans="2:2" x14ac:dyDescent="0.75">
      <c r="B219" s="14" t="str">
        <f>IF('PS-ConceptMap-1'!S214=0,"//---END",'PS-ConceptMap-1'!S214)</f>
        <v>* group[=].element[=].display = ##34#A.2.9 Plan of Care##34#</v>
      </c>
    </row>
    <row r="220" spans="2:2" x14ac:dyDescent="0.75">
      <c r="B220" s="14" t="str">
        <f>IF('PS-ConceptMap-1'!S215=0,"//---END",'PS-ConceptMap-1'!S215)</f>
        <v>* group[=].element[=].target.code = #Composition.section:sectionPlanOfCare</v>
      </c>
    </row>
    <row r="221" spans="2:2" x14ac:dyDescent="0.75">
      <c r="B221" s="14" t="str">
        <f>IF('PS-ConceptMap-1'!S216=0,"//---END",'PS-ConceptMap-1'!S216)</f>
        <v>* group[=].element[=].target.display = ##34###34#</v>
      </c>
    </row>
    <row r="222" spans="2:2" x14ac:dyDescent="0.75">
      <c r="B222" s="14" t="str">
        <f>IF('PS-ConceptMap-1'!S217=0,"//---END",'PS-ConceptMap-1'!S217)</f>
        <v>* group[=].element[=].target.equivalence = #equivalent</v>
      </c>
    </row>
    <row r="223" spans="2:2" x14ac:dyDescent="0.75">
      <c r="B223" s="14" t="str">
        <f>IF('PS-ConceptMap-1'!S218=0,"//---END",'PS-ConceptMap-1'!S218)</f>
        <v/>
      </c>
    </row>
    <row r="224" spans="2:2" x14ac:dyDescent="0.75">
      <c r="B224" s="14" t="str">
        <f>IF('PS-ConceptMap-1'!S219=0,"//---END",'PS-ConceptMap-1'!S219)</f>
        <v>//---END</v>
      </c>
    </row>
    <row r="225" spans="2:2" x14ac:dyDescent="0.75">
      <c r="B225" s="14" t="str">
        <f>IF('PS-ConceptMap-1'!S220=0,"//---END",'PS-ConceptMap-1'!S220)</f>
        <v>//---END</v>
      </c>
    </row>
    <row r="226" spans="2:2" x14ac:dyDescent="0.75">
      <c r="B226" s="14" t="str">
        <f>IF('PS-ConceptMap-1'!S221=0,"//---END",'PS-ConceptMap-1'!S221)</f>
        <v>//---END</v>
      </c>
    </row>
    <row r="227" spans="2:2" x14ac:dyDescent="0.75">
      <c r="B227" s="14" t="str">
        <f>IF('PS-ConceptMap-1'!S222=0,"//---END",'PS-ConceptMap-1'!S222)</f>
        <v>//---END</v>
      </c>
    </row>
    <row r="228" spans="2:2" x14ac:dyDescent="0.75">
      <c r="B228" s="14" t="str">
        <f>IF('PS-ConceptMap-1'!S223=0,"//---END",'PS-ConceptMap-1'!S223)</f>
        <v>//---END</v>
      </c>
    </row>
    <row r="229" spans="2:2" x14ac:dyDescent="0.75">
      <c r="B229" s="14" t="str">
        <f>IF('PS-ConceptMap-1'!S224=0,"//---END",'PS-ConceptMap-1'!S224)</f>
        <v>//---END</v>
      </c>
    </row>
    <row r="230" spans="2:2" x14ac:dyDescent="0.75">
      <c r="B230" s="14" t="str">
        <f>IF('PS-ConceptMap-1'!S225=0,"//---END",'PS-ConceptMap-1'!S225)</f>
        <v>//---END</v>
      </c>
    </row>
    <row r="231" spans="2:2" x14ac:dyDescent="0.75">
      <c r="B231" s="14" t="str">
        <f>IF('PS-ConceptMap-1'!S226=0,"//---END",'PS-ConceptMap-1'!S226)</f>
        <v>//---END</v>
      </c>
    </row>
    <row r="232" spans="2:2" x14ac:dyDescent="0.75">
      <c r="B232" s="14" t="str">
        <f>IF('PS-ConceptMap-1'!S227=0,"//---END",'PS-ConceptMap-1'!S227)</f>
        <v>//---END</v>
      </c>
    </row>
    <row r="233" spans="2:2" x14ac:dyDescent="0.75">
      <c r="B233" s="14" t="str">
        <f>IF('PS-ConceptMap-1'!S228=0,"//---END",'PS-ConceptMap-1'!S228)</f>
        <v>//---END</v>
      </c>
    </row>
    <row r="234" spans="2:2" x14ac:dyDescent="0.75">
      <c r="B234" s="14" t="str">
        <f>IF('PS-ConceptMap-1'!S229=0,"//---END",'PS-ConceptMap-1'!S229)</f>
        <v>//---END</v>
      </c>
    </row>
    <row r="235" spans="2:2" x14ac:dyDescent="0.75">
      <c r="B235" s="14" t="str">
        <f>IF('PS-ConceptMap-1'!S230=0,"//---END",'PS-ConceptMap-1'!S230)</f>
        <v>//---END</v>
      </c>
    </row>
    <row r="236" spans="2:2" x14ac:dyDescent="0.75">
      <c r="B236" s="14" t="str">
        <f>IF('PS-ConceptMap-1'!S231=0,"//---END",'PS-ConceptMap-1'!S231)</f>
        <v>//---END</v>
      </c>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row r="252" spans="2:2" x14ac:dyDescent="0.75">
      <c r="B252" s="14"/>
    </row>
    <row r="253" spans="2:2" x14ac:dyDescent="0.75">
      <c r="B253" s="14"/>
    </row>
    <row r="254" spans="2:2" x14ac:dyDescent="0.75">
      <c r="B254" s="14"/>
    </row>
    <row r="255" spans="2:2" x14ac:dyDescent="0.75">
      <c r="B255" s="14"/>
    </row>
    <row r="256" spans="2:2" x14ac:dyDescent="0.75">
      <c r="B256" s="14"/>
    </row>
    <row r="257" spans="2:2" x14ac:dyDescent="0.75">
      <c r="B257" s="14"/>
    </row>
    <row r="258" spans="2:2" x14ac:dyDescent="0.75">
      <c r="B258" s="14"/>
    </row>
    <row r="259" spans="2:2" x14ac:dyDescent="0.75">
      <c r="B259" s="14"/>
    </row>
    <row r="260" spans="2:2" x14ac:dyDescent="0.75">
      <c r="B260" s="14"/>
    </row>
    <row r="261" spans="2:2" x14ac:dyDescent="0.75">
      <c r="B261" s="14"/>
    </row>
    <row r="262" spans="2:2" x14ac:dyDescent="0.75">
      <c r="B262" s="14"/>
    </row>
    <row r="263" spans="2:2" x14ac:dyDescent="0.75">
      <c r="B263" s="14"/>
    </row>
    <row r="264" spans="2:2" x14ac:dyDescent="0.75">
      <c r="B264" s="14"/>
    </row>
    <row r="265" spans="2:2" x14ac:dyDescent="0.75">
      <c r="B265" s="14"/>
    </row>
    <row r="266" spans="2:2" x14ac:dyDescent="0.75">
      <c r="B266" s="14"/>
    </row>
    <row r="267" spans="2:2" x14ac:dyDescent="0.75">
      <c r="B267" s="14"/>
    </row>
    <row r="268" spans="2:2" x14ac:dyDescent="0.75">
      <c r="B268" s="14"/>
    </row>
    <row r="269" spans="2:2" x14ac:dyDescent="0.75">
      <c r="B269" s="14"/>
    </row>
    <row r="270" spans="2:2" x14ac:dyDescent="0.75">
      <c r="B270" s="14"/>
    </row>
    <row r="271" spans="2:2" x14ac:dyDescent="0.75">
      <c r="B271" s="14"/>
    </row>
    <row r="272" spans="2:2" x14ac:dyDescent="0.75">
      <c r="B272" s="14"/>
    </row>
    <row r="273" spans="2:2" x14ac:dyDescent="0.75">
      <c r="B273" s="14"/>
    </row>
    <row r="274" spans="2:2" x14ac:dyDescent="0.75">
      <c r="B274" s="14"/>
    </row>
    <row r="275" spans="2:2" x14ac:dyDescent="0.75">
      <c r="B275" s="14"/>
    </row>
    <row r="276" spans="2:2" x14ac:dyDescent="0.75">
      <c r="B276" s="14"/>
    </row>
    <row r="277" spans="2:2" x14ac:dyDescent="0.75">
      <c r="B277" s="14"/>
    </row>
    <row r="278" spans="2:2" x14ac:dyDescent="0.75">
      <c r="B278" s="14"/>
    </row>
    <row r="279" spans="2:2" x14ac:dyDescent="0.75">
      <c r="B279" s="14"/>
    </row>
    <row r="280" spans="2:2" x14ac:dyDescent="0.75">
      <c r="B280" s="14"/>
    </row>
    <row r="281" spans="2:2" x14ac:dyDescent="0.75">
      <c r="B281" s="14"/>
    </row>
    <row r="282" spans="2:2" x14ac:dyDescent="0.75">
      <c r="B282" s="14"/>
    </row>
    <row r="283" spans="2:2" x14ac:dyDescent="0.75">
      <c r="B283" s="14"/>
    </row>
    <row r="284" spans="2:2" x14ac:dyDescent="0.75">
      <c r="B284" s="14"/>
    </row>
    <row r="285" spans="2:2" x14ac:dyDescent="0.75">
      <c r="B285" s="14"/>
    </row>
    <row r="286" spans="2:2" x14ac:dyDescent="0.75">
      <c r="B286" s="14"/>
    </row>
    <row r="287" spans="2:2" x14ac:dyDescent="0.75">
      <c r="B287" s="14"/>
    </row>
    <row r="288" spans="2:2" x14ac:dyDescent="0.75">
      <c r="B288" s="14"/>
    </row>
    <row r="289" spans="2:2" x14ac:dyDescent="0.75">
      <c r="B289" s="14"/>
    </row>
    <row r="290" spans="2:2" x14ac:dyDescent="0.75">
      <c r="B290" s="14"/>
    </row>
    <row r="291" spans="2:2" x14ac:dyDescent="0.75">
      <c r="B291" s="14"/>
    </row>
    <row r="292" spans="2:2" x14ac:dyDescent="0.75">
      <c r="B292" s="14"/>
    </row>
    <row r="293" spans="2:2" x14ac:dyDescent="0.75">
      <c r="B293" s="14"/>
    </row>
    <row r="294" spans="2:2" x14ac:dyDescent="0.75">
      <c r="B294" s="14"/>
    </row>
    <row r="295" spans="2:2" x14ac:dyDescent="0.75">
      <c r="B295" s="14"/>
    </row>
    <row r="296" spans="2:2" x14ac:dyDescent="0.75">
      <c r="B296" s="14"/>
    </row>
    <row r="297" spans="2:2" x14ac:dyDescent="0.75">
      <c r="B297" s="14"/>
    </row>
    <row r="298" spans="2:2" x14ac:dyDescent="0.75">
      <c r="B298" s="14"/>
    </row>
    <row r="299" spans="2:2" x14ac:dyDescent="0.75">
      <c r="B299" s="14"/>
    </row>
    <row r="300" spans="2:2" x14ac:dyDescent="0.75">
      <c r="B300" s="14"/>
    </row>
    <row r="301" spans="2:2" x14ac:dyDescent="0.75">
      <c r="B301" s="14"/>
    </row>
    <row r="302" spans="2:2" x14ac:dyDescent="0.75">
      <c r="B302" s="14"/>
    </row>
    <row r="303" spans="2:2" x14ac:dyDescent="0.75">
      <c r="B303" s="14"/>
    </row>
    <row r="304" spans="2:2" x14ac:dyDescent="0.75">
      <c r="B304" s="14"/>
    </row>
    <row r="305" spans="2:2" x14ac:dyDescent="0.75">
      <c r="B305" s="14"/>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B17" sqref="B1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1287</v>
      </c>
      <c r="I4" s="24" t="str">
        <f>CONCATENATE("Logical: ",B4)</f>
        <v>Logical: VaccinationPsEhn</v>
      </c>
    </row>
    <row r="5" spans="1:11" x14ac:dyDescent="0.75">
      <c r="A5" s="17" t="s">
        <v>19</v>
      </c>
      <c r="B5" s="33" t="s">
        <v>1288</v>
      </c>
      <c r="I5" s="24" t="str">
        <f>CONCATENATE("Id: ",B5)</f>
        <v>Id: Vaccination</v>
      </c>
    </row>
    <row r="6" spans="1:11" x14ac:dyDescent="0.75">
      <c r="A6" s="17" t="s">
        <v>13</v>
      </c>
      <c r="B6" s="18" t="s">
        <v>1145</v>
      </c>
      <c r="I6" s="25" t="str">
        <f>CONCATENATE("Title: ##34#",B6,"##34#")</f>
        <v>Title: ##34#A.2.2.1 - Vaccination/ prophylaxis information##34#</v>
      </c>
    </row>
    <row r="7" spans="1:11" ht="29.5" x14ac:dyDescent="0.75">
      <c r="A7" s="45" t="s">
        <v>5</v>
      </c>
      <c r="B7" s="18" t="s">
        <v>1289</v>
      </c>
      <c r="C7" s="12"/>
      <c r="D7" s="2"/>
      <c r="E7" s="51"/>
      <c r="F7" s="3" t="s">
        <v>9</v>
      </c>
      <c r="G7" s="3" t="s">
        <v>10</v>
      </c>
      <c r="I7" s="25" t="str">
        <f>CONCATENATE("Description: "," ##334#",B7,"##334#",)</f>
        <v>Description:  ##334# Vaccination/ prophylaxis information. Sections A2.2.2.1 of the eHN guideline.##334#</v>
      </c>
    </row>
    <row r="8" spans="1:11" ht="44.25" x14ac:dyDescent="0.75">
      <c r="A8" s="9">
        <v>1</v>
      </c>
      <c r="B8" s="9" t="s">
        <v>1307</v>
      </c>
      <c r="C8" s="14" t="s">
        <v>1290</v>
      </c>
      <c r="D8" s="14" t="s">
        <v>1302</v>
      </c>
      <c r="E8" s="9">
        <v>0</v>
      </c>
      <c r="F8" s="9" t="s">
        <v>11</v>
      </c>
      <c r="G8" s="9" t="s">
        <v>1</v>
      </c>
      <c r="H8" s="22"/>
      <c r="I8" s="14" t="str">
        <f>CONCATENATE("* ",B8, " ",E8,"..",F8," ",G8," ##34#",C8,"##34# ##334#",D8,"##334#")</f>
        <v>* targetDisease 0..* CodeableConcept ##34#A.2.2.1.1 Disease or agent targeted##34# ##334#Disease or agent that the vaccination provides protection against ICD-10* - Preferred system(s): SNOMED CT GPS##334#</v>
      </c>
    </row>
    <row r="9" spans="1:11" ht="44.25" x14ac:dyDescent="0.75">
      <c r="A9" s="9">
        <v>2</v>
      </c>
      <c r="B9" s="9" t="s">
        <v>1308</v>
      </c>
      <c r="C9" s="14" t="s">
        <v>1291</v>
      </c>
      <c r="D9" s="14" t="s">
        <v>1303</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44.25" x14ac:dyDescent="0.75">
      <c r="A10" s="9">
        <v>3</v>
      </c>
      <c r="B10" s="9" t="s">
        <v>1309</v>
      </c>
      <c r="C10" s="14" t="s">
        <v>1292</v>
      </c>
      <c r="D10" s="116" t="s">
        <v>926</v>
      </c>
      <c r="E10" s="9">
        <v>0</v>
      </c>
      <c r="F10" s="9" t="s">
        <v>11</v>
      </c>
      <c r="G10" s="9" t="s">
        <v>3</v>
      </c>
      <c r="H10" s="22"/>
      <c r="I10" s="14" t="str">
        <f t="shared" si="0"/>
        <v>* productName 0..* string ##34#A.2.2.1.3 Vaccine medicinal product name##34# ##334#Brand name of the vaccine medicinal product.z##334#</v>
      </c>
    </row>
    <row r="11" spans="1:11" ht="44.25" x14ac:dyDescent="0.75">
      <c r="A11" s="9">
        <v>4</v>
      </c>
      <c r="B11" s="9" t="s">
        <v>1310</v>
      </c>
      <c r="C11" s="14" t="s">
        <v>1293</v>
      </c>
      <c r="D11" s="116" t="s">
        <v>928</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1311</v>
      </c>
      <c r="C12" s="14" t="s">
        <v>1294</v>
      </c>
      <c r="D12" s="116" t="s">
        <v>930</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44.25" x14ac:dyDescent="0.75">
      <c r="A13" s="9">
        <v>6</v>
      </c>
      <c r="B13" s="9" t="s">
        <v>1312</v>
      </c>
      <c r="C13" s="14" t="s">
        <v>1295</v>
      </c>
      <c r="D13" s="116" t="s">
        <v>1323</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1313</v>
      </c>
      <c r="C14" s="14" t="s">
        <v>1296</v>
      </c>
      <c r="D14" s="116" t="s">
        <v>933</v>
      </c>
      <c r="E14" s="9">
        <v>0</v>
      </c>
      <c r="F14" s="9" t="s">
        <v>11</v>
      </c>
      <c r="G14" s="9" t="s">
        <v>3</v>
      </c>
      <c r="H14" s="55"/>
      <c r="I14" s="14" t="str">
        <f t="shared" si="0"/>
        <v>* batchNumber 0..* string ##34#A.2.2.1.6 Batch/lot number##34# ##334#A distinctive combination of numbers and/or letters which specifically identifies a batch##334#</v>
      </c>
    </row>
    <row r="15" spans="1:11" ht="44.25" x14ac:dyDescent="0.75">
      <c r="A15" s="9">
        <v>8</v>
      </c>
      <c r="B15" s="9" t="s">
        <v>1314</v>
      </c>
      <c r="C15" s="14" t="s">
        <v>1297</v>
      </c>
      <c r="D15" s="14" t="s">
        <v>1304</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1353</v>
      </c>
      <c r="C16" s="14" t="s">
        <v>1298</v>
      </c>
      <c r="D16" s="14" t="s">
        <v>937</v>
      </c>
      <c r="E16" s="9">
        <v>0</v>
      </c>
      <c r="F16" s="9" t="s">
        <v>11</v>
      </c>
      <c r="G16" s="48" t="s">
        <v>224</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8" t="s">
        <v>1316</v>
      </c>
      <c r="C17" s="9" t="s">
        <v>1299</v>
      </c>
      <c r="D17" s="14" t="s">
        <v>939</v>
      </c>
      <c r="E17" s="9">
        <v>0</v>
      </c>
      <c r="F17" s="9" t="s">
        <v>11</v>
      </c>
      <c r="G17" s="9" t="s">
        <v>221</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1315</v>
      </c>
      <c r="C18" s="9" t="s">
        <v>1300</v>
      </c>
      <c r="D18" s="14" t="s">
        <v>1305</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1317</v>
      </c>
      <c r="C19" s="9" t="s">
        <v>1301</v>
      </c>
      <c r="D19" s="14" t="s">
        <v>1306</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ht="44.25" x14ac:dyDescent="0.75">
      <c r="A20" s="9"/>
      <c r="B20" s="9"/>
      <c r="C20" s="9"/>
      <c r="D20" s="14"/>
      <c r="E20" s="9"/>
      <c r="F20" s="9"/>
      <c r="G20" s="9"/>
      <c r="H20" s="9"/>
      <c r="I20" s="14" t="str">
        <f t="shared" si="0"/>
        <v>*  ..  ##34###34# ##334###334#</v>
      </c>
    </row>
    <row r="21" spans="1:9" ht="44.25"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37"/>
      <c r="D29" s="138"/>
      <c r="E29" s="138"/>
      <c r="F29" s="139"/>
      <c r="I29" s="14"/>
    </row>
    <row r="30" spans="1:9" ht="45" thickBot="1" x14ac:dyDescent="0.9">
      <c r="B30" t="str">
        <f t="shared" ref="B30:B41" si="1">CONCATENATE(C30," ",D30)</f>
        <v>A.2.2.1.1 Disease or agent targeted</v>
      </c>
      <c r="C30" s="104" t="s">
        <v>1017</v>
      </c>
      <c r="D30" s="105" t="s">
        <v>920</v>
      </c>
      <c r="E30" s="105" t="s">
        <v>921</v>
      </c>
      <c r="F30" s="105" t="s">
        <v>886</v>
      </c>
      <c r="I30" s="14"/>
    </row>
    <row r="31" spans="1:9" ht="104" thickBot="1" x14ac:dyDescent="0.9">
      <c r="B31" t="str">
        <f t="shared" si="1"/>
        <v>A.2.2.1.2 Vaccine/prophylaxis</v>
      </c>
      <c r="C31" s="104" t="s">
        <v>1018</v>
      </c>
      <c r="D31" s="105" t="s">
        <v>922</v>
      </c>
      <c r="E31" s="105" t="s">
        <v>923</v>
      </c>
      <c r="F31" s="105" t="s">
        <v>924</v>
      </c>
      <c r="I31" s="14"/>
    </row>
    <row r="32" spans="1:9" ht="224.75" customHeight="1" thickBot="1" x14ac:dyDescent="0.9">
      <c r="B32" t="str">
        <f t="shared" si="1"/>
        <v>A.2.2.1.3 Vaccine medicinal product name</v>
      </c>
      <c r="C32" s="104" t="s">
        <v>1019</v>
      </c>
      <c r="D32" s="105" t="s">
        <v>925</v>
      </c>
      <c r="E32" s="105" t="s">
        <v>926</v>
      </c>
      <c r="F32" s="105"/>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104" t="s">
        <v>1020</v>
      </c>
      <c r="D33" s="105" t="s">
        <v>927</v>
      </c>
      <c r="E33" s="105" t="s">
        <v>928</v>
      </c>
      <c r="F33" s="105"/>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104" t="s">
        <v>1021</v>
      </c>
      <c r="D34" s="105" t="s">
        <v>929</v>
      </c>
      <c r="E34" s="105" t="s">
        <v>930</v>
      </c>
      <c r="F34" s="105"/>
      <c r="I34" s="1" t="str">
        <f t="shared" si="2"/>
        <v xml:space="preserve">Marketing Authorisation Holder EMA's Organisations System data (SPOR) - Preferred system(s): </v>
      </c>
    </row>
    <row r="35" spans="2:9" ht="30.25" thickBot="1" x14ac:dyDescent="0.9">
      <c r="B35" t="str">
        <f t="shared" si="1"/>
        <v>A.2.2.1.5 Number in a series of vaccinations/doses</v>
      </c>
      <c r="C35" s="104" t="s">
        <v>1022</v>
      </c>
      <c r="D35" s="105" t="s">
        <v>931</v>
      </c>
      <c r="E35" s="105" t="s">
        <v>1323</v>
      </c>
      <c r="F35" s="105"/>
      <c r="I35" s="1" t="str">
        <f t="shared" si="2"/>
        <v xml:space="preserve">Vaccination in the vaccination course - Preferred system(s): </v>
      </c>
    </row>
    <row r="36" spans="2:9" ht="15.5" customHeight="1" thickBot="1" x14ac:dyDescent="0.9">
      <c r="B36" t="str">
        <f t="shared" si="1"/>
        <v>A.2.2.1.6 Batch/lot number</v>
      </c>
      <c r="C36" s="104" t="s">
        <v>1023</v>
      </c>
      <c r="D36" s="105" t="s">
        <v>932</v>
      </c>
      <c r="E36" s="105" t="s">
        <v>933</v>
      </c>
      <c r="F36" s="105"/>
    </row>
    <row r="37" spans="2:9" ht="80" customHeight="1" thickBot="1" x14ac:dyDescent="0.9">
      <c r="B37" t="str">
        <f t="shared" si="1"/>
        <v>A.2.2.1.7 Date of vaccination</v>
      </c>
      <c r="C37" s="104" t="s">
        <v>1024</v>
      </c>
      <c r="D37" s="105" t="s">
        <v>934</v>
      </c>
      <c r="E37" s="105" t="s">
        <v>935</v>
      </c>
      <c r="F37" s="105" t="s">
        <v>94</v>
      </c>
      <c r="I37" s="1" t="str">
        <f t="shared" si="2"/>
        <v>The date when the vaccination was administered - Preferred system(s): ISO 8601</v>
      </c>
    </row>
    <row r="38" spans="2:9" ht="59.75" thickBot="1" x14ac:dyDescent="0.9">
      <c r="B38" t="str">
        <f t="shared" si="1"/>
        <v>A.2.2.1.8 Administering centre</v>
      </c>
      <c r="C38" s="104" t="s">
        <v>1025</v>
      </c>
      <c r="D38" s="105" t="s">
        <v>936</v>
      </c>
      <c r="E38" s="105" t="s">
        <v>937</v>
      </c>
      <c r="F38" s="105"/>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104" t="s">
        <v>1026</v>
      </c>
      <c r="D39" s="105" t="s">
        <v>938</v>
      </c>
      <c r="E39" s="105" t="s">
        <v>939</v>
      </c>
      <c r="F39" s="105"/>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104" t="s">
        <v>1027</v>
      </c>
      <c r="D40" s="105" t="s">
        <v>940</v>
      </c>
      <c r="E40" s="105" t="s">
        <v>941</v>
      </c>
      <c r="F40" s="105" t="s">
        <v>544</v>
      </c>
      <c r="I40" s="1" t="str">
        <f t="shared" si="2"/>
        <v>The country in which the individual has been vaccinated - Preferred system(s): ISO 3166</v>
      </c>
    </row>
    <row r="41" spans="2:9" ht="45" thickBot="1" x14ac:dyDescent="0.9">
      <c r="B41" t="str">
        <f t="shared" si="1"/>
        <v>A.2.2.1.11 Next vaccination date</v>
      </c>
      <c r="C41" s="104" t="s">
        <v>1028</v>
      </c>
      <c r="D41" s="105" t="s">
        <v>942</v>
      </c>
      <c r="E41" s="105" t="s">
        <v>943</v>
      </c>
      <c r="F41" s="105"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50" t="s">
        <v>1318</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ICD-10* - Preferred system(s):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198</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ht="29.5" x14ac:dyDescent="0.75">
      <c r="C20" s="14" t="str">
        <f>IF('A.2.2.1 Vaccination'!I20="*  ..  ##34###34# ##334###334#","//--- END",'A.2.2.1 Vaccination'!I20)</f>
        <v>//--- END</v>
      </c>
    </row>
    <row r="21" spans="3:7" ht="29.5" x14ac:dyDescent="0.75">
      <c r="C21" s="14" t="str">
        <f>IF('A.2.2.1 Vaccination'!I21="*  ..  ##34###34# ##334###334#","//--- END",'A.2.2.1 Vaccination'!I21)</f>
        <v>//--- END</v>
      </c>
    </row>
    <row r="22" spans="3:7" ht="29.5" x14ac:dyDescent="0.75">
      <c r="C22" s="14" t="str">
        <f>IF('A.2.2.1 Vaccination'!I22="*  ..  ##34###34# ##334###334#","//--- END",'A.2.2.1 Vaccination'!I22)</f>
        <v>//--- END</v>
      </c>
    </row>
    <row r="23" spans="3:7" ht="29.5"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8" sqref="D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1324</v>
      </c>
      <c r="D3" s="66" t="s">
        <v>414</v>
      </c>
      <c r="E3" t="str">
        <f>"http://hl7.eu/fhir/ig/xpandh/ps/StructureDefinition/"&amp;'A.2.2.1 Vaccination'!B5</f>
        <v>http://hl7.eu/fhir/ig/xpandh/ps/StructureDefinition/Vaccination</v>
      </c>
    </row>
    <row r="4" spans="1:19" x14ac:dyDescent="0.75">
      <c r="B4" s="66" t="s">
        <v>19</v>
      </c>
      <c r="C4" s="49" t="s">
        <v>1332</v>
      </c>
      <c r="D4" s="66" t="s">
        <v>415</v>
      </c>
      <c r="E4" s="136" t="s">
        <v>1320</v>
      </c>
      <c r="F4" s="136"/>
      <c r="G4" s="136"/>
    </row>
    <row r="5" spans="1:19" x14ac:dyDescent="0.75">
      <c r="B5" s="66" t="s">
        <v>13</v>
      </c>
      <c r="C5" s="10" t="s">
        <v>1325</v>
      </c>
      <c r="D5" s="66"/>
      <c r="E5" s="10"/>
    </row>
    <row r="6" spans="1:19" x14ac:dyDescent="0.75">
      <c r="B6" s="66" t="s">
        <v>35</v>
      </c>
      <c r="C6" s="65" t="s">
        <v>1217</v>
      </c>
      <c r="D6" s="66" t="s">
        <v>412</v>
      </c>
      <c r="E6" s="136" t="str">
        <f>E3</f>
        <v>http://hl7.eu/fhir/ig/xpandh/ps/StructureDefinition/Vaccination</v>
      </c>
      <c r="F6" s="136"/>
      <c r="G6" s="136"/>
    </row>
    <row r="7" spans="1:19" x14ac:dyDescent="0.75">
      <c r="B7" s="66" t="s">
        <v>18</v>
      </c>
      <c r="C7" s="73" t="s">
        <v>849</v>
      </c>
      <c r="D7" s="66" t="s">
        <v>413</v>
      </c>
      <c r="E7" s="136" t="s">
        <v>1320</v>
      </c>
      <c r="F7" s="136"/>
      <c r="G7" s="136"/>
    </row>
    <row r="8" spans="1:19" ht="44.25" x14ac:dyDescent="0.75">
      <c r="B8" s="66" t="s">
        <v>410</v>
      </c>
      <c r="C8" s="10" t="s">
        <v>1321</v>
      </c>
      <c r="D8" s="66"/>
      <c r="E8" s="10"/>
      <c r="I8" s="14" t="s">
        <v>387</v>
      </c>
      <c r="J8" s="14" t="s">
        <v>388</v>
      </c>
      <c r="K8" s="14" t="s">
        <v>389</v>
      </c>
      <c r="L8" s="14" t="s">
        <v>390</v>
      </c>
      <c r="M8" s="9" t="s">
        <v>391</v>
      </c>
      <c r="P8" s="62" t="s">
        <v>392</v>
      </c>
      <c r="Q8" s="62">
        <v>6</v>
      </c>
    </row>
    <row r="9" spans="1:19" ht="29.5" x14ac:dyDescent="0.75">
      <c r="B9" s="66" t="s">
        <v>411</v>
      </c>
      <c r="C9" s="1" t="s">
        <v>1322</v>
      </c>
      <c r="D9" s="66"/>
      <c r="E9"/>
      <c r="I9" s="14"/>
      <c r="J9" s="9"/>
      <c r="K9" s="9"/>
      <c r="L9" s="9"/>
      <c r="M9" s="9"/>
    </row>
    <row r="10" spans="1:19" x14ac:dyDescent="0.75">
      <c r="B10" s="66"/>
      <c r="D10" s="66"/>
      <c r="E10"/>
      <c r="I10" s="14"/>
      <c r="J10" s="9"/>
      <c r="K10" s="9"/>
      <c r="L10" s="9"/>
      <c r="M10" s="9"/>
    </row>
    <row r="11" spans="1:19" x14ac:dyDescent="0.75">
      <c r="E11" s="10"/>
      <c r="I11" s="24" t="s">
        <v>393</v>
      </c>
      <c r="J11" s="63" t="s">
        <v>394</v>
      </c>
      <c r="K11" s="24" t="s">
        <v>395</v>
      </c>
      <c r="L11" s="63" t="s">
        <v>396</v>
      </c>
      <c r="M11" s="64" t="s">
        <v>397</v>
      </c>
      <c r="N11" s="67" t="s">
        <v>384</v>
      </c>
    </row>
    <row r="12" spans="1:19" x14ac:dyDescent="0.75">
      <c r="E12" s="65"/>
      <c r="I12" s="14"/>
      <c r="J12" s="9"/>
      <c r="K12" s="9"/>
      <c r="L12" s="9"/>
      <c r="M12" s="9"/>
    </row>
    <row r="13" spans="1:19" x14ac:dyDescent="0.75">
      <c r="D13" s="14"/>
      <c r="E13" s="9"/>
      <c r="F13" s="64" t="s">
        <v>397</v>
      </c>
      <c r="G13" s="67" t="s">
        <v>384</v>
      </c>
      <c r="H13" s="67"/>
      <c r="I13" s="14"/>
      <c r="J13" s="9"/>
      <c r="K13" s="64"/>
      <c r="L13" s="64"/>
      <c r="M13" s="64"/>
      <c r="N13" s="67"/>
    </row>
    <row r="14" spans="1:19" x14ac:dyDescent="0.75">
      <c r="A14" s="22"/>
      <c r="B14" s="8" t="str">
        <f>'A.2.2.1 Vaccination'!B5</f>
        <v>Vaccination</v>
      </c>
      <c r="C14" s="9"/>
      <c r="D14" s="4" t="s">
        <v>1319</v>
      </c>
      <c r="E14" s="8"/>
      <c r="F14" s="9"/>
      <c r="G14" s="9"/>
      <c r="I14" s="14"/>
      <c r="J14" s="9"/>
      <c r="K14" s="9"/>
      <c r="L14" s="9"/>
      <c r="M14" s="64"/>
      <c r="N14" s="67"/>
    </row>
    <row r="15" spans="1:19" ht="73.75" customHeight="1" x14ac:dyDescent="0.75">
      <c r="A15" s="22"/>
      <c r="B15" s="9" t="str">
        <f>'A.2.2.1 Vaccination'!B8</f>
        <v>targetDisease</v>
      </c>
      <c r="C15" s="9" t="str">
        <f>'A.2.2.1 Vaccination'!C8</f>
        <v>A.2.2.1.1 Disease or agent targeted</v>
      </c>
      <c r="D15" s="14" t="s">
        <v>1338</v>
      </c>
      <c r="E15" s="9"/>
      <c r="F15" s="68" t="s">
        <v>398</v>
      </c>
      <c r="G15" s="68"/>
      <c r="H15" s="69"/>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1339</v>
      </c>
      <c r="E16" s="9"/>
      <c r="F16" s="68" t="s">
        <v>398</v>
      </c>
      <c r="G16" s="68"/>
      <c r="H16" s="69"/>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73.75" x14ac:dyDescent="0.75">
      <c r="A17" s="22"/>
      <c r="B17" s="9" t="str">
        <f>'A.2.2.1 Vaccination'!B10</f>
        <v>productName</v>
      </c>
      <c r="C17" s="9" t="str">
        <f>'A.2.2.1 Vaccination'!C10</f>
        <v>A.2.2.1.3 Vaccine medicinal product name</v>
      </c>
      <c r="D17" s="14" t="s">
        <v>1355</v>
      </c>
      <c r="E17" s="9"/>
      <c r="F17" s="68" t="s">
        <v>399</v>
      </c>
      <c r="G17" s="102"/>
      <c r="H17" s="69"/>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7" t="s">
        <v>1354</v>
      </c>
      <c r="E18" s="9"/>
      <c r="F18" s="68" t="s">
        <v>399</v>
      </c>
      <c r="G18" s="88"/>
      <c r="H18" s="69"/>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1340</v>
      </c>
      <c r="E19" s="9"/>
      <c r="F19" s="68" t="s">
        <v>399</v>
      </c>
      <c r="G19" s="68"/>
      <c r="H19" s="69"/>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1341</v>
      </c>
      <c r="E20" s="9"/>
      <c r="F20" s="68" t="s">
        <v>399</v>
      </c>
      <c r="G20" s="14" t="s">
        <v>1343</v>
      </c>
      <c r="H20" s="69"/>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1342</v>
      </c>
      <c r="E21" s="9"/>
      <c r="F21" s="68" t="s">
        <v>399</v>
      </c>
      <c r="G21" s="14" t="s">
        <v>1343</v>
      </c>
      <c r="H21" s="69"/>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1344</v>
      </c>
      <c r="E22" s="9"/>
      <c r="F22" s="68" t="s">
        <v>398</v>
      </c>
      <c r="G22" s="14"/>
      <c r="H22" s="69"/>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1345</v>
      </c>
      <c r="E23" s="9"/>
      <c r="F23" s="68" t="s">
        <v>398</v>
      </c>
      <c r="G23" s="14"/>
      <c r="H23" s="69"/>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1349</v>
      </c>
      <c r="E24" s="9"/>
      <c r="F24" s="68" t="s">
        <v>399</v>
      </c>
      <c r="G24" s="4" t="s">
        <v>1346</v>
      </c>
      <c r="H24" s="69"/>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603</v>
      </c>
      <c r="E25" s="9"/>
      <c r="F25" s="68" t="s">
        <v>399</v>
      </c>
      <c r="G25" s="4" t="s">
        <v>1347</v>
      </c>
      <c r="H25" s="69"/>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1350</v>
      </c>
      <c r="E26" s="9"/>
      <c r="F26" s="68" t="s">
        <v>399</v>
      </c>
      <c r="G26" s="4" t="s">
        <v>1348</v>
      </c>
      <c r="H26" s="69"/>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1351</v>
      </c>
      <c r="E27" s="9"/>
      <c r="F27" s="68" t="s">
        <v>398</v>
      </c>
      <c r="G27" s="14"/>
      <c r="H27" s="69"/>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1352</v>
      </c>
      <c r="E28" s="9"/>
      <c r="F28" s="68" t="s">
        <v>398</v>
      </c>
      <c r="G28" s="68"/>
      <c r="H28" s="69"/>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x14ac:dyDescent="0.75">
      <c r="A29" s="22"/>
      <c r="B29" s="9"/>
      <c r="C29" s="9"/>
      <c r="D29" s="14"/>
      <c r="E29" s="9"/>
      <c r="F29" s="68"/>
      <c r="G29" s="68"/>
      <c r="H29" s="69"/>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8"/>
      <c r="G30" s="68"/>
      <c r="H30" s="69"/>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8"/>
      <c r="G31" s="68"/>
      <c r="H31" s="69"/>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8"/>
      <c r="G32" s="68"/>
      <c r="H32" s="69"/>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8"/>
      <c r="G33" s="68"/>
      <c r="H33" s="69"/>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x14ac:dyDescent="0.75">
      <c r="B34" s="9"/>
      <c r="C34" s="9"/>
      <c r="D34" s="14"/>
      <c r="E34" s="14"/>
      <c r="F34" s="68"/>
      <c r="G34" s="68"/>
      <c r="H34" s="69"/>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x14ac:dyDescent="0.75">
      <c r="B35" s="9"/>
      <c r="C35" s="9"/>
      <c r="D35" s="14"/>
      <c r="E35" s="14"/>
      <c r="F35" s="68"/>
      <c r="G35" s="68"/>
      <c r="H35" s="69"/>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8"/>
      <c r="G36" s="68"/>
      <c r="H36" s="69"/>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8"/>
      <c r="G37" s="68"/>
      <c r="H37" s="69"/>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8"/>
      <c r="G38" s="68"/>
      <c r="H38" s="69"/>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8"/>
      <c r="G39" s="68"/>
      <c r="H39" s="69"/>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8"/>
      <c r="G40" s="68"/>
      <c r="H40" s="69"/>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8"/>
      <c r="G41" s="68"/>
      <c r="H41" s="69"/>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8"/>
      <c r="G42" s="68"/>
      <c r="H42" s="69"/>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8"/>
      <c r="G43" s="68"/>
      <c r="H43" s="69"/>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8"/>
      <c r="G44" s="69"/>
      <c r="H44" s="69"/>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4"/>
      <c r="F45" s="69"/>
      <c r="G45" s="69"/>
      <c r="H45" s="69"/>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x14ac:dyDescent="0.75">
      <c r="A46"/>
      <c r="B46" s="9"/>
      <c r="C46" s="9"/>
      <c r="F46" s="69"/>
      <c r="G46" s="69"/>
      <c r="H46" s="69"/>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9"/>
      <c r="G47" s="69"/>
      <c r="H47" s="69"/>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9"/>
      <c r="G48" s="69"/>
      <c r="H48" s="69"/>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9"/>
      <c r="G49" s="69"/>
      <c r="H49" s="69"/>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x14ac:dyDescent="0.75">
      <c r="A50"/>
      <c r="B50" s="9"/>
      <c r="C50" s="9"/>
      <c r="F50" s="69"/>
      <c r="G50" s="69"/>
      <c r="H50" s="69"/>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9"/>
      <c r="G51" s="69"/>
      <c r="H51" s="69"/>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x14ac:dyDescent="0.75">
      <c r="A52"/>
      <c r="B52" s="9"/>
      <c r="C52"/>
      <c r="F52" s="69"/>
      <c r="G52" s="69"/>
      <c r="H52" s="69"/>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9"/>
      <c r="G53" s="69"/>
      <c r="H53" s="69"/>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9"/>
      <c r="G54" s="69"/>
      <c r="H54" s="69"/>
      <c r="J54" s="69"/>
      <c r="K54" s="69"/>
      <c r="L54" s="69"/>
      <c r="M54" s="69"/>
      <c r="N54" s="69"/>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9"/>
      <c r="G55" s="69"/>
      <c r="H55" s="69"/>
      <c r="J55" s="69"/>
      <c r="K55" s="69"/>
      <c r="L55" s="69"/>
      <c r="M55" s="69"/>
      <c r="N55" s="69"/>
      <c r="P55" s="9">
        <v>41</v>
      </c>
      <c r="Q55" s="9">
        <f t="shared" si="10"/>
        <v>6</v>
      </c>
      <c r="R55" s="9">
        <f t="shared" si="11"/>
        <v>5</v>
      </c>
      <c r="S55" s="14" t="str" cm="1">
        <f t="array" ref="S55">INDEX('Vaccination-ConceptMap-1'!$I$15:$N$180,Q55+1,R55)</f>
        <v>* group[=].element[=].target.equivalence = #relatedto</v>
      </c>
    </row>
    <row r="56" spans="1:19" x14ac:dyDescent="0.75">
      <c r="F56" s="69"/>
      <c r="G56" s="69"/>
      <c r="H56" s="69"/>
      <c r="J56" s="69"/>
      <c r="K56" s="69"/>
      <c r="L56" s="69"/>
      <c r="M56" s="69"/>
      <c r="N56" s="69"/>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9"/>
      <c r="G57" s="69"/>
      <c r="H57" s="69"/>
      <c r="J57" s="69"/>
      <c r="K57" s="69"/>
      <c r="L57" s="69"/>
      <c r="M57" s="69"/>
      <c r="N57" s="69"/>
      <c r="P57" s="9">
        <v>43</v>
      </c>
      <c r="Q57" s="9">
        <f t="shared" si="10"/>
        <v>7</v>
      </c>
      <c r="R57" s="9">
        <f t="shared" si="11"/>
        <v>1</v>
      </c>
      <c r="S57" s="14" t="str" cm="1">
        <f t="array" ref="S57">INDEX('Vaccination-ConceptMap-1'!$I$15:$N$180,Q57+1,R57)</f>
        <v>* group[=].element[+].code = #Vaccination.batchNumber</v>
      </c>
    </row>
    <row r="58" spans="1:19" x14ac:dyDescent="0.75">
      <c r="F58" s="69"/>
      <c r="G58" s="69"/>
      <c r="H58" s="69"/>
      <c r="J58" s="69"/>
      <c r="K58" s="69"/>
      <c r="L58" s="69"/>
      <c r="M58" s="69"/>
      <c r="N58" s="69"/>
      <c r="P58" s="9">
        <v>44</v>
      </c>
      <c r="Q58" s="9">
        <f t="shared" si="10"/>
        <v>7</v>
      </c>
      <c r="R58" s="9">
        <f t="shared" si="11"/>
        <v>2</v>
      </c>
      <c r="S58" s="14" t="str" cm="1">
        <f t="array" ref="S58">INDEX('Vaccination-ConceptMap-1'!$I$15:$N$180,Q58+1,R58)</f>
        <v>* group[=].element[=].display = ##34#A.2.2.1.6 Batch/lot number##34#</v>
      </c>
    </row>
    <row r="59" spans="1:19" x14ac:dyDescent="0.75">
      <c r="F59" s="69"/>
      <c r="G59" s="69"/>
      <c r="H59" s="69"/>
      <c r="J59" s="69"/>
      <c r="K59" s="69"/>
      <c r="L59" s="69"/>
      <c r="M59" s="69"/>
      <c r="N59" s="69"/>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x14ac:dyDescent="0.75">
      <c r="P82" s="9">
        <v>68</v>
      </c>
      <c r="Q82" s="9">
        <f t="shared" si="18"/>
        <v>11</v>
      </c>
      <c r="R82" s="9">
        <f t="shared" si="19"/>
        <v>2</v>
      </c>
      <c r="S82" s="14" t="str" cm="1">
        <f t="array" ref="S82">INDEX('Vaccination-ConceptMap-1'!$I$15:$N$180,Q82+1,R82)</f>
        <v>* group[=].element[=].display = ##34#A.2.2.1.9 Health Professional identification##34#</v>
      </c>
    </row>
    <row r="83" spans="16:19"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tabSelected="1"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401</v>
      </c>
      <c r="G2" s="50" t="s">
        <v>1333</v>
      </c>
    </row>
    <row r="3" spans="2:7" x14ac:dyDescent="0.75">
      <c r="B3" s="32" t="s">
        <v>37</v>
      </c>
    </row>
    <row r="4" spans="2:7" x14ac:dyDescent="0.75">
      <c r="B4" s="70" t="str">
        <f>"Instance: "&amp;'Vaccination-ConceptMap-1'!C4</f>
        <v>Instance: vaccination2FHIR-eu-ps</v>
      </c>
    </row>
    <row r="5" spans="2:7" x14ac:dyDescent="0.75">
      <c r="B5" s="70" t="s">
        <v>402</v>
      </c>
    </row>
    <row r="6" spans="2:7" x14ac:dyDescent="0.75">
      <c r="B6" s="70" t="s">
        <v>403</v>
      </c>
    </row>
    <row r="7" spans="2:7" x14ac:dyDescent="0.75">
      <c r="B7" s="70" t="s">
        <v>409</v>
      </c>
    </row>
    <row r="8" spans="2:7" x14ac:dyDescent="0.75">
      <c r="B8" s="70" t="str">
        <f>"* name = ##34#"&amp;'Vaccination-ConceptMap-1'!C3&amp;"##34#"</f>
        <v>* name = ##34#Vaccination2Fhir##34#</v>
      </c>
    </row>
    <row r="9" spans="2:7" x14ac:dyDescent="0.75">
      <c r="B9" s="70" t="str">
        <f>"* title = ##34#"&amp;'Vaccination-ConceptMap-1'!C5&amp;"##34#"</f>
        <v>* title = ##34#eHN Vaccination to this guide Map##34#</v>
      </c>
    </row>
    <row r="10" spans="2:7" x14ac:dyDescent="0.75">
      <c r="B10" s="70" t="s">
        <v>404</v>
      </c>
    </row>
    <row r="11" spans="2:7" x14ac:dyDescent="0.75">
      <c r="B11" s="70" t="s">
        <v>405</v>
      </c>
    </row>
    <row r="12" spans="2:7" x14ac:dyDescent="0.75">
      <c r="B12" s="70" t="str">
        <f>"* description = ##34#"&amp;'Vaccination-ConceptMap-1'!C8&amp;"##34#"</f>
        <v>* description = ##34#eHN Vaccination infos to this guide Map##34#</v>
      </c>
    </row>
    <row r="13" spans="2:7" x14ac:dyDescent="0.75">
      <c r="B13" s="70" t="str">
        <f>"* purpose = ##34#"&amp;'Vaccination-ConceptMap-1'!C9&amp;"##34#"</f>
        <v>* purpose = ##34#It shows how the Vaccination data set defined by the EU eHN guidelines is mapped into this guide##34#</v>
      </c>
    </row>
    <row r="14" spans="2:7" x14ac:dyDescent="0.75">
      <c r="B14" s="71" t="str">
        <f>"* sourceUri = ##34#"&amp;'Vaccination-ConceptMap-1'!E3&amp;"##34#"</f>
        <v>* sourceUri = ##34#http://hl7.eu/fhir/ig/xpandh/ps/StructureDefinition/Vaccination##34#</v>
      </c>
    </row>
    <row r="15" spans="2:7" x14ac:dyDescent="0.75">
      <c r="B15" s="71" t="str">
        <f>"* targetUri = ##34#"&amp;'Vaccination-ConceptMap-1'!E4&amp;"##34#"</f>
        <v>* targetUri = ##34#http://hl7.eu/fhir/ig/xpandh/ps/StructureDefinition/Immunization-ps-eu-xpandh##34#</v>
      </c>
    </row>
    <row r="16" spans="2:7" x14ac:dyDescent="0.75">
      <c r="B16" s="70"/>
    </row>
    <row r="17" spans="2:7" x14ac:dyDescent="0.75">
      <c r="B17" s="72" t="str">
        <f>"* group[+].source = ##34#"&amp;'Vaccination-ConceptMap-1'!E6&amp;"##34#"</f>
        <v>* group[+].source = ##34#http://hl7.eu/fhir/ig/xpandh/ps/StructureDefinition/Vaccination##34#</v>
      </c>
    </row>
    <row r="18" spans="2:7" x14ac:dyDescent="0.75">
      <c r="B18" s="72" t="str">
        <f>"* group[=].target = ##34#"&amp;'Vaccination-ConceptMap-1'!E7&amp;"##34#"</f>
        <v>* group[=].target = ##34#http://hl7.eu/fhir/ig/xpandh/ps/StructureDefinition/Immunization-ps-eu-xpandh##34#</v>
      </c>
    </row>
    <row r="19" spans="2:7" x14ac:dyDescent="0.75">
      <c r="B19" s="74"/>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9"/>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70"/>
    </row>
    <row r="114" spans="2:2" x14ac:dyDescent="0.75">
      <c r="B114" s="72"/>
    </row>
    <row r="115" spans="2:2" x14ac:dyDescent="0.75">
      <c r="B115" s="72"/>
    </row>
    <row r="116" spans="2:2" x14ac:dyDescent="0.75">
      <c r="B116" s="7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6"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683</v>
      </c>
      <c r="I4" s="24" t="str">
        <f>CONCATENATE("Logical: ",B4)</f>
        <v>Logical: SubjectPsEhn</v>
      </c>
    </row>
    <row r="5" spans="1:9" x14ac:dyDescent="0.75">
      <c r="A5" s="17" t="s">
        <v>19</v>
      </c>
      <c r="B5" s="33" t="s">
        <v>12</v>
      </c>
      <c r="I5" s="24" t="str">
        <f>CONCATENATE("Id: ",B5)</f>
        <v>Id: Subject</v>
      </c>
    </row>
    <row r="6" spans="1:9" x14ac:dyDescent="0.75">
      <c r="A6" s="17" t="s">
        <v>13</v>
      </c>
      <c r="B6" s="18" t="s">
        <v>545</v>
      </c>
      <c r="I6" s="25" t="str">
        <f>CONCATENATE("Title: ##34#",B6,"##34#")</f>
        <v>Title: ##34#A1.1, A1.2 - Subject of care##34#</v>
      </c>
    </row>
    <row r="7" spans="1:9" ht="30.25" thickBot="1" x14ac:dyDescent="0.9">
      <c r="A7" s="19" t="s">
        <v>5</v>
      </c>
      <c r="B7" s="46" t="s">
        <v>546</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191</v>
      </c>
      <c r="C8" s="9" t="s">
        <v>199</v>
      </c>
      <c r="D8" s="9" t="s">
        <v>199</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196</v>
      </c>
      <c r="C9" s="9" t="s">
        <v>691</v>
      </c>
      <c r="D9" s="14" t="s">
        <v>710</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193</v>
      </c>
      <c r="C10" s="9" t="s">
        <v>690</v>
      </c>
      <c r="D10" s="98" t="s">
        <v>711</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194</v>
      </c>
      <c r="C11" s="9" t="s">
        <v>758</v>
      </c>
      <c r="D11" s="98" t="s">
        <v>712</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195</v>
      </c>
      <c r="C12" s="9" t="s">
        <v>759</v>
      </c>
      <c r="D12" s="14" t="s">
        <v>713</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197</v>
      </c>
      <c r="C13" s="9" t="s">
        <v>190</v>
      </c>
      <c r="D13" s="14" t="s">
        <v>714</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692</v>
      </c>
      <c r="C14" s="9" t="s">
        <v>725</v>
      </c>
      <c r="D14" s="14" t="s">
        <v>715</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701</v>
      </c>
      <c r="C15" s="97" t="s">
        <v>618</v>
      </c>
      <c r="D15" s="97" t="s">
        <v>716</v>
      </c>
      <c r="E15" s="15">
        <v>0</v>
      </c>
      <c r="F15" s="97" t="s">
        <v>11</v>
      </c>
      <c r="G15" s="9" t="s">
        <v>4</v>
      </c>
      <c r="H15" s="22"/>
      <c r="I15" s="14" t="str">
        <f t="shared" si="0"/>
        <v>* telcomContact 0..* BackboneElement ##34#Address##34# ##334#Address##334#</v>
      </c>
    </row>
    <row r="16" spans="1:9" ht="29.5" x14ac:dyDescent="0.75">
      <c r="A16" s="9">
        <v>9</v>
      </c>
      <c r="B16" s="9" t="s">
        <v>702</v>
      </c>
      <c r="C16" s="97" t="s">
        <v>57</v>
      </c>
      <c r="D16" s="97" t="s">
        <v>57</v>
      </c>
      <c r="E16" s="15">
        <v>0</v>
      </c>
      <c r="F16" s="97" t="s">
        <v>11</v>
      </c>
      <c r="G16" s="9" t="s">
        <v>4</v>
      </c>
      <c r="H16" s="22"/>
      <c r="I16" s="14" t="str">
        <f t="shared" si="0"/>
        <v>* telcomContact.address 0..* BackboneElement ##34#A.1.2.1.1 Street##34# ##334#A.1.2.1.1 Street - Example: Rua dos Campeões##334#</v>
      </c>
    </row>
    <row r="17" spans="1:9" ht="29.5" x14ac:dyDescent="0.75">
      <c r="A17" s="9">
        <v>10</v>
      </c>
      <c r="B17" s="9" t="s">
        <v>703</v>
      </c>
      <c r="C17" s="97" t="s">
        <v>693</v>
      </c>
      <c r="D17" s="97" t="s">
        <v>717</v>
      </c>
      <c r="E17" s="15">
        <v>0</v>
      </c>
      <c r="F17" s="97">
        <v>1</v>
      </c>
      <c r="G17" s="9" t="s">
        <v>3</v>
      </c>
      <c r="H17" s="22"/>
      <c r="I17" s="14" t="str">
        <f t="shared" si="0"/>
        <v>* telcomContact.address.street 0..1 string ##34#A.1.2.1.2 House number##34# ##334#A.1.2.1.2 House number - Example: 246##334#</v>
      </c>
    </row>
    <row r="18" spans="1:9" ht="59" x14ac:dyDescent="0.75">
      <c r="A18" s="9">
        <v>11</v>
      </c>
      <c r="B18" s="9" t="s">
        <v>704</v>
      </c>
      <c r="C18" s="97" t="s">
        <v>694</v>
      </c>
      <c r="D18" s="97" t="s">
        <v>718</v>
      </c>
      <c r="E18" s="15">
        <v>0</v>
      </c>
      <c r="F18" s="97">
        <v>1</v>
      </c>
      <c r="G18" s="9" t="s">
        <v>3</v>
      </c>
      <c r="H18" s="22"/>
      <c r="I18" s="14" t="str">
        <f t="shared" si="0"/>
        <v>* telcomContact.address.houseNumber 0..1 string ##34#A.1.2.1.3 City##34# ##334#A.1.2.1.3 City - Example: Porto##334#</v>
      </c>
    </row>
    <row r="19" spans="1:9" ht="59" x14ac:dyDescent="0.75">
      <c r="A19" s="9">
        <v>12</v>
      </c>
      <c r="B19" s="9" t="s">
        <v>705</v>
      </c>
      <c r="C19" s="97" t="s">
        <v>695</v>
      </c>
      <c r="D19" s="97" t="s">
        <v>719</v>
      </c>
      <c r="E19" s="15">
        <v>0</v>
      </c>
      <c r="F19" s="97">
        <v>1</v>
      </c>
      <c r="G19" s="9" t="s">
        <v>3</v>
      </c>
      <c r="H19" s="22"/>
      <c r="I19" s="14" t="str">
        <f t="shared" si="0"/>
        <v>* telcomContact.address.city 0..1 string ##34#A.1.2.1.4 Post code##34# ##334#A.1.2.1.4 Post code - Example: 4500##334#</v>
      </c>
    </row>
    <row r="20" spans="1:9" ht="59" x14ac:dyDescent="0.75">
      <c r="A20" s="9">
        <v>13</v>
      </c>
      <c r="B20" s="9" t="s">
        <v>748</v>
      </c>
      <c r="C20" s="97" t="s">
        <v>696</v>
      </c>
      <c r="D20" s="97" t="s">
        <v>720</v>
      </c>
      <c r="E20" s="15">
        <v>0</v>
      </c>
      <c r="F20" s="97">
        <v>1</v>
      </c>
      <c r="G20" s="9" t="s">
        <v>3</v>
      </c>
      <c r="H20" s="22"/>
      <c r="I20" s="14" t="str">
        <f t="shared" si="0"/>
        <v>* telcomContact.address.postalCode 0..1 string ##34#A.1.2.1.5 State or province##34# ##334#A.1.2.1.5 State or province - Example: Vila Nova de Gaia##334#</v>
      </c>
    </row>
    <row r="21" spans="1:9" ht="59" x14ac:dyDescent="0.75">
      <c r="A21" s="9">
        <v>14</v>
      </c>
      <c r="B21" s="9" t="s">
        <v>706</v>
      </c>
      <c r="C21" s="97" t="s">
        <v>697</v>
      </c>
      <c r="D21" s="97" t="s">
        <v>721</v>
      </c>
      <c r="E21" s="15">
        <v>0</v>
      </c>
      <c r="F21" s="97">
        <v>1</v>
      </c>
      <c r="G21" s="9" t="s">
        <v>3</v>
      </c>
      <c r="H21" s="22"/>
      <c r="I21" s="14" t="str">
        <f t="shared" si="0"/>
        <v>* telcomContact.address.stateOrProvince 0..1 string ##34#A.1.2.1.6 Country##34# ##334#A.1.2.1.6 Country - Example: PT - Preferred system(s): ISO 3166##334#</v>
      </c>
    </row>
    <row r="22" spans="1:9" ht="59" x14ac:dyDescent="0.75">
      <c r="A22" s="9">
        <v>15</v>
      </c>
      <c r="B22" s="9" t="s">
        <v>707</v>
      </c>
      <c r="C22" s="9" t="s">
        <v>698</v>
      </c>
      <c r="D22" s="97" t="s">
        <v>722</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708</v>
      </c>
      <c r="C23" s="9" t="s">
        <v>699</v>
      </c>
      <c r="D23" s="97" t="s">
        <v>723</v>
      </c>
      <c r="E23" s="15">
        <v>0</v>
      </c>
      <c r="F23" s="9" t="s">
        <v>11</v>
      </c>
      <c r="G23" s="9" t="s">
        <v>200</v>
      </c>
      <c r="H23" s="22"/>
      <c r="I23" s="14" t="str">
        <f t="shared" si="0"/>
        <v>* telcomContact.telephone 0..* ContactPoint ##34#A.1.2.1.8 Email##34# ##334#A.1.2.1.8 Email - Example: jens@bigsmile.eu##334#</v>
      </c>
    </row>
    <row r="24" spans="1:9" ht="59.75" thickBot="1" x14ac:dyDescent="0.9">
      <c r="A24" s="9">
        <v>17</v>
      </c>
      <c r="B24" s="9" t="s">
        <v>709</v>
      </c>
      <c r="C24" s="9" t="s">
        <v>700</v>
      </c>
      <c r="D24" s="97" t="s">
        <v>724</v>
      </c>
      <c r="E24" s="15">
        <v>0</v>
      </c>
      <c r="F24" s="9" t="s">
        <v>11</v>
      </c>
      <c r="G24" s="9" t="s">
        <v>200</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795</v>
      </c>
      <c r="C25" s="9" t="s">
        <v>769</v>
      </c>
      <c r="D25" s="100" t="s">
        <v>643</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796</v>
      </c>
      <c r="C26" s="9" t="s">
        <v>770</v>
      </c>
      <c r="D26" s="83" t="s">
        <v>777</v>
      </c>
      <c r="E26" s="15">
        <v>0</v>
      </c>
      <c r="F26" s="9" t="s">
        <v>11</v>
      </c>
      <c r="G26" s="9" t="s">
        <v>3</v>
      </c>
      <c r="H26" s="22"/>
      <c r="I26" s="14" t="str">
        <f t="shared" si="0"/>
        <v>* hpToContact.name 0..* string ##34#A.1.2.2.2 Role of the HP##34# ##334#A.1.2.2.2 Role of the HP - Health professional role##334#</v>
      </c>
    </row>
    <row r="27" spans="1:9" ht="59.75" thickBot="1" x14ac:dyDescent="0.9">
      <c r="A27" s="9">
        <v>20</v>
      </c>
      <c r="B27" s="9" t="s">
        <v>797</v>
      </c>
      <c r="C27" s="9" t="s">
        <v>771</v>
      </c>
      <c r="D27" s="85" t="s">
        <v>778</v>
      </c>
      <c r="E27" s="15">
        <v>0</v>
      </c>
      <c r="F27" s="9" t="s">
        <v>11</v>
      </c>
      <c r="G27" s="9" t="s">
        <v>1</v>
      </c>
      <c r="H27" s="22"/>
      <c r="I27" s="14" t="str">
        <f t="shared" si="0"/>
        <v>* hpToContact.role 0..* CodeableConcept ##34#A.1.2.2.3 HP Organisation##34# ##334#A.1.2.2.3 HP Organisation - Health professional organisation##334#</v>
      </c>
    </row>
    <row r="28" spans="1:9" ht="74.5" thickBot="1" x14ac:dyDescent="0.9">
      <c r="A28" s="9">
        <v>21</v>
      </c>
      <c r="B28" s="9" t="s">
        <v>798</v>
      </c>
      <c r="C28" s="9" t="s">
        <v>772</v>
      </c>
      <c r="D28" s="85" t="s">
        <v>779</v>
      </c>
      <c r="E28" s="15">
        <v>0</v>
      </c>
      <c r="F28" s="9" t="s">
        <v>11</v>
      </c>
      <c r="G28" s="9" t="s">
        <v>4</v>
      </c>
      <c r="H28" s="22"/>
      <c r="I28" s="14" t="str">
        <f t="shared" si="0"/>
        <v>* hpToContact.organization 0..* BackboneElement ##34#A.1.2.2.4 Telephone no.##34# ##334#A.1.2.2.4 Telephone no. - Example: +45 20 7025 6161##334#</v>
      </c>
    </row>
    <row r="29" spans="1:9" ht="74.5" thickBot="1" x14ac:dyDescent="0.9">
      <c r="A29" s="9">
        <v>22</v>
      </c>
      <c r="B29" s="9" t="s">
        <v>799</v>
      </c>
      <c r="C29" s="9" t="s">
        <v>773</v>
      </c>
      <c r="D29" s="85" t="s">
        <v>780</v>
      </c>
      <c r="E29" s="15">
        <v>0</v>
      </c>
      <c r="F29" s="9" t="s">
        <v>11</v>
      </c>
      <c r="G29" s="9" t="s">
        <v>200</v>
      </c>
      <c r="H29" s="22"/>
      <c r="I29" s="14" t="str">
        <f t="shared" si="0"/>
        <v>* hpToContact.telephone 0..* ContactPoint ##34#A.1.2.2.5 Email##34# ##334#A.1.2.2.5 Email - Email of the HP/legal organisation##334#</v>
      </c>
    </row>
    <row r="30" spans="1:9" ht="45" thickBot="1" x14ac:dyDescent="0.9">
      <c r="A30" s="9">
        <v>23</v>
      </c>
      <c r="B30" s="9" t="s">
        <v>800</v>
      </c>
      <c r="C30" s="9" t="s">
        <v>774</v>
      </c>
      <c r="D30" s="85" t="s">
        <v>781</v>
      </c>
      <c r="E30" s="15">
        <v>0</v>
      </c>
      <c r="F30" s="9" t="s">
        <v>11</v>
      </c>
      <c r="G30" s="9" t="s">
        <v>200</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801</v>
      </c>
      <c r="C31" s="9" t="s">
        <v>775</v>
      </c>
      <c r="D31" s="85" t="s">
        <v>782</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802</v>
      </c>
      <c r="C32" s="9" t="s">
        <v>776</v>
      </c>
      <c r="D32" s="85" t="s">
        <v>783</v>
      </c>
      <c r="E32" s="15">
        <v>0</v>
      </c>
      <c r="F32" s="9" t="s">
        <v>11</v>
      </c>
      <c r="G32" s="9" t="s">
        <v>784</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803</v>
      </c>
      <c r="C33" s="9" t="s">
        <v>785</v>
      </c>
      <c r="D33" s="85" t="s">
        <v>792</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809</v>
      </c>
      <c r="C34" s="9" t="s">
        <v>786</v>
      </c>
      <c r="D34" s="85" t="s">
        <v>793</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3" t="s">
        <v>810</v>
      </c>
      <c r="C35" s="53" t="s">
        <v>787</v>
      </c>
      <c r="D35" s="85" t="s">
        <v>794</v>
      </c>
      <c r="E35" s="15">
        <v>0</v>
      </c>
      <c r="F35" s="9" t="s">
        <v>11</v>
      </c>
      <c r="G35" s="53"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811</v>
      </c>
      <c r="C36" s="9" t="s">
        <v>788</v>
      </c>
      <c r="D36" s="85" t="s">
        <v>804</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3" t="s">
        <v>812</v>
      </c>
      <c r="C37" s="53" t="s">
        <v>789</v>
      </c>
      <c r="D37" s="40" t="s">
        <v>806</v>
      </c>
      <c r="E37" s="15">
        <v>0</v>
      </c>
      <c r="F37" s="9" t="s">
        <v>11</v>
      </c>
      <c r="G37" s="53" t="s">
        <v>3</v>
      </c>
      <c r="H37" s="22"/>
      <c r="I37" s="14" t="str">
        <f t="shared" si="0"/>
        <v>* contactPerson.familyName 0..* string ##34#A.1.2.3.5 Telephone no.##34# ##334#A.1.2.3.5 Telephone no. - Example: +45 20 7025 6161##334#</v>
      </c>
    </row>
    <row r="38" spans="1:11" ht="30.25" thickBot="1" x14ac:dyDescent="0.9">
      <c r="A38" s="9">
        <v>31</v>
      </c>
      <c r="B38" s="53" t="s">
        <v>813</v>
      </c>
      <c r="C38" s="53" t="s">
        <v>790</v>
      </c>
      <c r="D38" s="85" t="s">
        <v>807</v>
      </c>
      <c r="E38" s="15">
        <v>0</v>
      </c>
      <c r="F38" s="9" t="s">
        <v>11</v>
      </c>
      <c r="G38" s="53" t="s">
        <v>200</v>
      </c>
      <c r="H38" s="22"/>
      <c r="I38" s="14" t="str">
        <f t="shared" si="0"/>
        <v>* contactPerson.telephone 0..* ContactPoint ##34#A.1.2.3.6 Email##34# ##334#A.1.2.3.6 Email - Email of the contact person/legal guardian##334#</v>
      </c>
    </row>
    <row r="39" spans="1:11" ht="15.5" thickBot="1" x14ac:dyDescent="0.9">
      <c r="A39" s="9">
        <v>32</v>
      </c>
      <c r="B39" s="9" t="s">
        <v>814</v>
      </c>
      <c r="C39" s="9" t="s">
        <v>791</v>
      </c>
      <c r="D39" s="85" t="s">
        <v>808</v>
      </c>
      <c r="E39" s="15">
        <v>0</v>
      </c>
      <c r="F39" s="9" t="s">
        <v>11</v>
      </c>
      <c r="G39" s="9" t="s">
        <v>200</v>
      </c>
      <c r="H39" s="22"/>
      <c r="I39" s="14" t="str">
        <f t="shared" si="0"/>
        <v>* contactPerson.email 0..* ContactPoint ##34###34# ##334###334#</v>
      </c>
      <c r="J39" s="15"/>
      <c r="K39" s="9"/>
    </row>
    <row r="40" spans="1:11" ht="15.5" thickBot="1" x14ac:dyDescent="0.9">
      <c r="A40" s="9"/>
      <c r="B40" s="53"/>
      <c r="C40" s="53"/>
      <c r="D40" s="85"/>
      <c r="E40" s="53"/>
      <c r="F40" s="53"/>
      <c r="G40" s="53"/>
      <c r="H40" s="22"/>
      <c r="I40" s="14" t="str">
        <f>CONCATENATE("* ",B40, " ",E40,"..",F40," ",G40," ##34#",C41,"##34# ##334#",D41,"##334#")</f>
        <v>*  ..  ##34###34# ##334###334#</v>
      </c>
    </row>
    <row r="41" spans="1:11" x14ac:dyDescent="0.75">
      <c r="A41" s="9"/>
      <c r="B41" s="53"/>
      <c r="C41" s="53"/>
      <c r="D41" s="101"/>
      <c r="E41" s="53"/>
      <c r="F41" s="53"/>
      <c r="G41" s="53"/>
      <c r="H41" s="22"/>
      <c r="I41" s="14" t="str">
        <f t="shared" si="0"/>
        <v>*  ..  ##34###34# ##334###334#</v>
      </c>
    </row>
    <row r="42" spans="1:11" x14ac:dyDescent="0.75">
      <c r="A42" s="9"/>
      <c r="B42" s="53"/>
      <c r="C42" s="53"/>
      <c r="D42" s="101"/>
      <c r="E42" s="53"/>
      <c r="F42" s="53"/>
      <c r="G42" s="53"/>
      <c r="H42" s="22"/>
      <c r="I42" s="14" t="str">
        <f t="shared" si="0"/>
        <v>*  ..  ##34###34# ##334###334#</v>
      </c>
    </row>
    <row r="43" spans="1:11" x14ac:dyDescent="0.75">
      <c r="A43" s="9"/>
      <c r="B43" s="53"/>
      <c r="C43" s="53"/>
      <c r="D43" s="101"/>
      <c r="E43" s="53"/>
      <c r="F43" s="53"/>
      <c r="G43" s="53"/>
      <c r="H43" s="22"/>
      <c r="I43" s="14" t="str">
        <f t="shared" si="0"/>
        <v>*  ..  ##34###34# ##334###334#</v>
      </c>
    </row>
    <row r="44" spans="1:11" x14ac:dyDescent="0.75">
      <c r="A44" s="9"/>
      <c r="B44" s="53"/>
      <c r="C44" s="53"/>
      <c r="D44" s="101"/>
      <c r="E44" s="53"/>
      <c r="F44" s="53"/>
      <c r="G44" s="53"/>
      <c r="H44" s="22"/>
      <c r="I44" s="14"/>
    </row>
    <row r="45" spans="1:11" x14ac:dyDescent="0.75">
      <c r="A45" s="9"/>
      <c r="B45" s="53"/>
      <c r="C45" s="53"/>
      <c r="D45" s="101"/>
      <c r="E45" s="53"/>
      <c r="F45" s="53"/>
      <c r="G45" s="53"/>
      <c r="H45" s="22"/>
      <c r="I45" s="14"/>
    </row>
    <row r="46" spans="1:11" ht="20.5" customHeight="1" x14ac:dyDescent="0.75">
      <c r="A46" s="9"/>
      <c r="B46" s="53"/>
      <c r="C46" s="53"/>
      <c r="D46" s="53"/>
      <c r="E46" s="53"/>
      <c r="F46" s="53"/>
      <c r="G46" s="53"/>
      <c r="H46" s="22"/>
      <c r="I46" s="14"/>
    </row>
    <row r="47" spans="1:11" x14ac:dyDescent="0.75">
      <c r="A47" s="9"/>
      <c r="B47" s="9"/>
      <c r="C47" s="9"/>
      <c r="D47" s="9"/>
      <c r="E47" s="9"/>
      <c r="F47" s="9"/>
      <c r="G47" s="9"/>
      <c r="H47" s="22"/>
      <c r="I47" s="14"/>
    </row>
    <row r="48" spans="1:11" x14ac:dyDescent="0.75">
      <c r="A48" s="9"/>
      <c r="B48" s="53"/>
      <c r="C48" s="53"/>
      <c r="D48" s="53"/>
      <c r="E48" s="53"/>
      <c r="F48" s="53"/>
      <c r="G48" s="53"/>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25" t="s">
        <v>663</v>
      </c>
      <c r="D52" s="126"/>
      <c r="E52" s="126"/>
      <c r="F52" s="127"/>
      <c r="I52"/>
    </row>
    <row r="53" spans="1:9" ht="133.5" thickBot="1" x14ac:dyDescent="0.9">
      <c r="B53" t="str">
        <f t="shared" si="1"/>
        <v>A.1.2.3.1 Role of that person</v>
      </c>
      <c r="C53" s="82" t="s">
        <v>664</v>
      </c>
      <c r="D53" s="83" t="s">
        <v>665</v>
      </c>
      <c r="E53" s="83" t="s">
        <v>666</v>
      </c>
      <c r="F53" s="83" t="s">
        <v>667</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84" t="s">
        <v>668</v>
      </c>
      <c r="D54" s="85" t="s">
        <v>669</v>
      </c>
      <c r="E54" s="85" t="s">
        <v>670</v>
      </c>
      <c r="F54" s="85"/>
      <c r="I54" s="1" t="str">
        <f t="shared" si="2"/>
        <v xml:space="preserve">Relationship type with the patient (e.g. father, wife, daughter) HL7 RoleCode - Preferred system(s): </v>
      </c>
    </row>
    <row r="55" spans="1:9" ht="30.25" customHeight="1" thickBot="1" x14ac:dyDescent="0.9">
      <c r="B55" t="str">
        <f t="shared" si="1"/>
        <v>A.1.2.3.3 Given name</v>
      </c>
      <c r="C55" s="84" t="s">
        <v>671</v>
      </c>
      <c r="D55" s="85" t="s">
        <v>672</v>
      </c>
      <c r="E55" s="85" t="s">
        <v>673</v>
      </c>
      <c r="F55" s="85"/>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99" t="s">
        <v>674</v>
      </c>
      <c r="D56" s="99" t="s">
        <v>44</v>
      </c>
      <c r="E56" s="40" t="s">
        <v>805</v>
      </c>
      <c r="F56" s="99"/>
      <c r="I56" s="1" t="str">
        <f t="shared" si="2"/>
        <v xml:space="preserve">This field can contain more than one element.
Example: Español Smith - Preferred system(s): </v>
      </c>
    </row>
    <row r="57" spans="1:9" ht="45" customHeight="1" thickBot="1" x14ac:dyDescent="0.9">
      <c r="B57" t="str">
        <f t="shared" si="1"/>
        <v>A.1.2.3.5 Telephone no.</v>
      </c>
      <c r="C57" s="84" t="s">
        <v>677</v>
      </c>
      <c r="D57" s="85" t="s">
        <v>637</v>
      </c>
      <c r="E57" s="85" t="s">
        <v>654</v>
      </c>
      <c r="F57" s="85"/>
      <c r="I57" s="1" t="str">
        <f t="shared" si="2"/>
        <v xml:space="preserve">Example: +45 20 7025 6161 - Preferred system(s): </v>
      </c>
    </row>
    <row r="58" spans="1:9" ht="29.5" customHeight="1" thickBot="1" x14ac:dyDescent="0.9">
      <c r="B58" t="str">
        <f t="shared" si="1"/>
        <v>A.1.2.3.6 Email</v>
      </c>
      <c r="C58" s="84" t="s">
        <v>678</v>
      </c>
      <c r="D58" s="85" t="s">
        <v>640</v>
      </c>
      <c r="E58" s="85" t="s">
        <v>679</v>
      </c>
      <c r="F58" s="85"/>
      <c r="I58" s="1" t="str">
        <f t="shared" si="2"/>
        <v xml:space="preserve">Email of the contact person/legal guardian - Preferred system(s): </v>
      </c>
    </row>
    <row r="59" spans="1:9" ht="14.75" customHeight="1" thickBot="1" x14ac:dyDescent="0.9">
      <c r="C59" s="84"/>
      <c r="D59" s="85"/>
      <c r="E59" s="85"/>
      <c r="F59" s="85"/>
      <c r="I59" s="1" t="str">
        <f t="shared" si="2"/>
        <v xml:space="preserve"> - Preferred system(s): </v>
      </c>
    </row>
    <row r="60" spans="1:9" ht="30.25" customHeight="1" thickBot="1" x14ac:dyDescent="0.9">
      <c r="B60" t="str">
        <f t="shared" si="1"/>
        <v xml:space="preserve"> </v>
      </c>
      <c r="C60" s="84"/>
      <c r="D60" s="85"/>
      <c r="E60" s="85"/>
      <c r="F60" s="85"/>
      <c r="I60" s="1" t="str">
        <f t="shared" si="2"/>
        <v xml:space="preserve"> - Preferred system(s): </v>
      </c>
    </row>
    <row r="61" spans="1:9" ht="15.5" thickBot="1" x14ac:dyDescent="0.9">
      <c r="B61" t="str">
        <f t="shared" si="1"/>
        <v xml:space="preserve"> </v>
      </c>
      <c r="C61" s="84"/>
      <c r="D61" s="85"/>
      <c r="E61" s="85"/>
      <c r="F61" s="85"/>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50" t="s">
        <v>730</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29.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198</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1157</v>
      </c>
      <c r="D3" s="66" t="s">
        <v>414</v>
      </c>
      <c r="E3" s="136" t="s">
        <v>756</v>
      </c>
      <c r="F3" s="136"/>
      <c r="G3" s="136"/>
    </row>
    <row r="4" spans="1:19" x14ac:dyDescent="0.75">
      <c r="B4" s="66" t="s">
        <v>19</v>
      </c>
      <c r="C4" s="49" t="s">
        <v>823</v>
      </c>
      <c r="D4" s="66" t="s">
        <v>415</v>
      </c>
      <c r="E4" s="140" t="s">
        <v>757</v>
      </c>
      <c r="F4" s="136"/>
      <c r="G4" s="136"/>
    </row>
    <row r="5" spans="1:19" x14ac:dyDescent="0.75">
      <c r="B5" s="66" t="s">
        <v>13</v>
      </c>
      <c r="C5" s="10" t="s">
        <v>430</v>
      </c>
      <c r="D5" s="66"/>
      <c r="E5" s="10"/>
    </row>
    <row r="6" spans="1:19" x14ac:dyDescent="0.75">
      <c r="B6" s="66" t="s">
        <v>35</v>
      </c>
      <c r="C6" s="65" t="s">
        <v>756</v>
      </c>
      <c r="D6" s="66" t="s">
        <v>412</v>
      </c>
      <c r="E6" s="136" t="s">
        <v>756</v>
      </c>
      <c r="F6" s="136"/>
      <c r="G6" s="136"/>
    </row>
    <row r="7" spans="1:19" x14ac:dyDescent="0.75">
      <c r="B7" s="66" t="s">
        <v>18</v>
      </c>
      <c r="C7" s="65" t="s">
        <v>757</v>
      </c>
      <c r="D7" s="66" t="s">
        <v>413</v>
      </c>
      <c r="E7" s="140" t="s">
        <v>757</v>
      </c>
      <c r="F7" s="136"/>
      <c r="G7" s="136"/>
    </row>
    <row r="8" spans="1:19" ht="44.25" x14ac:dyDescent="0.75">
      <c r="B8" s="66" t="s">
        <v>410</v>
      </c>
      <c r="C8" s="10" t="s">
        <v>431</v>
      </c>
      <c r="D8" s="66"/>
      <c r="E8"/>
      <c r="I8" s="14" t="s">
        <v>387</v>
      </c>
      <c r="J8" s="14" t="s">
        <v>388</v>
      </c>
      <c r="K8" s="14" t="s">
        <v>389</v>
      </c>
      <c r="L8" s="14" t="s">
        <v>390</v>
      </c>
      <c r="M8" s="9" t="s">
        <v>391</v>
      </c>
      <c r="P8" s="62" t="s">
        <v>392</v>
      </c>
      <c r="Q8" s="62">
        <v>6</v>
      </c>
    </row>
    <row r="9" spans="1:19" ht="29.5" x14ac:dyDescent="0.75">
      <c r="B9" s="66" t="s">
        <v>411</v>
      </c>
      <c r="C9" s="1" t="s">
        <v>760</v>
      </c>
      <c r="D9" s="66"/>
      <c r="E9"/>
      <c r="I9" s="14"/>
      <c r="J9" s="9"/>
      <c r="K9" s="9"/>
      <c r="L9" s="9"/>
      <c r="M9" s="9"/>
    </row>
    <row r="10" spans="1:19" x14ac:dyDescent="0.75">
      <c r="B10" s="66"/>
      <c r="D10" s="66"/>
      <c r="E10"/>
      <c r="I10" s="14"/>
      <c r="J10" s="9"/>
      <c r="K10" s="9"/>
      <c r="L10" s="9"/>
      <c r="M10" s="9"/>
    </row>
    <row r="11" spans="1:19" x14ac:dyDescent="0.75">
      <c r="E11" s="10"/>
      <c r="I11" s="24" t="s">
        <v>393</v>
      </c>
      <c r="J11" s="63" t="s">
        <v>394</v>
      </c>
      <c r="K11" s="24" t="s">
        <v>395</v>
      </c>
      <c r="L11" s="63" t="s">
        <v>396</v>
      </c>
      <c r="M11" s="64" t="s">
        <v>397</v>
      </c>
      <c r="N11" s="67" t="s">
        <v>384</v>
      </c>
    </row>
    <row r="12" spans="1:19" x14ac:dyDescent="0.75">
      <c r="E12" s="65"/>
      <c r="I12" s="14"/>
      <c r="J12" s="9"/>
      <c r="K12" s="9"/>
      <c r="L12" s="9"/>
      <c r="M12" s="9"/>
    </row>
    <row r="13" spans="1:19" x14ac:dyDescent="0.75">
      <c r="D13" s="14"/>
      <c r="E13" s="9"/>
      <c r="F13" s="64" t="s">
        <v>397</v>
      </c>
      <c r="G13" s="67" t="s">
        <v>384</v>
      </c>
      <c r="H13" s="67"/>
      <c r="I13" s="14"/>
      <c r="J13" s="9"/>
      <c r="K13" s="64"/>
      <c r="L13" s="64"/>
      <c r="M13" s="64"/>
      <c r="N13" s="67"/>
    </row>
    <row r="14" spans="1:19" x14ac:dyDescent="0.75">
      <c r="A14" s="22"/>
      <c r="B14" s="8" t="str">
        <f>Subj!B5</f>
        <v>Subject</v>
      </c>
      <c r="C14" s="9"/>
      <c r="D14" s="4" t="s">
        <v>17</v>
      </c>
      <c r="E14" s="8"/>
      <c r="F14" s="9"/>
      <c r="G14" s="9"/>
      <c r="I14" s="14"/>
      <c r="J14" s="9"/>
      <c r="K14" s="9"/>
      <c r="L14" s="9"/>
      <c r="M14" s="64"/>
      <c r="N14" s="67"/>
    </row>
    <row r="15" spans="1:19" ht="44.25" x14ac:dyDescent="0.75">
      <c r="A15" s="22"/>
      <c r="B15" s="9" t="str">
        <f>Subj!B8</f>
        <v>identification</v>
      </c>
      <c r="C15" s="9" t="str">
        <f>Subj!C8</f>
        <v>A.1.1 Identification of the patient/subject</v>
      </c>
      <c r="D15" s="9" t="s">
        <v>17</v>
      </c>
      <c r="E15" s="56"/>
      <c r="F15" s="68" t="s">
        <v>399</v>
      </c>
      <c r="G15" s="68"/>
      <c r="H15" s="69"/>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221</v>
      </c>
      <c r="E16" s="9"/>
      <c r="F16" s="68" t="s">
        <v>398</v>
      </c>
      <c r="G16" s="68"/>
      <c r="H16" s="69"/>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423</v>
      </c>
      <c r="E17" s="9"/>
      <c r="F17" s="68" t="s">
        <v>398</v>
      </c>
      <c r="G17" s="68"/>
      <c r="H17" s="69"/>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424</v>
      </c>
      <c r="E18" s="9"/>
      <c r="F18" s="68" t="s">
        <v>398</v>
      </c>
      <c r="G18" s="68"/>
      <c r="H18" s="69"/>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425</v>
      </c>
      <c r="E19" s="9"/>
      <c r="F19" s="68" t="s">
        <v>398</v>
      </c>
      <c r="G19" s="68"/>
      <c r="H19" s="69"/>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426</v>
      </c>
      <c r="E20" s="9"/>
      <c r="F20" s="68" t="s">
        <v>398</v>
      </c>
      <c r="G20" s="68"/>
      <c r="H20" s="69"/>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742</v>
      </c>
      <c r="E21" s="9"/>
      <c r="F21" s="68" t="s">
        <v>399</v>
      </c>
      <c r="G21" s="75" t="s">
        <v>755</v>
      </c>
      <c r="H21" s="69"/>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8" t="s">
        <v>399</v>
      </c>
      <c r="G22" s="76"/>
      <c r="H22" s="69"/>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427</v>
      </c>
      <c r="E23" s="14"/>
      <c r="F23" s="68" t="s">
        <v>398</v>
      </c>
      <c r="G23" s="68"/>
      <c r="H23" s="69"/>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740</v>
      </c>
      <c r="E24" s="14"/>
      <c r="F24" s="68" t="s">
        <v>399</v>
      </c>
      <c r="G24" s="68"/>
      <c r="H24" s="69"/>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745</v>
      </c>
      <c r="E25" s="14"/>
      <c r="F25" s="68" t="s">
        <v>398</v>
      </c>
      <c r="G25" t="s">
        <v>743</v>
      </c>
      <c r="H25" s="69"/>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746</v>
      </c>
      <c r="E26" s="14"/>
      <c r="F26" s="68" t="s">
        <v>398</v>
      </c>
      <c r="G26" t="s">
        <v>744</v>
      </c>
      <c r="H26" s="69"/>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741</v>
      </c>
      <c r="E27" s="14"/>
      <c r="F27" s="68" t="s">
        <v>398</v>
      </c>
      <c r="G27" s="68"/>
      <c r="H27" s="69"/>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747</v>
      </c>
      <c r="E28" s="14"/>
      <c r="F28" s="68" t="s">
        <v>398</v>
      </c>
      <c r="G28" s="68"/>
      <c r="H28" s="69"/>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749</v>
      </c>
      <c r="E29" s="14"/>
      <c r="F29" s="68" t="s">
        <v>398</v>
      </c>
      <c r="G29" s="68"/>
      <c r="H29" s="69"/>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742</v>
      </c>
      <c r="E30" s="14"/>
      <c r="F30" s="68" t="s">
        <v>398</v>
      </c>
      <c r="G30" s="68" t="s">
        <v>751</v>
      </c>
      <c r="H30" s="69"/>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750</v>
      </c>
      <c r="E31" s="14"/>
      <c r="F31" s="68" t="s">
        <v>398</v>
      </c>
      <c r="G31" s="75" t="s">
        <v>752</v>
      </c>
      <c r="H31" s="69"/>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428</v>
      </c>
      <c r="E32" s="14"/>
      <c r="F32" s="68" t="s">
        <v>398</v>
      </c>
      <c r="G32" s="68" t="s">
        <v>753</v>
      </c>
      <c r="H32" s="69"/>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428</v>
      </c>
      <c r="E33" s="14"/>
      <c r="F33" s="68" t="s">
        <v>398</v>
      </c>
      <c r="G33" s="68" t="s">
        <v>754</v>
      </c>
      <c r="H33" s="69"/>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8" t="s">
        <v>400</v>
      </c>
      <c r="G34" s="102" t="s">
        <v>815</v>
      </c>
      <c r="H34" s="69"/>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8" t="s">
        <v>400</v>
      </c>
      <c r="G35" s="102" t="s">
        <v>815</v>
      </c>
      <c r="H35" s="69"/>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8" t="s">
        <v>400</v>
      </c>
      <c r="G36" s="102" t="s">
        <v>815</v>
      </c>
      <c r="H36" s="69"/>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8" t="s">
        <v>400</v>
      </c>
      <c r="G37" s="102" t="s">
        <v>815</v>
      </c>
      <c r="H37" s="69"/>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8" t="s">
        <v>400</v>
      </c>
      <c r="G38" s="102" t="s">
        <v>815</v>
      </c>
      <c r="H38" s="69"/>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8" t="s">
        <v>400</v>
      </c>
      <c r="G39" s="102" t="s">
        <v>815</v>
      </c>
      <c r="H39" s="69"/>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8" t="s">
        <v>400</v>
      </c>
      <c r="G40" s="102" t="s">
        <v>815</v>
      </c>
      <c r="H40" s="69"/>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8" t="s">
        <v>400</v>
      </c>
      <c r="G41" s="102" t="s">
        <v>815</v>
      </c>
      <c r="H41" s="69"/>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816</v>
      </c>
      <c r="E42" s="14"/>
      <c r="F42" s="68" t="s">
        <v>398</v>
      </c>
      <c r="G42" s="68"/>
      <c r="H42" s="69"/>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817</v>
      </c>
      <c r="E43" s="14"/>
      <c r="F43" s="68" t="s">
        <v>399</v>
      </c>
      <c r="G43" s="102" t="s">
        <v>821</v>
      </c>
      <c r="H43" s="69"/>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817</v>
      </c>
      <c r="E44" s="14"/>
      <c r="F44" s="68" t="s">
        <v>398</v>
      </c>
      <c r="G44" s="68"/>
      <c r="H44" s="69"/>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818</v>
      </c>
      <c r="E45" s="14"/>
      <c r="F45" s="68" t="s">
        <v>398</v>
      </c>
      <c r="G45" s="68"/>
      <c r="H45" s="69"/>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819</v>
      </c>
      <c r="E46" s="14"/>
      <c r="F46" s="68" t="s">
        <v>398</v>
      </c>
      <c r="G46" s="68"/>
      <c r="H46" s="69"/>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820</v>
      </c>
      <c r="E47" s="14"/>
      <c r="F47" s="68" t="s">
        <v>398</v>
      </c>
      <c r="G47" s="68"/>
      <c r="H47" s="69"/>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820</v>
      </c>
      <c r="E48" s="14"/>
      <c r="F48" s="68" t="s">
        <v>398</v>
      </c>
      <c r="G48" s="68"/>
      <c r="H48" s="69"/>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3">
        <f>Subj!B40</f>
        <v>0</v>
      </c>
      <c r="C49" s="53">
        <f>Subj!C40</f>
        <v>0</v>
      </c>
      <c r="F49" s="69"/>
      <c r="G49" s="69"/>
      <c r="H49" s="69"/>
      <c r="I49" s="69"/>
      <c r="J49" s="69"/>
      <c r="K49" s="69"/>
      <c r="L49" s="69"/>
      <c r="M49" s="69"/>
      <c r="N49" s="69"/>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69"/>
      <c r="G50" s="69"/>
      <c r="H50" s="69"/>
      <c r="I50" s="69"/>
      <c r="J50" s="69"/>
      <c r="K50" s="69"/>
      <c r="L50" s="69"/>
      <c r="M50" s="69"/>
      <c r="N50" s="69"/>
      <c r="P50" s="9">
        <v>36</v>
      </c>
      <c r="Q50" s="9">
        <f t="shared" si="9"/>
        <v>5</v>
      </c>
      <c r="R50" s="9">
        <f t="shared" si="10"/>
        <v>6</v>
      </c>
      <c r="S50" s="14" t="str" cm="1">
        <f t="array" ref="S50">INDEX('Subj-ConceptMap-1'!$I$15:$N$212,Q50+1,R50)</f>
        <v/>
      </c>
    </row>
    <row r="51" spans="1:19" x14ac:dyDescent="0.75">
      <c r="B51" s="9">
        <f>Subj!B42</f>
        <v>0</v>
      </c>
      <c r="C51" s="9">
        <f>Subj!C42</f>
        <v>0</v>
      </c>
      <c r="F51" s="69"/>
      <c r="G51" s="69"/>
      <c r="H51" s="69"/>
      <c r="J51" s="69"/>
      <c r="K51" s="69"/>
      <c r="L51" s="69"/>
      <c r="M51" s="69"/>
      <c r="N51" s="69"/>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69"/>
      <c r="G52" s="69"/>
      <c r="H52" s="69"/>
      <c r="J52" s="69"/>
      <c r="K52" s="69"/>
      <c r="L52" s="69"/>
      <c r="M52" s="69"/>
      <c r="N52" s="69"/>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69"/>
      <c r="G53" s="69"/>
      <c r="H53" s="69"/>
      <c r="J53" s="69"/>
      <c r="K53" s="69"/>
      <c r="L53" s="69"/>
      <c r="M53" s="69"/>
      <c r="N53" s="69"/>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69"/>
      <c r="G54" s="69"/>
      <c r="H54" s="69"/>
      <c r="J54" s="69"/>
      <c r="K54" s="69"/>
      <c r="L54" s="69"/>
      <c r="M54" s="69"/>
      <c r="N54" s="69"/>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401</v>
      </c>
      <c r="G2" s="50" t="s">
        <v>429</v>
      </c>
    </row>
    <row r="3" spans="2:7" x14ac:dyDescent="0.75">
      <c r="B3" s="32" t="s">
        <v>37</v>
      </c>
    </row>
    <row r="4" spans="2:7" x14ac:dyDescent="0.75">
      <c r="B4" s="70" t="str">
        <f>"Instance: "&amp;'Subj-ConceptMap-1'!C4</f>
        <v>Instance: subject2FHIR-eu-ps</v>
      </c>
    </row>
    <row r="5" spans="2:7" x14ac:dyDescent="0.75">
      <c r="B5" s="70" t="s">
        <v>402</v>
      </c>
    </row>
    <row r="6" spans="2:7" x14ac:dyDescent="0.75">
      <c r="B6" s="70" t="s">
        <v>403</v>
      </c>
    </row>
    <row r="7" spans="2:7" x14ac:dyDescent="0.75">
      <c r="B7" s="70" t="s">
        <v>409</v>
      </c>
    </row>
    <row r="8" spans="2:7" x14ac:dyDescent="0.75">
      <c r="B8" s="70" t="str">
        <f>"* name = ##34#"&amp;'Subj-ConceptMap-1'!C3&amp;"##34#"</f>
        <v>* name = ##34#PatientSummarySubject2Fhir##34#</v>
      </c>
    </row>
    <row r="9" spans="2:7" x14ac:dyDescent="0.75">
      <c r="B9" s="70" t="str">
        <f>"* title = ##34#"&amp;'Subj-ConceptMap-1'!C5&amp;"##34#"</f>
        <v>* title = ##34#eHN Subject to this guide Map##34#</v>
      </c>
    </row>
    <row r="10" spans="2:7" x14ac:dyDescent="0.75">
      <c r="B10" s="70" t="s">
        <v>404</v>
      </c>
    </row>
    <row r="11" spans="2:7" x14ac:dyDescent="0.75">
      <c r="B11" s="70" t="s">
        <v>405</v>
      </c>
    </row>
    <row r="12" spans="2:7" x14ac:dyDescent="0.75">
      <c r="B12" s="70" t="str">
        <f>"* description = ##34#"&amp;'Subj-ConceptMap-1'!C8&amp;"##34#"</f>
        <v>* description = ##34#eHN Subject Model to this guide Map##34#</v>
      </c>
    </row>
    <row r="13" spans="2:7" x14ac:dyDescent="0.75">
      <c r="B13" s="70" t="str">
        <f>"* purpose = ##34#"&amp;'Subj-ConceptMap-1'!C9&amp;"##34#"</f>
        <v>* purpose = ##34#It shows how the Patient Summary Subject data set defined by the EU eHN guidelines is mapped into this guide##34#</v>
      </c>
    </row>
    <row r="14" spans="2:7" x14ac:dyDescent="0.75">
      <c r="B14" s="71" t="str">
        <f>"* sourceUri = ##34#"&amp;'Subj-ConceptMap-1'!E3&amp;"##34#"</f>
        <v>* sourceUri = ##34#http://hl7.eu/fhir/ig/xpandh/ps/StructureDefinition/Subject##34#</v>
      </c>
    </row>
    <row r="15" spans="2:7" x14ac:dyDescent="0.75">
      <c r="B15" s="71" t="str">
        <f>"* targetUri = ##34#"&amp;'Subj-ConceptMap-1'!E4&amp;"##34#"</f>
        <v>* targetUri = ##34#http://hl7.eu/fhir/ig/xpandh/ps/StructureDefinition/Patient-ps-xpandh##34#</v>
      </c>
    </row>
    <row r="16" spans="2:7" x14ac:dyDescent="0.75">
      <c r="B16" s="70"/>
    </row>
    <row r="17" spans="2:7" x14ac:dyDescent="0.75">
      <c r="B17" s="72" t="str">
        <f>"* group[+].source = ##34#"&amp;'Subj-ConceptMap-1'!E6&amp;"##34#"</f>
        <v>* group[+].source = ##34#http://hl7.eu/fhir/ig/xpandh/ps/StructureDefinition/Subject##34#</v>
      </c>
    </row>
    <row r="18" spans="2:7" x14ac:dyDescent="0.75">
      <c r="B18" s="72" t="str">
        <f>"* group[=].target = ##34#"&amp;'Subj-ConceptMap-1'!E7&amp;"##34#"</f>
        <v>* group[=].target = ##34#http://hl7.eu/fhir/ig/xpandh/ps/StructureDefinition/Patient-ps-xpandh##34#</v>
      </c>
    </row>
    <row r="19" spans="2:7" x14ac:dyDescent="0.75">
      <c r="B19" s="74"/>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9"/>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684</v>
      </c>
      <c r="I4" s="24" t="str">
        <f>CONCATENATE("Logical: ",B4)</f>
        <v>Logical: PayerPsEhn</v>
      </c>
    </row>
    <row r="5" spans="1:11" x14ac:dyDescent="0.75">
      <c r="A5" s="17" t="s">
        <v>19</v>
      </c>
      <c r="B5" s="33" t="s">
        <v>220</v>
      </c>
      <c r="I5" s="24" t="str">
        <f>CONCATENATE("Id: ",B5)</f>
        <v>Id: Payer</v>
      </c>
    </row>
    <row r="6" spans="1:11" x14ac:dyDescent="0.75">
      <c r="A6" s="17" t="s">
        <v>13</v>
      </c>
      <c r="B6" s="18" t="s">
        <v>554</v>
      </c>
      <c r="I6" s="25" t="str">
        <f>CONCATENATE("Title: ##34#",B6,"##34#")</f>
        <v>Title: ##34#A.1.3 - Health insurance and payment information##34#</v>
      </c>
    </row>
    <row r="7" spans="1:11" ht="15.5" customHeight="1" thickBot="1" x14ac:dyDescent="0.9">
      <c r="A7" s="19" t="s">
        <v>5</v>
      </c>
      <c r="B7" s="20" t="s">
        <v>547</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210</v>
      </c>
      <c r="C8" t="s">
        <v>206</v>
      </c>
      <c r="D8" s="14" t="s">
        <v>239</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214</v>
      </c>
      <c r="C9" t="s">
        <v>207</v>
      </c>
      <c r="D9" s="14" t="s">
        <v>211</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215</v>
      </c>
      <c r="C10" t="s">
        <v>208</v>
      </c>
      <c r="D10" s="14" t="s">
        <v>212</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216</v>
      </c>
      <c r="C11" t="s">
        <v>209</v>
      </c>
      <c r="D11" s="14" t="s">
        <v>213</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25" t="s">
        <v>202</v>
      </c>
      <c r="D23" s="126"/>
      <c r="E23" s="126"/>
      <c r="F23" s="127"/>
      <c r="I23"/>
    </row>
    <row r="24" spans="2:9" ht="400.75" thickBot="1" x14ac:dyDescent="0.9">
      <c r="B24" t="str">
        <f t="shared" si="1"/>
        <v>A.1.3.1 Health insurance information</v>
      </c>
      <c r="C24" s="35" t="s">
        <v>60</v>
      </c>
      <c r="D24" s="38" t="s">
        <v>61</v>
      </c>
      <c r="E24" s="36" t="s">
        <v>240</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218</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219</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731</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345</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350</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351</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346</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347</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349</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348</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50" t="s">
        <v>732</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198</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450</v>
      </c>
      <c r="D3" s="66" t="s">
        <v>414</v>
      </c>
      <c r="E3" s="140" t="s">
        <v>1221</v>
      </c>
      <c r="F3" s="136"/>
      <c r="G3" s="136"/>
    </row>
    <row r="4" spans="1:19" x14ac:dyDescent="0.75">
      <c r="B4" s="66" t="s">
        <v>19</v>
      </c>
      <c r="C4" s="49" t="s">
        <v>824</v>
      </c>
      <c r="D4" s="66" t="s">
        <v>415</v>
      </c>
      <c r="E4" s="140" t="s">
        <v>1218</v>
      </c>
      <c r="F4" s="136"/>
      <c r="G4" s="136"/>
    </row>
    <row r="5" spans="1:19" x14ac:dyDescent="0.75">
      <c r="B5" s="66" t="s">
        <v>13</v>
      </c>
      <c r="C5" s="10" t="s">
        <v>434</v>
      </c>
      <c r="D5" s="66"/>
      <c r="E5" s="10"/>
    </row>
    <row r="6" spans="1:19" x14ac:dyDescent="0.75">
      <c r="B6" s="66" t="s">
        <v>35</v>
      </c>
      <c r="C6" s="65" t="s">
        <v>1217</v>
      </c>
      <c r="D6" s="66" t="s">
        <v>412</v>
      </c>
      <c r="E6" s="140" t="s">
        <v>1221</v>
      </c>
      <c r="F6" s="136"/>
      <c r="G6" s="136"/>
    </row>
    <row r="7" spans="1:19" x14ac:dyDescent="0.75">
      <c r="B7" s="66" t="s">
        <v>18</v>
      </c>
      <c r="C7" s="73" t="s">
        <v>849</v>
      </c>
      <c r="D7" s="66" t="s">
        <v>413</v>
      </c>
      <c r="E7" s="140" t="s">
        <v>1222</v>
      </c>
      <c r="F7" s="136"/>
      <c r="G7" s="136"/>
    </row>
    <row r="8" spans="1:19" ht="44.25" x14ac:dyDescent="0.75">
      <c r="B8" s="66" t="s">
        <v>410</v>
      </c>
      <c r="C8" s="10" t="s">
        <v>435</v>
      </c>
      <c r="D8" s="66"/>
      <c r="E8" s="10"/>
      <c r="I8" s="14" t="s">
        <v>387</v>
      </c>
      <c r="J8" s="14" t="s">
        <v>388</v>
      </c>
      <c r="K8" s="14" t="s">
        <v>389</v>
      </c>
      <c r="L8" s="14" t="s">
        <v>390</v>
      </c>
      <c r="M8" s="9" t="s">
        <v>391</v>
      </c>
      <c r="P8" s="62" t="s">
        <v>392</v>
      </c>
      <c r="Q8" s="62">
        <v>6</v>
      </c>
    </row>
    <row r="9" spans="1:19" ht="29.5" x14ac:dyDescent="0.75">
      <c r="B9" s="66" t="s">
        <v>411</v>
      </c>
      <c r="C9" s="1" t="s">
        <v>764</v>
      </c>
      <c r="D9" s="66"/>
      <c r="E9"/>
      <c r="I9" s="14"/>
      <c r="J9" s="9"/>
      <c r="K9" s="9"/>
      <c r="L9" s="9"/>
      <c r="M9" s="9"/>
    </row>
    <row r="10" spans="1:19" x14ac:dyDescent="0.75">
      <c r="B10" s="66"/>
      <c r="D10" s="66"/>
      <c r="E10"/>
      <c r="I10" s="14"/>
      <c r="J10" s="9"/>
      <c r="K10" s="9"/>
      <c r="L10" s="9"/>
      <c r="M10" s="9"/>
    </row>
    <row r="11" spans="1:19" x14ac:dyDescent="0.75">
      <c r="E11" s="10"/>
      <c r="I11" s="24" t="s">
        <v>393</v>
      </c>
      <c r="J11" s="63" t="s">
        <v>394</v>
      </c>
      <c r="K11" s="24" t="s">
        <v>395</v>
      </c>
      <c r="L11" s="63" t="s">
        <v>396</v>
      </c>
      <c r="M11" s="64" t="s">
        <v>397</v>
      </c>
      <c r="N11" s="67" t="s">
        <v>384</v>
      </c>
    </row>
    <row r="12" spans="1:19" x14ac:dyDescent="0.75">
      <c r="E12" s="65"/>
      <c r="I12" s="14"/>
      <c r="J12" s="9"/>
      <c r="K12" s="9"/>
      <c r="L12" s="9"/>
      <c r="M12" s="9"/>
    </row>
    <row r="13" spans="1:19" x14ac:dyDescent="0.75">
      <c r="D13" s="14"/>
      <c r="E13" s="9"/>
      <c r="F13" s="64" t="s">
        <v>397</v>
      </c>
      <c r="G13" s="67" t="s">
        <v>384</v>
      </c>
      <c r="H13" s="67"/>
      <c r="I13" s="14"/>
      <c r="J13" s="9"/>
      <c r="K13" s="64"/>
      <c r="L13" s="64"/>
      <c r="M13" s="64"/>
      <c r="N13" s="67"/>
    </row>
    <row r="14" spans="1:19" x14ac:dyDescent="0.75">
      <c r="A14" s="22"/>
      <c r="B14" s="8" t="str">
        <f>'A1.3 Payer'!B5</f>
        <v>Payer</v>
      </c>
      <c r="C14" s="9"/>
      <c r="D14" s="4" t="s">
        <v>453</v>
      </c>
      <c r="E14" s="8"/>
      <c r="F14" s="9"/>
      <c r="G14" s="9" t="s">
        <v>497</v>
      </c>
      <c r="I14" s="14"/>
      <c r="J14" s="9"/>
      <c r="K14" s="9"/>
      <c r="L14" s="9"/>
      <c r="M14" s="64"/>
      <c r="N14" s="67"/>
    </row>
    <row r="15" spans="1:19" ht="73.75" x14ac:dyDescent="0.75">
      <c r="A15" s="22"/>
      <c r="B15" s="9" t="str">
        <f>'A1.3 Payer'!B8</f>
        <v>insurance</v>
      </c>
      <c r="C15" s="9" t="str">
        <f>'A1.3 Payer'!C8</f>
        <v>A.1.3.1 Health insurance information</v>
      </c>
      <c r="D15" s="14" t="s">
        <v>210</v>
      </c>
      <c r="E15" s="56"/>
      <c r="F15" s="68" t="s">
        <v>399</v>
      </c>
      <c r="G15" s="9" t="s">
        <v>596</v>
      </c>
      <c r="H15" s="69"/>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210</v>
      </c>
      <c r="E16" s="9"/>
      <c r="F16" s="68" t="s">
        <v>399</v>
      </c>
      <c r="G16" s="9" t="s">
        <v>597</v>
      </c>
      <c r="H16" s="69"/>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210</v>
      </c>
      <c r="E17" s="9"/>
      <c r="F17" s="68" t="s">
        <v>399</v>
      </c>
      <c r="G17" s="9" t="s">
        <v>597</v>
      </c>
      <c r="H17" s="69"/>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210</v>
      </c>
      <c r="E18" s="9"/>
      <c r="F18" s="68" t="s">
        <v>399</v>
      </c>
      <c r="G18" s="9" t="s">
        <v>597</v>
      </c>
      <c r="H18" s="69"/>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8"/>
      <c r="E19" s="9"/>
      <c r="F19" s="68"/>
      <c r="G19" s="68"/>
      <c r="H19" s="69"/>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8"/>
      <c r="G20" s="68"/>
      <c r="H20" s="69"/>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8"/>
      <c r="G21" s="68"/>
      <c r="H21" s="69"/>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8"/>
      <c r="G22" s="68"/>
      <c r="H22" s="69"/>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8"/>
      <c r="G23" s="68"/>
      <c r="H23" s="69"/>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8"/>
      <c r="G24" s="68"/>
      <c r="H24" s="69"/>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8"/>
      <c r="G25" s="68"/>
      <c r="H25" s="69"/>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8"/>
      <c r="G26" s="68"/>
      <c r="H26" s="69"/>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8"/>
      <c r="G27" s="68"/>
      <c r="H27" s="69"/>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8"/>
      <c r="G28" s="68"/>
      <c r="H28" s="69"/>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8"/>
      <c r="G29" s="68"/>
      <c r="H29" s="69"/>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8"/>
      <c r="G30" s="68"/>
      <c r="H30" s="69"/>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8"/>
      <c r="G31" s="68"/>
      <c r="H31" s="69"/>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8"/>
      <c r="G32" s="68"/>
      <c r="H32" s="69"/>
      <c r="K32" s="69"/>
      <c r="L32" s="69"/>
      <c r="M32" s="67"/>
      <c r="N32" s="67"/>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8"/>
      <c r="G33" s="68"/>
      <c r="H33" s="69"/>
      <c r="K33" s="69"/>
      <c r="L33" s="69"/>
      <c r="M33" s="67"/>
      <c r="N33" s="67"/>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8"/>
      <c r="G34" s="69"/>
      <c r="H34" s="69"/>
      <c r="J34"/>
      <c r="K34" s="69"/>
      <c r="L34" s="69"/>
      <c r="M34" s="67"/>
      <c r="N34" s="67"/>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4"/>
      <c r="F35" s="69"/>
      <c r="G35" s="69"/>
      <c r="H35" s="69"/>
      <c r="J35"/>
      <c r="K35" s="69"/>
      <c r="L35" s="69"/>
      <c r="M35" s="67"/>
      <c r="N35" s="67"/>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9"/>
      <c r="G36" s="69"/>
      <c r="H36" s="69"/>
      <c r="J36"/>
      <c r="K36" s="69"/>
      <c r="L36" s="69"/>
      <c r="M36" s="67"/>
      <c r="N36" s="67"/>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9"/>
      <c r="G37" s="69"/>
      <c r="H37" s="69"/>
      <c r="J37" s="69"/>
      <c r="K37" s="69"/>
      <c r="L37" s="69"/>
      <c r="M37" s="67"/>
      <c r="N37" s="67"/>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9"/>
      <c r="G38" s="69"/>
      <c r="H38" s="69"/>
      <c r="J38" s="69"/>
      <c r="K38" s="69"/>
      <c r="L38" s="69"/>
      <c r="M38" s="67"/>
      <c r="N38" s="67"/>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9"/>
      <c r="G39" s="69"/>
      <c r="H39" s="69"/>
      <c r="J39" s="69"/>
      <c r="K39" s="69"/>
      <c r="L39" s="69"/>
      <c r="M39" s="67"/>
      <c r="N39" s="67"/>
      <c r="P39" s="9">
        <v>25</v>
      </c>
      <c r="Q39" s="9">
        <f t="shared" si="9"/>
        <v>4</v>
      </c>
      <c r="R39" s="9">
        <f t="shared" si="10"/>
        <v>1</v>
      </c>
      <c r="S39" s="14" cm="1">
        <f t="array" ref="S39">INDEX('Payer-ConceptMap-1'!$I$15:$N$267,Q39+1,R39)</f>
        <v>0</v>
      </c>
    </row>
    <row r="40" spans="1:19" s="1" customFormat="1" x14ac:dyDescent="0.75">
      <c r="A40"/>
      <c r="B40" s="9"/>
      <c r="C40" s="9"/>
      <c r="F40" s="69"/>
      <c r="G40" s="69"/>
      <c r="H40" s="69"/>
      <c r="J40" s="69"/>
      <c r="K40" s="69"/>
      <c r="L40" s="69"/>
      <c r="M40" s="69"/>
      <c r="N40" s="69"/>
      <c r="P40" s="9">
        <v>26</v>
      </c>
      <c r="Q40" s="9">
        <f t="shared" si="9"/>
        <v>4</v>
      </c>
      <c r="R40" s="9">
        <f t="shared" si="10"/>
        <v>2</v>
      </c>
      <c r="S40" s="14" cm="1">
        <f t="array" ref="S40">INDEX('Payer-ConceptMap-1'!$I$15:$N$267,Q40+1,R40)</f>
        <v>0</v>
      </c>
    </row>
    <row r="41" spans="1:19" s="1" customFormat="1" x14ac:dyDescent="0.75">
      <c r="A41"/>
      <c r="B41" s="9"/>
      <c r="C41"/>
      <c r="F41" s="69"/>
      <c r="G41" s="69"/>
      <c r="H41" s="69"/>
      <c r="J41" s="69"/>
      <c r="K41" s="69"/>
      <c r="L41" s="69"/>
      <c r="M41" s="69"/>
      <c r="N41" s="69"/>
      <c r="P41" s="9">
        <v>27</v>
      </c>
      <c r="Q41" s="9">
        <f t="shared" si="9"/>
        <v>4</v>
      </c>
      <c r="R41" s="9">
        <f t="shared" si="10"/>
        <v>3</v>
      </c>
      <c r="S41" s="14" cm="1">
        <f t="array" ref="S41">INDEX('Payer-ConceptMap-1'!$I$15:$N$267,Q41+1,R41)</f>
        <v>0</v>
      </c>
    </row>
    <row r="42" spans="1:19" s="1" customFormat="1" x14ac:dyDescent="0.75">
      <c r="A42"/>
      <c r="B42" s="9"/>
      <c r="C42"/>
      <c r="F42" s="69"/>
      <c r="G42" s="69"/>
      <c r="H42" s="69"/>
      <c r="J42" s="69"/>
      <c r="K42" s="69"/>
      <c r="L42" s="69"/>
      <c r="M42" s="69"/>
      <c r="N42" s="69"/>
      <c r="P42" s="9">
        <v>28</v>
      </c>
      <c r="Q42" s="9">
        <f t="shared" si="9"/>
        <v>4</v>
      </c>
      <c r="R42" s="9">
        <f t="shared" si="10"/>
        <v>4</v>
      </c>
      <c r="S42" s="14" cm="1">
        <f t="array" ref="S42">INDEX('Payer-ConceptMap-1'!$I$15:$N$267,Q42+1,R42)</f>
        <v>0</v>
      </c>
    </row>
    <row r="43" spans="1:19" s="1" customFormat="1" x14ac:dyDescent="0.75">
      <c r="A43"/>
      <c r="B43" s="9"/>
      <c r="C43"/>
      <c r="F43" s="69"/>
      <c r="G43" s="69"/>
      <c r="H43" s="69"/>
      <c r="J43" s="69"/>
      <c r="K43" s="69"/>
      <c r="L43" s="69"/>
      <c r="M43" s="69"/>
      <c r="N43" s="69"/>
      <c r="P43" s="9">
        <v>29</v>
      </c>
      <c r="Q43" s="9">
        <f t="shared" si="9"/>
        <v>4</v>
      </c>
      <c r="R43" s="9">
        <f t="shared" si="10"/>
        <v>5</v>
      </c>
      <c r="S43" s="14" cm="1">
        <f t="array" ref="S43">INDEX('Payer-ConceptMap-1'!$I$15:$N$267,Q43+1,R43)</f>
        <v>0</v>
      </c>
    </row>
    <row r="44" spans="1:19" s="1" customFormat="1" x14ac:dyDescent="0.75">
      <c r="A44"/>
      <c r="B44" s="9"/>
      <c r="C44"/>
      <c r="F44" s="69"/>
      <c r="G44" s="69"/>
      <c r="H44" s="69"/>
      <c r="J44" s="69"/>
      <c r="K44" s="69"/>
      <c r="L44" s="69"/>
      <c r="M44" s="69"/>
      <c r="N44" s="69"/>
      <c r="P44" s="9">
        <v>30</v>
      </c>
      <c r="Q44" s="9">
        <f t="shared" si="9"/>
        <v>4</v>
      </c>
      <c r="R44" s="9">
        <f t="shared" si="10"/>
        <v>6</v>
      </c>
      <c r="S44" s="14" cm="1">
        <f t="array" ref="S44">INDEX('Payer-ConceptMap-1'!$I$15:$N$267,Q44+1,R44)</f>
        <v>0</v>
      </c>
    </row>
    <row r="45" spans="1:19" s="1" customFormat="1" x14ac:dyDescent="0.75">
      <c r="A45"/>
      <c r="B45" s="9"/>
      <c r="C45"/>
      <c r="F45" s="69"/>
      <c r="G45" s="69"/>
      <c r="H45" s="69"/>
      <c r="J45" s="69"/>
      <c r="K45" s="69"/>
      <c r="L45" s="69"/>
      <c r="M45" s="69"/>
      <c r="N45" s="69"/>
      <c r="P45" s="9">
        <v>31</v>
      </c>
      <c r="Q45" s="9">
        <f t="shared" si="9"/>
        <v>5</v>
      </c>
      <c r="R45" s="9">
        <f t="shared" si="10"/>
        <v>1</v>
      </c>
      <c r="S45" s="14" cm="1">
        <f t="array" ref="S45">INDEX('Payer-ConceptMap-1'!$I$15:$N$267,Q45+1,R45)</f>
        <v>0</v>
      </c>
    </row>
    <row r="46" spans="1:19" x14ac:dyDescent="0.75">
      <c r="F46" s="69"/>
      <c r="G46" s="69"/>
      <c r="H46" s="69"/>
      <c r="J46" s="69"/>
      <c r="K46" s="69"/>
      <c r="L46" s="69"/>
      <c r="M46" s="69"/>
      <c r="N46" s="69"/>
      <c r="P46" s="9">
        <v>32</v>
      </c>
      <c r="Q46" s="9">
        <f t="shared" si="9"/>
        <v>5</v>
      </c>
      <c r="R46" s="9">
        <f t="shared" si="10"/>
        <v>2</v>
      </c>
      <c r="S46" s="14" cm="1">
        <f t="array" ref="S46">INDEX('Payer-ConceptMap-1'!$I$15:$N$267,Q46+1,R46)</f>
        <v>0</v>
      </c>
    </row>
    <row r="47" spans="1:19" x14ac:dyDescent="0.75">
      <c r="F47" s="69"/>
      <c r="G47" s="69"/>
      <c r="H47" s="69"/>
      <c r="J47" s="69"/>
      <c r="K47" s="69"/>
      <c r="L47" s="69"/>
      <c r="M47" s="69"/>
      <c r="N47" s="69"/>
      <c r="P47" s="9">
        <v>33</v>
      </c>
      <c r="Q47" s="9">
        <f t="shared" si="9"/>
        <v>5</v>
      </c>
      <c r="R47" s="9">
        <f t="shared" si="10"/>
        <v>3</v>
      </c>
      <c r="S47" s="14" cm="1">
        <f t="array" ref="S47">INDEX('Payer-ConceptMap-1'!$I$15:$N$267,Q47+1,R47)</f>
        <v>0</v>
      </c>
    </row>
    <row r="48" spans="1:19" x14ac:dyDescent="0.75">
      <c r="F48" s="69"/>
      <c r="G48" s="69"/>
      <c r="H48" s="69"/>
      <c r="J48" s="69"/>
      <c r="K48" s="69"/>
      <c r="L48" s="69"/>
      <c r="M48" s="69"/>
      <c r="N48" s="69"/>
      <c r="P48" s="9">
        <v>34</v>
      </c>
      <c r="Q48" s="9">
        <f t="shared" si="9"/>
        <v>5</v>
      </c>
      <c r="R48" s="9">
        <f t="shared" si="10"/>
        <v>4</v>
      </c>
      <c r="S48" s="14" cm="1">
        <f t="array" ref="S48">INDEX('Payer-ConceptMap-1'!$I$15:$N$267,Q48+1,R48)</f>
        <v>0</v>
      </c>
    </row>
    <row r="49" spans="5:19" x14ac:dyDescent="0.75">
      <c r="F49" s="69"/>
      <c r="G49" s="69"/>
      <c r="H49" s="69"/>
      <c r="J49" s="69"/>
      <c r="K49" s="69"/>
      <c r="L49" s="69"/>
      <c r="M49" s="69"/>
      <c r="N49" s="69"/>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450</v>
      </c>
      <c r="D3" s="66" t="s">
        <v>414</v>
      </c>
      <c r="E3" s="140" t="s">
        <v>1221</v>
      </c>
      <c r="F3" s="136"/>
      <c r="G3" s="136"/>
    </row>
    <row r="4" spans="1:19" x14ac:dyDescent="0.75">
      <c r="B4" s="66" t="s">
        <v>19</v>
      </c>
      <c r="C4" s="49" t="s">
        <v>824</v>
      </c>
      <c r="D4" s="66" t="s">
        <v>415</v>
      </c>
      <c r="E4" s="140" t="s">
        <v>1218</v>
      </c>
      <c r="F4" s="136"/>
      <c r="G4" s="136"/>
    </row>
    <row r="5" spans="1:19" x14ac:dyDescent="0.75">
      <c r="B5" s="66" t="s">
        <v>13</v>
      </c>
      <c r="C5" s="10" t="s">
        <v>434</v>
      </c>
      <c r="D5" s="66"/>
      <c r="E5" s="10"/>
    </row>
    <row r="6" spans="1:19" x14ac:dyDescent="0.75">
      <c r="B6" s="66" t="s">
        <v>35</v>
      </c>
      <c r="C6" s="65" t="s">
        <v>1217</v>
      </c>
      <c r="D6" s="66" t="s">
        <v>412</v>
      </c>
      <c r="E6" s="140" t="s">
        <v>1221</v>
      </c>
      <c r="F6" s="136"/>
      <c r="G6" s="136"/>
    </row>
    <row r="7" spans="1:19" x14ac:dyDescent="0.75">
      <c r="B7" s="66" t="s">
        <v>18</v>
      </c>
      <c r="C7" s="73" t="s">
        <v>849</v>
      </c>
      <c r="D7" s="66" t="s">
        <v>413</v>
      </c>
      <c r="E7" s="140" t="s">
        <v>598</v>
      </c>
      <c r="F7" s="136"/>
      <c r="G7" s="136"/>
    </row>
    <row r="8" spans="1:19" ht="44.25" x14ac:dyDescent="0.75">
      <c r="B8" s="66" t="s">
        <v>410</v>
      </c>
      <c r="C8" s="10" t="s">
        <v>435</v>
      </c>
      <c r="D8" s="66"/>
      <c r="E8" s="10"/>
      <c r="I8" s="14" t="s">
        <v>387</v>
      </c>
      <c r="J8" s="14" t="s">
        <v>388</v>
      </c>
      <c r="K8" s="14" t="s">
        <v>389</v>
      </c>
      <c r="L8" s="14" t="s">
        <v>390</v>
      </c>
      <c r="M8" s="9" t="s">
        <v>391</v>
      </c>
      <c r="P8" s="62" t="s">
        <v>392</v>
      </c>
      <c r="Q8" s="62">
        <v>6</v>
      </c>
    </row>
    <row r="9" spans="1:19" ht="29.5" x14ac:dyDescent="0.75">
      <c r="B9" s="66" t="s">
        <v>411</v>
      </c>
      <c r="C9" s="1" t="s">
        <v>764</v>
      </c>
      <c r="D9" s="66"/>
      <c r="E9"/>
      <c r="I9" s="14"/>
      <c r="J9" s="9"/>
      <c r="K9" s="9"/>
      <c r="L9" s="9"/>
      <c r="M9" s="9"/>
    </row>
    <row r="10" spans="1:19" x14ac:dyDescent="0.75">
      <c r="B10" s="66"/>
      <c r="D10" s="66"/>
      <c r="E10"/>
      <c r="I10" s="14"/>
      <c r="J10" s="9"/>
      <c r="K10" s="9"/>
      <c r="L10" s="9"/>
      <c r="M10" s="9"/>
    </row>
    <row r="11" spans="1:19" x14ac:dyDescent="0.75">
      <c r="E11" s="10"/>
      <c r="I11" s="24" t="s">
        <v>393</v>
      </c>
      <c r="J11" s="63" t="s">
        <v>394</v>
      </c>
      <c r="K11" s="24" t="s">
        <v>395</v>
      </c>
      <c r="L11" s="63" t="s">
        <v>396</v>
      </c>
      <c r="M11" s="64" t="s">
        <v>397</v>
      </c>
      <c r="N11" s="67" t="s">
        <v>384</v>
      </c>
    </row>
    <row r="12" spans="1:19" x14ac:dyDescent="0.75">
      <c r="E12" s="65"/>
      <c r="I12" s="14"/>
      <c r="J12" s="9"/>
      <c r="K12" s="9"/>
      <c r="L12" s="9"/>
      <c r="M12" s="9"/>
    </row>
    <row r="13" spans="1:19" x14ac:dyDescent="0.75">
      <c r="D13" s="14"/>
      <c r="E13" s="9"/>
      <c r="F13" s="64" t="s">
        <v>397</v>
      </c>
      <c r="G13" s="67" t="s">
        <v>384</v>
      </c>
      <c r="H13" s="67"/>
      <c r="I13" s="14"/>
      <c r="J13" s="9"/>
      <c r="K13" s="64"/>
      <c r="L13" s="64"/>
      <c r="M13" s="64"/>
      <c r="N13" s="67"/>
    </row>
    <row r="14" spans="1:19" x14ac:dyDescent="0.75">
      <c r="A14" s="22"/>
      <c r="B14" s="8" t="str">
        <f>'A1.3 Payer'!B5</f>
        <v>Payer</v>
      </c>
      <c r="C14" s="9"/>
      <c r="D14" s="4" t="s">
        <v>345</v>
      </c>
      <c r="E14" s="8"/>
      <c r="F14" s="9"/>
      <c r="G14" s="9" t="s">
        <v>497</v>
      </c>
      <c r="I14" s="14"/>
      <c r="J14" s="9"/>
      <c r="K14" s="9"/>
      <c r="L14" s="9"/>
      <c r="M14" s="64"/>
      <c r="N14" s="67"/>
    </row>
    <row r="15" spans="1:19" ht="44.25" x14ac:dyDescent="0.75">
      <c r="A15" s="22"/>
      <c r="B15" s="9" t="str">
        <f>'A1.3 Payer'!B8</f>
        <v>insurance</v>
      </c>
      <c r="C15" s="9" t="str">
        <f>'A1.3 Payer'!C8</f>
        <v>A.1.3.1 Health insurance information</v>
      </c>
      <c r="D15" s="14"/>
      <c r="E15" s="56"/>
      <c r="F15" s="68" t="s">
        <v>399</v>
      </c>
      <c r="G15" s="68"/>
      <c r="H15" s="69"/>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498</v>
      </c>
      <c r="E16" s="9"/>
      <c r="F16" s="68" t="s">
        <v>398</v>
      </c>
      <c r="G16" s="9" t="s">
        <v>599</v>
      </c>
      <c r="H16" s="69"/>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499</v>
      </c>
      <c r="E17" s="9"/>
      <c r="F17" s="68" t="s">
        <v>398</v>
      </c>
      <c r="G17" s="9" t="s">
        <v>599</v>
      </c>
      <c r="H17" s="69"/>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500</v>
      </c>
      <c r="E18" s="9"/>
      <c r="F18" s="68" t="s">
        <v>398</v>
      </c>
      <c r="G18" s="68"/>
      <c r="H18" s="69"/>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501</v>
      </c>
      <c r="E19" s="9"/>
      <c r="F19" s="68" t="s">
        <v>398</v>
      </c>
      <c r="G19" s="68"/>
      <c r="H19" s="69"/>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432</v>
      </c>
      <c r="E20" s="9"/>
      <c r="F20" s="68" t="s">
        <v>398</v>
      </c>
      <c r="G20" s="68"/>
      <c r="H20" s="69"/>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502</v>
      </c>
      <c r="E21" s="9"/>
      <c r="F21" s="68" t="s">
        <v>398</v>
      </c>
      <c r="G21" s="68"/>
      <c r="H21" s="69"/>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8"/>
      <c r="E22" s="9"/>
      <c r="F22" s="68"/>
      <c r="G22" s="68"/>
      <c r="H22" s="69"/>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8"/>
      <c r="G23" s="68"/>
      <c r="H23" s="69"/>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8"/>
      <c r="G24" s="68"/>
      <c r="H24" s="69"/>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8"/>
      <c r="G25" s="68"/>
      <c r="H25" s="69"/>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8"/>
      <c r="G26" s="68"/>
      <c r="H26" s="69"/>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8"/>
      <c r="G27" s="68"/>
      <c r="H27" s="69"/>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8"/>
      <c r="G28" s="68"/>
      <c r="H28" s="69"/>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8"/>
      <c r="G29" s="68"/>
      <c r="H29" s="69"/>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8"/>
      <c r="G30" s="68"/>
      <c r="H30" s="69"/>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8"/>
      <c r="G31" s="68"/>
      <c r="H31" s="69"/>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8"/>
      <c r="G32" s="68"/>
      <c r="H32" s="69"/>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8"/>
      <c r="G33" s="68"/>
      <c r="H33" s="69"/>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8"/>
      <c r="G34" s="68"/>
      <c r="H34" s="69"/>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8"/>
      <c r="G35" s="68"/>
      <c r="H35" s="69"/>
      <c r="K35" s="69"/>
      <c r="L35" s="69"/>
      <c r="M35" s="67"/>
      <c r="N35" s="67"/>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8"/>
      <c r="G36" s="68"/>
      <c r="H36" s="69"/>
      <c r="K36" s="69"/>
      <c r="L36" s="69"/>
      <c r="M36" s="67"/>
      <c r="N36" s="67"/>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8"/>
      <c r="G37" s="69"/>
      <c r="H37" s="69"/>
      <c r="J37"/>
      <c r="K37" s="69"/>
      <c r="L37" s="69"/>
      <c r="M37" s="67"/>
      <c r="N37" s="67"/>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4"/>
      <c r="F38" s="69"/>
      <c r="G38" s="69"/>
      <c r="H38" s="69"/>
      <c r="J38"/>
      <c r="K38" s="69"/>
      <c r="L38" s="69"/>
      <c r="M38" s="67"/>
      <c r="N38" s="67"/>
      <c r="P38" s="9">
        <v>24</v>
      </c>
      <c r="Q38" s="9">
        <f t="shared" si="9"/>
        <v>3</v>
      </c>
      <c r="R38" s="9">
        <f t="shared" si="10"/>
        <v>6</v>
      </c>
      <c r="S38" s="14" t="str" cm="1">
        <f t="array" ref="S38">INDEX('Payer-ConceptMap-2'!$I$15:$N$270,Q38+1,R38)</f>
        <v/>
      </c>
    </row>
    <row r="39" spans="1:19" s="1" customFormat="1" x14ac:dyDescent="0.75">
      <c r="A39"/>
      <c r="B39" s="9"/>
      <c r="C39" s="9"/>
      <c r="F39" s="69"/>
      <c r="G39" s="69"/>
      <c r="H39" s="69"/>
      <c r="J39"/>
      <c r="K39" s="69"/>
      <c r="L39" s="69"/>
      <c r="M39" s="67"/>
      <c r="N39" s="67"/>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9"/>
      <c r="G40" s="69"/>
      <c r="H40" s="69"/>
      <c r="J40" s="69"/>
      <c r="K40" s="69"/>
      <c r="L40" s="69"/>
      <c r="M40" s="67"/>
      <c r="N40" s="67"/>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9"/>
      <c r="G41" s="69"/>
      <c r="H41" s="69"/>
      <c r="J41" s="69"/>
      <c r="K41" s="69"/>
      <c r="L41" s="69"/>
      <c r="M41" s="67"/>
      <c r="N41" s="67"/>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9"/>
      <c r="G42" s="69"/>
      <c r="H42" s="69"/>
      <c r="J42" s="69"/>
      <c r="K42" s="69"/>
      <c r="L42" s="69"/>
      <c r="M42" s="67"/>
      <c r="N42" s="67"/>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9"/>
      <c r="G43" s="69"/>
      <c r="H43" s="69"/>
      <c r="J43" s="69"/>
      <c r="K43" s="69"/>
      <c r="L43" s="69"/>
      <c r="M43" s="69"/>
      <c r="N43" s="69"/>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9"/>
      <c r="G44" s="69"/>
      <c r="H44" s="69"/>
      <c r="J44" s="69"/>
      <c r="K44" s="69"/>
      <c r="L44" s="69"/>
      <c r="M44" s="69"/>
      <c r="N44" s="69"/>
      <c r="P44" s="9">
        <v>30</v>
      </c>
      <c r="Q44" s="9">
        <f t="shared" si="9"/>
        <v>4</v>
      </c>
      <c r="R44" s="9">
        <f t="shared" si="10"/>
        <v>6</v>
      </c>
      <c r="S44" s="14" t="str" cm="1">
        <f t="array" ref="S44">INDEX('Payer-ConceptMap-2'!$I$15:$N$270,Q44+1,R44)</f>
        <v/>
      </c>
    </row>
    <row r="45" spans="1:19" s="1" customFormat="1" x14ac:dyDescent="0.75">
      <c r="A45"/>
      <c r="B45" s="9"/>
      <c r="C45"/>
      <c r="F45" s="69"/>
      <c r="G45" s="69"/>
      <c r="H45" s="69"/>
      <c r="J45" s="69"/>
      <c r="K45" s="69"/>
      <c r="L45" s="69"/>
      <c r="M45" s="69"/>
      <c r="N45" s="69"/>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9"/>
      <c r="G46" s="69"/>
      <c r="H46" s="69"/>
      <c r="J46" s="69"/>
      <c r="K46" s="69"/>
      <c r="L46" s="69"/>
      <c r="M46" s="69"/>
      <c r="N46" s="69"/>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9"/>
      <c r="G47" s="69"/>
      <c r="H47" s="69"/>
      <c r="J47" s="69"/>
      <c r="K47" s="69"/>
      <c r="L47" s="69"/>
      <c r="M47" s="69"/>
      <c r="N47" s="69"/>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9"/>
      <c r="G48" s="69"/>
      <c r="H48" s="69"/>
      <c r="J48" s="69"/>
      <c r="K48" s="69"/>
      <c r="L48" s="69"/>
      <c r="M48" s="69"/>
      <c r="N48" s="69"/>
      <c r="P48" s="9">
        <v>34</v>
      </c>
      <c r="Q48" s="9">
        <f t="shared" si="9"/>
        <v>5</v>
      </c>
      <c r="R48" s="9">
        <f t="shared" si="10"/>
        <v>4</v>
      </c>
      <c r="S48" s="14" t="str" cm="1">
        <f t="array" ref="S48">INDEX('Payer-ConceptMap-2'!$I$15:$N$270,Q48+1,R48)</f>
        <v>* group[=].element[=].target.display = ##34###34#</v>
      </c>
    </row>
    <row r="49" spans="5:19" x14ac:dyDescent="0.75">
      <c r="F49" s="69"/>
      <c r="G49" s="69"/>
      <c r="H49" s="69"/>
      <c r="J49" s="69"/>
      <c r="K49" s="69"/>
      <c r="L49" s="69"/>
      <c r="M49" s="69"/>
      <c r="N49" s="69"/>
      <c r="P49" s="9">
        <v>35</v>
      </c>
      <c r="Q49" s="9">
        <f t="shared" si="9"/>
        <v>5</v>
      </c>
      <c r="R49" s="9">
        <f t="shared" si="10"/>
        <v>5</v>
      </c>
      <c r="S49" s="14" t="str" cm="1">
        <f t="array" ref="S49">INDEX('Payer-ConceptMap-2'!$I$15:$N$270,Q49+1,R49)</f>
        <v>* group[=].element[=].target.equivalence = #equivalent</v>
      </c>
    </row>
    <row r="50" spans="5:19" x14ac:dyDescent="0.75">
      <c r="F50" s="69"/>
      <c r="G50" s="69"/>
      <c r="H50" s="69"/>
      <c r="J50" s="69"/>
      <c r="K50" s="69"/>
      <c r="L50" s="69"/>
      <c r="M50" s="69"/>
      <c r="N50" s="69"/>
      <c r="P50" s="9">
        <v>36</v>
      </c>
      <c r="Q50" s="9">
        <f t="shared" si="9"/>
        <v>5</v>
      </c>
      <c r="R50" s="9">
        <f t="shared" si="10"/>
        <v>6</v>
      </c>
      <c r="S50" s="14" t="str" cm="1">
        <f t="array" ref="S50">INDEX('Payer-ConceptMap-2'!$I$15:$N$270,Q50+1,R50)</f>
        <v/>
      </c>
    </row>
    <row r="51" spans="5:19" x14ac:dyDescent="0.75">
      <c r="F51" s="69"/>
      <c r="G51" s="69"/>
      <c r="H51" s="69"/>
      <c r="J51" s="69"/>
      <c r="K51" s="69"/>
      <c r="L51" s="69"/>
      <c r="M51" s="69"/>
      <c r="N51" s="69"/>
      <c r="P51" s="9">
        <v>37</v>
      </c>
      <c r="Q51" s="9">
        <f t="shared" si="9"/>
        <v>6</v>
      </c>
      <c r="R51" s="9">
        <f t="shared" si="10"/>
        <v>1</v>
      </c>
      <c r="S51" s="14" t="str" cm="1">
        <f t="array" ref="S51">INDEX('Payer-ConceptMap-2'!$I$15:$N$270,Q51+1,R51)</f>
        <v>* group[=].element[+].code = #Payer.insurance.subjectIdentifier</v>
      </c>
    </row>
    <row r="52" spans="5:19" x14ac:dyDescent="0.75">
      <c r="F52" s="69"/>
      <c r="G52" s="69"/>
      <c r="H52" s="69"/>
      <c r="J52" s="69"/>
      <c r="K52" s="69"/>
      <c r="L52" s="69"/>
      <c r="M52" s="69"/>
      <c r="N52" s="69"/>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tr">
        <f>'Payer-ConceptMap-1'!C3</f>
        <v>Payer2Fhir</v>
      </c>
      <c r="D3" s="66" t="s">
        <v>414</v>
      </c>
      <c r="E3" s="141" t="str">
        <f>'Payer-ConceptMap-1'!E3</f>
        <v>http://hl7.eu/fhir/ig/xpandh/ps/StructureDefinition/Payer</v>
      </c>
      <c r="F3" s="142"/>
      <c r="G3" s="142"/>
    </row>
    <row r="4" spans="1:19" x14ac:dyDescent="0.75">
      <c r="B4" s="66" t="s">
        <v>19</v>
      </c>
      <c r="C4" s="49" t="str">
        <f>'Payer-ConceptMap-1'!C4</f>
        <v>payer2FHIR-eu-ps</v>
      </c>
      <c r="D4" s="66" t="s">
        <v>415</v>
      </c>
      <c r="E4" s="140" t="str">
        <f>'Payer-ConceptMap-1'!E4</f>
        <v>http://hl7.eu/fhir/ig/xpandh/ps/StructureDefinition/Bundle-eu-ps</v>
      </c>
      <c r="F4" s="136"/>
      <c r="G4" s="136"/>
    </row>
    <row r="5" spans="1:19" x14ac:dyDescent="0.75">
      <c r="B5" s="66" t="s">
        <v>13</v>
      </c>
      <c r="C5" s="10" t="str">
        <f>'Payer-ConceptMap-1'!C5</f>
        <v>eHN Payer to this guide Map</v>
      </c>
      <c r="D5" s="66"/>
      <c r="E5" s="10"/>
    </row>
    <row r="6" spans="1:19" x14ac:dyDescent="0.75">
      <c r="B6" s="66" t="s">
        <v>35</v>
      </c>
      <c r="C6" s="65" t="str">
        <f>'Payer-ConceptMap-1'!C6</f>
        <v>http://hl7.eu/fhir/ig/xpandh/ps/StructureDefinition/PatientSummary</v>
      </c>
      <c r="D6" s="66" t="s">
        <v>412</v>
      </c>
      <c r="E6" s="140" t="str">
        <f>E3</f>
        <v>http://hl7.eu/fhir/ig/xpandh/ps/StructureDefinition/Payer</v>
      </c>
      <c r="F6" s="136"/>
      <c r="G6" s="136"/>
    </row>
    <row r="7" spans="1:19" x14ac:dyDescent="0.75">
      <c r="B7" s="66" t="s">
        <v>18</v>
      </c>
      <c r="C7" s="73" t="str">
        <f>'Payer-ConceptMap-1'!C7</f>
        <v>http://hl7.eu/fhir/ig/xpandh/ps</v>
      </c>
      <c r="D7" s="66" t="s">
        <v>413</v>
      </c>
      <c r="E7" s="140" t="s">
        <v>1223</v>
      </c>
      <c r="F7" s="136"/>
      <c r="G7" s="136"/>
    </row>
    <row r="8" spans="1:19" ht="44.25" x14ac:dyDescent="0.75">
      <c r="B8" s="66" t="s">
        <v>410</v>
      </c>
      <c r="C8" s="10" t="str">
        <f>'Payer-ConceptMap-1'!C8</f>
        <v>eHN Payer Model to this guide Map</v>
      </c>
      <c r="D8" s="66"/>
      <c r="E8" s="10"/>
      <c r="I8" s="14" t="s">
        <v>387</v>
      </c>
      <c r="J8" s="14" t="s">
        <v>388</v>
      </c>
      <c r="K8" s="14" t="s">
        <v>389</v>
      </c>
      <c r="L8" s="14" t="s">
        <v>390</v>
      </c>
      <c r="M8" s="9" t="s">
        <v>391</v>
      </c>
      <c r="P8" s="62" t="s">
        <v>392</v>
      </c>
      <c r="Q8" s="62">
        <v>6</v>
      </c>
    </row>
    <row r="9" spans="1:19" ht="29.5" x14ac:dyDescent="0.75">
      <c r="B9" s="66" t="s">
        <v>411</v>
      </c>
      <c r="C9" s="1" t="str">
        <f>'Payer-ConceptMap-1'!C9</f>
        <v>It shows how the Patient Summary Payer data set defined by the EU eHN guidelines is mapped into this guide</v>
      </c>
      <c r="D9" s="66"/>
      <c r="E9"/>
      <c r="I9" s="14"/>
      <c r="J9" s="9"/>
      <c r="K9" s="9"/>
      <c r="L9" s="9"/>
      <c r="M9" s="9"/>
    </row>
    <row r="10" spans="1:19" x14ac:dyDescent="0.75">
      <c r="B10" s="66"/>
      <c r="D10" s="66"/>
      <c r="E10"/>
      <c r="I10" s="14"/>
      <c r="J10" s="9"/>
      <c r="K10" s="9"/>
      <c r="L10" s="9"/>
      <c r="M10" s="9"/>
    </row>
    <row r="11" spans="1:19" x14ac:dyDescent="0.75">
      <c r="E11" s="10"/>
      <c r="I11" s="24" t="s">
        <v>393</v>
      </c>
      <c r="J11" s="63" t="s">
        <v>394</v>
      </c>
      <c r="K11" s="24" t="s">
        <v>395</v>
      </c>
      <c r="L11" s="63" t="s">
        <v>396</v>
      </c>
      <c r="M11" s="64" t="s">
        <v>397</v>
      </c>
      <c r="N11" s="67" t="s">
        <v>384</v>
      </c>
    </row>
    <row r="12" spans="1:19" x14ac:dyDescent="0.75">
      <c r="E12" s="65"/>
      <c r="I12" s="14"/>
      <c r="J12" s="9"/>
      <c r="K12" s="9"/>
      <c r="L12" s="9"/>
      <c r="M12" s="9"/>
    </row>
    <row r="13" spans="1:19" x14ac:dyDescent="0.75">
      <c r="D13" s="14"/>
      <c r="E13" s="9"/>
      <c r="F13" s="64" t="s">
        <v>397</v>
      </c>
      <c r="G13" s="89" t="s">
        <v>384</v>
      </c>
      <c r="H13" s="67"/>
      <c r="I13" s="14"/>
      <c r="J13" s="9"/>
      <c r="K13" s="64"/>
      <c r="L13" s="64"/>
      <c r="M13" s="64"/>
      <c r="N13" s="67"/>
    </row>
    <row r="14" spans="1:19" x14ac:dyDescent="0.75">
      <c r="A14" s="22"/>
      <c r="B14" s="8" t="str">
        <f>'A1.3 Payer'!B5</f>
        <v>Payer</v>
      </c>
      <c r="C14" s="9"/>
      <c r="D14" s="4" t="s">
        <v>17</v>
      </c>
      <c r="E14" s="8"/>
      <c r="F14" s="68" t="s">
        <v>400</v>
      </c>
      <c r="G14" s="14"/>
      <c r="I14" s="14"/>
      <c r="J14" s="9"/>
      <c r="K14" s="9"/>
      <c r="L14" s="9"/>
      <c r="M14" s="64"/>
      <c r="N14" s="67"/>
    </row>
    <row r="15" spans="1:19" ht="44.25" x14ac:dyDescent="0.75">
      <c r="A15" s="22"/>
      <c r="B15" s="9" t="str">
        <f>'A1.3 Payer'!B8</f>
        <v>insurance</v>
      </c>
      <c r="C15" s="9" t="str">
        <f>'A1.3 Payer'!C8</f>
        <v>A.1.3.1 Health insurance information</v>
      </c>
      <c r="D15" s="14"/>
      <c r="E15" s="9"/>
      <c r="F15" s="68" t="s">
        <v>400</v>
      </c>
      <c r="G15" s="75"/>
      <c r="H15" s="69"/>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8" t="s">
        <v>400</v>
      </c>
      <c r="G16" s="75"/>
      <c r="H16" s="69"/>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8" t="s">
        <v>400</v>
      </c>
      <c r="G17" s="75"/>
      <c r="H17" s="69"/>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221</v>
      </c>
      <c r="E18" s="9"/>
      <c r="F18" s="68" t="s">
        <v>399</v>
      </c>
      <c r="G18" s="75" t="s">
        <v>557</v>
      </c>
      <c r="H18" s="69"/>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8"/>
      <c r="E19" s="9"/>
      <c r="F19" s="68"/>
      <c r="G19" s="75"/>
      <c r="H19" s="69"/>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8"/>
      <c r="G20" s="75"/>
      <c r="H20" s="69"/>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8"/>
      <c r="G21" s="75"/>
      <c r="H21" s="69"/>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8"/>
      <c r="G22" s="75"/>
      <c r="H22" s="69"/>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8"/>
      <c r="G23" s="75"/>
      <c r="H23" s="69"/>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8"/>
      <c r="G24" s="75"/>
      <c r="H24" s="69"/>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8"/>
      <c r="G25" s="75"/>
      <c r="H25" s="69"/>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8"/>
      <c r="G26" s="75"/>
      <c r="H26" s="69"/>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8"/>
      <c r="G27" s="75"/>
      <c r="H27" s="69"/>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8"/>
      <c r="G28" s="75"/>
      <c r="H28" s="69"/>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8"/>
      <c r="G29" s="75"/>
      <c r="H29" s="69"/>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8"/>
      <c r="G30" s="75"/>
      <c r="H30" s="69"/>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8"/>
      <c r="G31" s="75"/>
      <c r="H31" s="69"/>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8"/>
      <c r="G32" s="75"/>
      <c r="H32" s="69"/>
      <c r="K32" s="69"/>
      <c r="L32" s="69"/>
      <c r="M32" s="67"/>
      <c r="N32" s="67"/>
      <c r="P32" s="9">
        <v>18</v>
      </c>
      <c r="Q32" s="9">
        <f t="shared" si="6"/>
        <v>2</v>
      </c>
      <c r="R32" s="9">
        <f t="shared" si="7"/>
        <v>6</v>
      </c>
      <c r="S32" s="14" t="str" cm="1">
        <f t="array" ref="S32">INDEX('Payer-ConceptMap-3'!$I$15:$N$267,Q32+1,R32)</f>
        <v/>
      </c>
    </row>
    <row r="33" spans="1:19" x14ac:dyDescent="0.75">
      <c r="B33" s="9"/>
      <c r="C33" s="9"/>
      <c r="D33" s="14"/>
      <c r="E33" s="14"/>
      <c r="F33" s="68"/>
      <c r="G33" s="75"/>
      <c r="H33" s="69"/>
      <c r="K33" s="69"/>
      <c r="L33" s="69"/>
      <c r="M33" s="67"/>
      <c r="N33" s="67"/>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8"/>
      <c r="G34" s="90"/>
      <c r="H34" s="69"/>
      <c r="J34"/>
      <c r="K34" s="69"/>
      <c r="L34" s="69"/>
      <c r="M34" s="67"/>
      <c r="N34" s="67"/>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4"/>
      <c r="F35" s="69"/>
      <c r="G35" s="90"/>
      <c r="H35" s="69"/>
      <c r="J35"/>
      <c r="K35" s="69"/>
      <c r="L35" s="69"/>
      <c r="M35" s="67"/>
      <c r="N35" s="67"/>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9"/>
      <c r="G36" s="90"/>
      <c r="H36" s="69"/>
      <c r="J36"/>
      <c r="K36" s="69"/>
      <c r="L36" s="69"/>
      <c r="M36" s="67"/>
      <c r="N36" s="67"/>
      <c r="P36" s="9">
        <v>22</v>
      </c>
      <c r="Q36" s="9">
        <f t="shared" si="6"/>
        <v>3</v>
      </c>
      <c r="R36" s="9">
        <f t="shared" si="7"/>
        <v>4</v>
      </c>
      <c r="S36" s="14" t="str" cm="1">
        <f t="array" ref="S36">INDEX('Payer-ConceptMap-3'!$I$15:$N$267,Q36+1,R36)</f>
        <v>* group[=].element[=].target.display = ##34###34#</v>
      </c>
    </row>
    <row r="37" spans="1:19" s="1" customFormat="1" x14ac:dyDescent="0.75">
      <c r="A37"/>
      <c r="B37" s="9"/>
      <c r="C37" s="9"/>
      <c r="F37" s="69"/>
      <c r="G37" s="90"/>
      <c r="H37" s="69"/>
      <c r="J37" s="69"/>
      <c r="K37" s="69"/>
      <c r="L37" s="69"/>
      <c r="M37" s="67"/>
      <c r="N37" s="67"/>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9"/>
      <c r="G38" s="90"/>
      <c r="H38" s="69"/>
      <c r="J38" s="69"/>
      <c r="K38" s="69"/>
      <c r="L38" s="69"/>
      <c r="M38" s="67"/>
      <c r="N38" s="67"/>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9"/>
      <c r="G39" s="90"/>
      <c r="H39" s="69"/>
      <c r="J39" s="69"/>
      <c r="K39" s="69"/>
      <c r="L39" s="69"/>
      <c r="M39" s="67"/>
      <c r="N39" s="67"/>
      <c r="P39" s="9">
        <v>25</v>
      </c>
      <c r="Q39" s="9">
        <f t="shared" si="6"/>
        <v>4</v>
      </c>
      <c r="R39" s="9">
        <f t="shared" si="7"/>
        <v>1</v>
      </c>
      <c r="S39" s="14" cm="1">
        <f t="array" ref="S39">INDEX('Payer-ConceptMap-3'!$I$15:$N$267,Q39+1,R39)</f>
        <v>0</v>
      </c>
    </row>
    <row r="40" spans="1:19" s="1" customFormat="1" x14ac:dyDescent="0.75">
      <c r="A40"/>
      <c r="B40" s="9"/>
      <c r="C40" s="9"/>
      <c r="F40" s="69"/>
      <c r="G40" s="90"/>
      <c r="H40" s="69"/>
      <c r="J40" s="69"/>
      <c r="K40" s="69"/>
      <c r="L40" s="69"/>
      <c r="M40" s="69"/>
      <c r="N40" s="69"/>
      <c r="P40" s="9">
        <v>26</v>
      </c>
      <c r="Q40" s="9">
        <f t="shared" si="6"/>
        <v>4</v>
      </c>
      <c r="R40" s="9">
        <f t="shared" si="7"/>
        <v>2</v>
      </c>
      <c r="S40" s="14" cm="1">
        <f t="array" ref="S40">INDEX('Payer-ConceptMap-3'!$I$15:$N$267,Q40+1,R40)</f>
        <v>0</v>
      </c>
    </row>
    <row r="41" spans="1:19" s="1" customFormat="1" x14ac:dyDescent="0.75">
      <c r="A41"/>
      <c r="B41" s="9"/>
      <c r="C41"/>
      <c r="F41" s="69"/>
      <c r="G41" s="90"/>
      <c r="H41" s="69"/>
      <c r="J41" s="69"/>
      <c r="K41" s="69"/>
      <c r="L41" s="69"/>
      <c r="M41" s="69"/>
      <c r="N41" s="69"/>
      <c r="P41" s="9">
        <v>27</v>
      </c>
      <c r="Q41" s="9">
        <f t="shared" si="6"/>
        <v>4</v>
      </c>
      <c r="R41" s="9">
        <f t="shared" si="7"/>
        <v>3</v>
      </c>
      <c r="S41" s="14" cm="1">
        <f t="array" ref="S41">INDEX('Payer-ConceptMap-3'!$I$15:$N$267,Q41+1,R41)</f>
        <v>0</v>
      </c>
    </row>
    <row r="42" spans="1:19" s="1" customFormat="1" x14ac:dyDescent="0.75">
      <c r="A42"/>
      <c r="B42" s="9"/>
      <c r="C42"/>
      <c r="F42" s="69"/>
      <c r="G42" s="90"/>
      <c r="H42" s="69"/>
      <c r="J42" s="69"/>
      <c r="K42" s="69"/>
      <c r="L42" s="69"/>
      <c r="M42" s="69"/>
      <c r="N42" s="69"/>
      <c r="P42" s="9">
        <v>28</v>
      </c>
      <c r="Q42" s="9">
        <f t="shared" si="6"/>
        <v>4</v>
      </c>
      <c r="R42" s="9">
        <f t="shared" si="7"/>
        <v>4</v>
      </c>
      <c r="S42" s="14" cm="1">
        <f t="array" ref="S42">INDEX('Payer-ConceptMap-3'!$I$15:$N$267,Q42+1,R42)</f>
        <v>0</v>
      </c>
    </row>
    <row r="43" spans="1:19" s="1" customFormat="1" x14ac:dyDescent="0.75">
      <c r="A43"/>
      <c r="B43" s="9"/>
      <c r="C43"/>
      <c r="F43" s="69"/>
      <c r="G43" s="90"/>
      <c r="H43" s="69"/>
      <c r="J43" s="69"/>
      <c r="K43" s="69"/>
      <c r="L43" s="69"/>
      <c r="M43" s="69"/>
      <c r="N43" s="69"/>
      <c r="P43" s="9">
        <v>29</v>
      </c>
      <c r="Q43" s="9">
        <f t="shared" si="6"/>
        <v>4</v>
      </c>
      <c r="R43" s="9">
        <f t="shared" si="7"/>
        <v>5</v>
      </c>
      <c r="S43" s="14" cm="1">
        <f t="array" ref="S43">INDEX('Payer-ConceptMap-3'!$I$15:$N$267,Q43+1,R43)</f>
        <v>0</v>
      </c>
    </row>
    <row r="44" spans="1:19" s="1" customFormat="1" x14ac:dyDescent="0.75">
      <c r="A44"/>
      <c r="B44" s="9"/>
      <c r="C44"/>
      <c r="F44" s="69"/>
      <c r="G44" s="90"/>
      <c r="H44" s="69"/>
      <c r="J44" s="69"/>
      <c r="K44" s="69"/>
      <c r="L44" s="69"/>
      <c r="M44" s="69"/>
      <c r="N44" s="69"/>
      <c r="P44" s="9">
        <v>30</v>
      </c>
      <c r="Q44" s="9">
        <f t="shared" si="6"/>
        <v>4</v>
      </c>
      <c r="R44" s="9">
        <f t="shared" si="7"/>
        <v>6</v>
      </c>
      <c r="S44" s="14" cm="1">
        <f t="array" ref="S44">INDEX('Payer-ConceptMap-3'!$I$15:$N$267,Q44+1,R44)</f>
        <v>0</v>
      </c>
    </row>
    <row r="45" spans="1:19" s="1" customFormat="1" x14ac:dyDescent="0.75">
      <c r="A45"/>
      <c r="B45" s="9"/>
      <c r="C45"/>
      <c r="F45" s="69"/>
      <c r="G45" s="90"/>
      <c r="H45" s="69"/>
      <c r="J45" s="69"/>
      <c r="K45" s="69"/>
      <c r="L45" s="69"/>
      <c r="M45" s="69"/>
      <c r="N45" s="69"/>
      <c r="P45" s="9">
        <v>31</v>
      </c>
      <c r="Q45" s="9">
        <f t="shared" si="6"/>
        <v>5</v>
      </c>
      <c r="R45" s="9">
        <f t="shared" si="7"/>
        <v>1</v>
      </c>
      <c r="S45" s="14" cm="1">
        <f t="array" ref="S45">INDEX('Payer-ConceptMap-3'!$I$15:$N$267,Q45+1,R45)</f>
        <v>0</v>
      </c>
    </row>
    <row r="46" spans="1:19" x14ac:dyDescent="0.75">
      <c r="F46" s="69"/>
      <c r="G46" s="90"/>
      <c r="H46" s="69"/>
      <c r="J46" s="69"/>
      <c r="K46" s="69"/>
      <c r="L46" s="69"/>
      <c r="M46" s="69"/>
      <c r="N46" s="69"/>
      <c r="P46" s="9">
        <v>32</v>
      </c>
      <c r="Q46" s="9">
        <f t="shared" si="6"/>
        <v>5</v>
      </c>
      <c r="R46" s="9">
        <f t="shared" si="7"/>
        <v>2</v>
      </c>
      <c r="S46" s="14" cm="1">
        <f t="array" ref="S46">INDEX('Payer-ConceptMap-3'!$I$15:$N$267,Q46+1,R46)</f>
        <v>0</v>
      </c>
    </row>
    <row r="47" spans="1:19" x14ac:dyDescent="0.75">
      <c r="F47" s="69"/>
      <c r="G47" s="90"/>
      <c r="H47" s="69"/>
      <c r="J47" s="69"/>
      <c r="K47" s="69"/>
      <c r="L47" s="69"/>
      <c r="M47" s="69"/>
      <c r="N47" s="69"/>
      <c r="P47" s="9">
        <v>33</v>
      </c>
      <c r="Q47" s="9">
        <f t="shared" si="6"/>
        <v>5</v>
      </c>
      <c r="R47" s="9">
        <f t="shared" si="7"/>
        <v>3</v>
      </c>
      <c r="S47" s="14" cm="1">
        <f t="array" ref="S47">INDEX('Payer-ConceptMap-3'!$I$15:$N$267,Q47+1,R47)</f>
        <v>0</v>
      </c>
    </row>
    <row r="48" spans="1:19" x14ac:dyDescent="0.75">
      <c r="F48" s="69"/>
      <c r="G48" s="90"/>
      <c r="H48" s="69"/>
      <c r="J48" s="69"/>
      <c r="K48" s="69"/>
      <c r="L48" s="69"/>
      <c r="M48" s="69"/>
      <c r="N48" s="69"/>
      <c r="P48" s="9">
        <v>34</v>
      </c>
      <c r="Q48" s="9">
        <f t="shared" si="6"/>
        <v>5</v>
      </c>
      <c r="R48" s="9">
        <f t="shared" si="7"/>
        <v>4</v>
      </c>
      <c r="S48" s="14" cm="1">
        <f t="array" ref="S48">INDEX('Payer-ConceptMap-3'!$I$15:$N$267,Q48+1,R48)</f>
        <v>0</v>
      </c>
    </row>
    <row r="49" spans="5:19" x14ac:dyDescent="0.75">
      <c r="F49" s="69"/>
      <c r="G49" s="90"/>
      <c r="H49" s="69"/>
      <c r="J49" s="69"/>
      <c r="K49" s="69"/>
      <c r="L49" s="69"/>
      <c r="M49" s="69"/>
      <c r="N49" s="69"/>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401</v>
      </c>
      <c r="G2" s="50" t="s">
        <v>433</v>
      </c>
    </row>
    <row r="3" spans="2:7" x14ac:dyDescent="0.75">
      <c r="B3" s="32" t="s">
        <v>37</v>
      </c>
    </row>
    <row r="4" spans="2:7" x14ac:dyDescent="0.75">
      <c r="B4" s="70" t="str">
        <f>"Instance: "&amp;'Payer-ConceptMap-1'!C4</f>
        <v>Instance: payer2FHIR-eu-ps</v>
      </c>
    </row>
    <row r="5" spans="2:7" x14ac:dyDescent="0.75">
      <c r="B5" s="70" t="s">
        <v>402</v>
      </c>
    </row>
    <row r="6" spans="2:7" x14ac:dyDescent="0.75">
      <c r="B6" s="70" t="s">
        <v>403</v>
      </c>
    </row>
    <row r="7" spans="2:7" x14ac:dyDescent="0.75">
      <c r="B7" s="70" t="s">
        <v>409</v>
      </c>
    </row>
    <row r="8" spans="2:7" x14ac:dyDescent="0.75">
      <c r="B8" s="70" t="str">
        <f>"* name = ##34#"&amp;'Payer-ConceptMap-1'!C3&amp;"##34#"</f>
        <v>* name = ##34#Payer2Fhir##34#</v>
      </c>
    </row>
    <row r="9" spans="2:7" x14ac:dyDescent="0.75">
      <c r="B9" s="70" t="str">
        <f>"* title = ##34#"&amp;'Payer-ConceptMap-1'!C5&amp;"##34#"</f>
        <v>* title = ##34#eHN Payer to this guide Map##34#</v>
      </c>
    </row>
    <row r="10" spans="2:7" x14ac:dyDescent="0.75">
      <c r="B10" s="70" t="s">
        <v>404</v>
      </c>
    </row>
    <row r="11" spans="2:7" x14ac:dyDescent="0.75">
      <c r="B11" s="70" t="s">
        <v>405</v>
      </c>
    </row>
    <row r="12" spans="2:7" x14ac:dyDescent="0.75">
      <c r="B12" s="70" t="str">
        <f>"* description = ##34#"&amp;'Payer-ConceptMap-1'!C8&amp;"##34#"</f>
        <v>* description = ##34#eHN Payer Model to this guide Map##34#</v>
      </c>
    </row>
    <row r="13" spans="2:7" x14ac:dyDescent="0.75">
      <c r="B13" s="70" t="str">
        <f>"* purpose = ##34#"&amp;'Payer-ConceptMap-1'!C9&amp;"##34#"</f>
        <v>* purpose = ##34#It shows how the Patient Summary Payer data set defined by the EU eHN guidelines is mapped into this guide##34#</v>
      </c>
    </row>
    <row r="14" spans="2:7" x14ac:dyDescent="0.75">
      <c r="B14" s="71" t="str">
        <f>"* sourceUri = ##34#"&amp;'Payer-ConceptMap-1'!E3&amp;"##34#"</f>
        <v>* sourceUri = ##34#http://hl7.eu/fhir/ig/xpandh/ps/StructureDefinition/Payer##34#</v>
      </c>
    </row>
    <row r="15" spans="2:7" x14ac:dyDescent="0.75">
      <c r="B15" s="71" t="str">
        <f>"* targetUri = ##34#"&amp;'Payer-ConceptMap-1'!E4&amp;"##34#"</f>
        <v>* targetUri = ##34#http://hl7.eu/fhir/ig/xpandh/ps/StructureDefinition/Bundle-eu-ps##34#</v>
      </c>
    </row>
    <row r="16" spans="2:7" x14ac:dyDescent="0.75">
      <c r="B16" s="70"/>
    </row>
    <row r="17" spans="2:7" x14ac:dyDescent="0.75">
      <c r="B17" s="72" t="str">
        <f>"* group[+].source = ##34#"&amp;'Payer-ConceptMap-1'!E6&amp;"##34#"</f>
        <v>* group[+].source = ##34#http://hl7.eu/fhir/ig/xpandh/ps/StructureDefinition/Payer##34#</v>
      </c>
    </row>
    <row r="18" spans="2:7" x14ac:dyDescent="0.75">
      <c r="B18" s="72" t="str">
        <f>"* group[=].target = ##34#"&amp;'Payer-ConceptMap-1'!E7&amp;"##34#"</f>
        <v>* group[=].target = ##34#http://hl7.eu/fhir/ig/xpandh/ps/StructureDefinition/ServiceRequest-eu-ps##34#</v>
      </c>
    </row>
    <row r="19" spans="2:7" x14ac:dyDescent="0.75">
      <c r="B19" s="74"/>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74"/>
    </row>
    <row r="50" spans="2:2" x14ac:dyDescent="0.75">
      <c r="B50" s="72" t="str">
        <f>"* group[+].source = ##34#"&amp;'Payer-ConceptMap-2'!E6&amp;"##34#"</f>
        <v>* group[+].source = ##34#http://hl7.eu/fhir/ig/xpandh/ps/StructureDefinition/Payer##34#</v>
      </c>
    </row>
    <row r="51" spans="2:2" x14ac:dyDescent="0.75">
      <c r="B51" s="72" t="str">
        <f>"* group[=].target = ##34#"&amp;'Payer-ConceptMap-2'!E7&amp;"##34#"</f>
        <v>* group[=].target = ##34#http://hl7.org/fhir/StructureDefinition/Coverage##34#</v>
      </c>
    </row>
    <row r="52" spans="2:2" x14ac:dyDescent="0.75">
      <c r="B52" s="74"/>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9"/>
    </row>
    <row r="99" spans="2:4" x14ac:dyDescent="0.75">
      <c r="B99" s="14"/>
    </row>
    <row r="100" spans="2:4" x14ac:dyDescent="0.75">
      <c r="B100" s="74"/>
    </row>
    <row r="101" spans="2:4" x14ac:dyDescent="0.75">
      <c r="B101" s="72" t="str">
        <f>"* group[+].source = ##34#"&amp;'Payer-ConceptMap-3'!E6&amp;"##34#"</f>
        <v>* group[+].source = ##34#http://hl7.eu/fhir/ig/xpandh/ps/StructureDefinition/Payer##34#</v>
      </c>
    </row>
    <row r="102" spans="2:4" x14ac:dyDescent="0.75">
      <c r="B102" s="72" t="str">
        <f>"* group[=].target = ##34#"&amp;'Payer-ConceptMap-3'!E7&amp;"##34#"</f>
        <v>* group[=].target = ##34#http://hl7.eu/fhir/ig/xpandh/ps/StructureDefinition/Patient-eu-ps##34#</v>
      </c>
    </row>
    <row r="103" spans="2:4" x14ac:dyDescent="0.75">
      <c r="B103" s="74"/>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1209</v>
      </c>
      <c r="I4" s="24" t="str">
        <f>CONCATENATE("Logical: ",B4)</f>
        <v>Logical: AllergyPsEhn</v>
      </c>
    </row>
    <row r="5" spans="1:11" x14ac:dyDescent="0.75">
      <c r="A5" s="17" t="s">
        <v>19</v>
      </c>
      <c r="B5" s="33" t="s">
        <v>881</v>
      </c>
      <c r="I5" s="24" t="str">
        <f>CONCATENATE("Id: ",B5)</f>
        <v>Id: Allergy</v>
      </c>
    </row>
    <row r="6" spans="1:11" x14ac:dyDescent="0.75">
      <c r="A6" s="17" t="s">
        <v>13</v>
      </c>
      <c r="B6" s="18" t="str">
        <f>PS!C23</f>
        <v>A.2.1.1 Allergy</v>
      </c>
      <c r="I6" s="25" t="str">
        <f>CONCATENATE("Title: ##34#",B6,"##34#")</f>
        <v>Title: ##34#A.2.1.1 Allergy##34#</v>
      </c>
    </row>
    <row r="7" spans="1:11" ht="59" x14ac:dyDescent="0.75">
      <c r="A7" s="45" t="s">
        <v>5</v>
      </c>
      <c r="B7" s="52" t="str">
        <f>PS!D23</f>
        <v>A.2.1.1 - Allergy</v>
      </c>
      <c r="C7" s="12"/>
      <c r="D7" s="2"/>
      <c r="E7" s="51"/>
      <c r="F7" s="3" t="s">
        <v>9</v>
      </c>
      <c r="G7" s="3" t="s">
        <v>10</v>
      </c>
      <c r="I7" s="25" t="str">
        <f>CONCATENATE("Description: "," ##334#",B7,"##334#",)</f>
        <v>Description:  ##334#A.2.1.1 - Allergy##334#</v>
      </c>
    </row>
    <row r="8" spans="1:11" ht="74.5" customHeight="1" x14ac:dyDescent="0.75">
      <c r="A8" s="9">
        <v>1</v>
      </c>
      <c r="B8" s="9" t="s">
        <v>410</v>
      </c>
      <c r="C8" s="9" t="s">
        <v>1241</v>
      </c>
      <c r="D8" s="14" t="s">
        <v>1252</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461</v>
      </c>
      <c r="C9" s="9" t="s">
        <v>1242</v>
      </c>
      <c r="D9" s="14" t="s">
        <v>1253</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1203</v>
      </c>
      <c r="C10" s="9" t="s">
        <v>1243</v>
      </c>
      <c r="D10" s="14" t="s">
        <v>1251</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1204</v>
      </c>
      <c r="C11" s="9" t="s">
        <v>1244</v>
      </c>
      <c r="D11" s="14" t="s">
        <v>1254</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1205</v>
      </c>
      <c r="C12" s="9" t="s">
        <v>1245</v>
      </c>
      <c r="D12" s="14" t="s">
        <v>1255</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1206</v>
      </c>
      <c r="C13" s="9" t="s">
        <v>1246</v>
      </c>
      <c r="D13" s="14" t="s">
        <v>1256</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1207</v>
      </c>
      <c r="C14" s="9" t="s">
        <v>1247</v>
      </c>
      <c r="D14" s="14" t="s">
        <v>1257</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408</v>
      </c>
      <c r="C15" s="9" t="s">
        <v>1248</v>
      </c>
      <c r="D15" s="14" t="s">
        <v>1258</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1201</v>
      </c>
      <c r="C16" s="9" t="s">
        <v>1249</v>
      </c>
      <c r="D16" s="14" t="s">
        <v>1259</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1202</v>
      </c>
      <c r="C17" s="9" t="s">
        <v>1250</v>
      </c>
      <c r="D17" s="14" t="s">
        <v>1260</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25" t="s">
        <v>1334</v>
      </c>
      <c r="D25" s="126"/>
      <c r="E25" s="126"/>
      <c r="F25" s="127"/>
    </row>
    <row r="26" spans="1:9" ht="409.6" thickBot="1" x14ac:dyDescent="0.9">
      <c r="B26" t="str">
        <f t="shared" ref="B26:B28" si="1">CONCATENATE(C26," ",D26)</f>
        <v>A.1.4.1 Recipient identifier</v>
      </c>
      <c r="C26" s="35" t="s">
        <v>71</v>
      </c>
      <c r="D26" s="36" t="s">
        <v>72</v>
      </c>
      <c r="E26" s="36" t="s">
        <v>323</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324</v>
      </c>
      <c r="E28" s="36" t="s">
        <v>77</v>
      </c>
      <c r="F28" s="41"/>
      <c r="I28" s="1" t="str">
        <f t="shared" si="2"/>
        <v xml:space="preserve">The healthcare provider organization information. - Preferred system(s): </v>
      </c>
    </row>
    <row r="29" spans="1:9" ht="409.6" thickBot="1" x14ac:dyDescent="0.9">
      <c r="C29" s="35" t="s">
        <v>538</v>
      </c>
      <c r="D29" s="1" t="s">
        <v>57</v>
      </c>
      <c r="E29" s="1" t="s">
        <v>542</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539</v>
      </c>
      <c r="D30" t="s">
        <v>541</v>
      </c>
      <c r="E30" s="1" t="s">
        <v>543</v>
      </c>
      <c r="F30" t="s">
        <v>544</v>
      </c>
      <c r="H30" t="str">
        <f t="shared" ref="H30:H31" si="3">C30&amp;" "&amp;D30</f>
        <v>A.1.4.5 Country</v>
      </c>
      <c r="I30" s="1" t="str">
        <f t="shared" si="2"/>
        <v>Country of the recipient. - Preferred system(s): ISO 3166</v>
      </c>
    </row>
    <row r="31" spans="1:9" ht="192.5" thickBot="1" x14ac:dyDescent="0.9">
      <c r="C31" s="35" t="s">
        <v>540</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50" t="s">
        <v>1210</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ht="29.5" x14ac:dyDescent="0.75">
      <c r="C7" s="24" t="str">
        <f>'A.2.1.1 Allergy'!I7</f>
        <v>Description:  ##334#A.2.1.1 - Allergy##334#</v>
      </c>
    </row>
    <row r="8" spans="3:7" ht="59"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198</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1211</v>
      </c>
      <c r="D3" s="66" t="s">
        <v>414</v>
      </c>
      <c r="E3" s="140" t="s">
        <v>1224</v>
      </c>
      <c r="F3" s="136"/>
      <c r="G3" s="136"/>
    </row>
    <row r="4" spans="1:19" x14ac:dyDescent="0.75">
      <c r="B4" s="66" t="s">
        <v>19</v>
      </c>
      <c r="C4" s="49" t="s">
        <v>1215</v>
      </c>
      <c r="D4" s="66" t="s">
        <v>415</v>
      </c>
      <c r="E4" s="77" t="s">
        <v>1216</v>
      </c>
    </row>
    <row r="5" spans="1:19" x14ac:dyDescent="0.75">
      <c r="B5" s="66" t="s">
        <v>13</v>
      </c>
      <c r="C5" s="10" t="s">
        <v>1212</v>
      </c>
      <c r="D5" s="66"/>
      <c r="E5" s="10"/>
    </row>
    <row r="6" spans="1:19" x14ac:dyDescent="0.75">
      <c r="B6" s="66" t="s">
        <v>35</v>
      </c>
      <c r="C6" s="65" t="s">
        <v>1224</v>
      </c>
      <c r="D6" s="66" t="s">
        <v>412</v>
      </c>
      <c r="E6" s="140" t="s">
        <v>1224</v>
      </c>
      <c r="F6" s="136"/>
      <c r="G6" s="136"/>
    </row>
    <row r="7" spans="1:19" x14ac:dyDescent="0.75">
      <c r="B7" s="66" t="s">
        <v>18</v>
      </c>
      <c r="C7" s="73" t="s">
        <v>849</v>
      </c>
      <c r="D7" s="66" t="s">
        <v>413</v>
      </c>
      <c r="E7" s="140" t="s">
        <v>1216</v>
      </c>
      <c r="F7" s="136"/>
      <c r="G7" s="136"/>
    </row>
    <row r="8" spans="1:19" ht="44.25" x14ac:dyDescent="0.75">
      <c r="B8" s="66" t="s">
        <v>410</v>
      </c>
      <c r="C8" s="10" t="s">
        <v>1213</v>
      </c>
      <c r="D8" s="66"/>
      <c r="E8"/>
      <c r="I8" s="14" t="s">
        <v>387</v>
      </c>
      <c r="J8" s="14" t="s">
        <v>388</v>
      </c>
      <c r="K8" s="14" t="s">
        <v>389</v>
      </c>
      <c r="L8" s="14" t="s">
        <v>390</v>
      </c>
      <c r="M8" s="9" t="s">
        <v>391</v>
      </c>
      <c r="P8" s="62" t="s">
        <v>392</v>
      </c>
      <c r="Q8" s="62">
        <v>6</v>
      </c>
    </row>
    <row r="9" spans="1:19" ht="29.5" x14ac:dyDescent="0.75">
      <c r="B9" s="66" t="s">
        <v>411</v>
      </c>
      <c r="C9" s="1" t="s">
        <v>1214</v>
      </c>
      <c r="D9" s="66"/>
      <c r="E9"/>
      <c r="I9" s="14"/>
      <c r="J9" s="9"/>
      <c r="K9" s="9"/>
      <c r="L9" s="9"/>
      <c r="M9" s="9"/>
    </row>
    <row r="10" spans="1:19" x14ac:dyDescent="0.75">
      <c r="B10" s="66"/>
      <c r="D10" s="66"/>
      <c r="E10"/>
      <c r="I10" s="14"/>
      <c r="J10" s="9"/>
      <c r="K10" s="9"/>
      <c r="L10" s="9"/>
      <c r="M10" s="9"/>
    </row>
    <row r="11" spans="1:19" x14ac:dyDescent="0.75">
      <c r="E11" s="10"/>
      <c r="I11" s="24" t="s">
        <v>393</v>
      </c>
      <c r="J11" s="63" t="s">
        <v>394</v>
      </c>
      <c r="K11" s="24" t="s">
        <v>395</v>
      </c>
      <c r="L11" s="63" t="s">
        <v>396</v>
      </c>
      <c r="M11" s="64" t="s">
        <v>397</v>
      </c>
      <c r="N11" s="67" t="s">
        <v>384</v>
      </c>
    </row>
    <row r="12" spans="1:19" x14ac:dyDescent="0.75">
      <c r="E12" s="65"/>
      <c r="I12" s="14"/>
      <c r="J12" s="9"/>
      <c r="K12" s="9"/>
      <c r="L12" s="9"/>
      <c r="M12" s="9"/>
    </row>
    <row r="13" spans="1:19" x14ac:dyDescent="0.75">
      <c r="D13" s="14"/>
      <c r="E13" s="9"/>
      <c r="F13" s="64" t="s">
        <v>397</v>
      </c>
      <c r="G13" s="89" t="s">
        <v>384</v>
      </c>
      <c r="H13" s="67"/>
      <c r="I13" s="14"/>
      <c r="J13" s="9"/>
      <c r="K13" s="64"/>
      <c r="L13" s="64"/>
      <c r="M13" s="64"/>
      <c r="N13" s="67"/>
    </row>
    <row r="14" spans="1:19" x14ac:dyDescent="0.75">
      <c r="A14" s="22"/>
      <c r="B14" s="8" t="str">
        <f>'A.2.1.1 Allergy'!B5</f>
        <v>Allergy</v>
      </c>
      <c r="C14" s="9"/>
      <c r="D14" t="s">
        <v>1239</v>
      </c>
      <c r="E14" s="9"/>
      <c r="F14" s="9"/>
      <c r="G14" s="14"/>
      <c r="I14" s="14"/>
      <c r="J14" s="9"/>
      <c r="K14" s="9"/>
      <c r="L14" s="9"/>
      <c r="M14" s="64"/>
      <c r="N14" s="67"/>
    </row>
    <row r="15" spans="1:19" ht="44.25" x14ac:dyDescent="0.75">
      <c r="A15" s="87"/>
      <c r="B15" s="9" t="str">
        <f>'A.2.1.1 Allergy'!B8</f>
        <v>description</v>
      </c>
      <c r="C15" s="9" t="str">
        <f>'A.2.1.1 Allergy'!C8</f>
        <v>A.2.1.1.1 Allergy description</v>
      </c>
      <c r="D15" s="14" t="s">
        <v>472</v>
      </c>
      <c r="E15" s="9"/>
      <c r="F15" s="68" t="s">
        <v>398</v>
      </c>
      <c r="G15" s="75"/>
      <c r="H15" s="69"/>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461</v>
      </c>
      <c r="E16" s="9"/>
      <c r="F16" s="68" t="s">
        <v>398</v>
      </c>
      <c r="G16" s="75"/>
      <c r="H16" s="69"/>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1230</v>
      </c>
      <c r="E17" s="9"/>
      <c r="F17" s="68" t="s">
        <v>399</v>
      </c>
      <c r="G17" s="75" t="s">
        <v>1232</v>
      </c>
      <c r="H17" s="69"/>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1231</v>
      </c>
      <c r="E18" s="9"/>
      <c r="F18" s="68" t="s">
        <v>398</v>
      </c>
      <c r="G18" s="75" t="s">
        <v>1233</v>
      </c>
      <c r="H18" s="69"/>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1234</v>
      </c>
      <c r="E19" s="9"/>
      <c r="F19" s="68" t="s">
        <v>398</v>
      </c>
      <c r="G19" s="75"/>
      <c r="H19" s="69"/>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1205</v>
      </c>
      <c r="E20" s="9"/>
      <c r="F20" s="68" t="s">
        <v>398</v>
      </c>
      <c r="G20" s="75"/>
      <c r="H20" s="69"/>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1236</v>
      </c>
      <c r="E21" s="9"/>
      <c r="F21" s="68" t="s">
        <v>398</v>
      </c>
      <c r="G21" s="75"/>
      <c r="H21" s="69"/>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1235</v>
      </c>
      <c r="E22" s="9"/>
      <c r="F22" s="68" t="s">
        <v>398</v>
      </c>
      <c r="G22" s="75"/>
      <c r="H22" s="69"/>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1237</v>
      </c>
      <c r="E23" s="9"/>
      <c r="F23" s="68" t="s">
        <v>398</v>
      </c>
      <c r="G23" s="75"/>
      <c r="H23" s="69"/>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1238</v>
      </c>
      <c r="E24" s="9"/>
      <c r="F24" s="68" t="s">
        <v>398</v>
      </c>
      <c r="G24" s="75"/>
      <c r="H24" s="69"/>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395</v>
      </c>
      <c r="E25" s="9"/>
      <c r="F25" s="68" t="s">
        <v>398</v>
      </c>
      <c r="G25" s="75"/>
      <c r="H25" s="69"/>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8"/>
      <c r="E26" s="9"/>
      <c r="F26" s="68"/>
      <c r="G26" s="75"/>
      <c r="H26" s="69"/>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8"/>
      <c r="G27" s="75"/>
      <c r="H27" s="69"/>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8"/>
      <c r="G28" s="75"/>
      <c r="H28" s="69"/>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8"/>
      <c r="G29" s="75"/>
      <c r="H29" s="69"/>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8"/>
      <c r="G30" s="91"/>
      <c r="H30" s="69"/>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8"/>
      <c r="G31" s="75"/>
      <c r="H31" s="69"/>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8"/>
      <c r="G32" s="75"/>
      <c r="H32" s="69"/>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8"/>
      <c r="G33" s="75"/>
      <c r="H33" s="69"/>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8"/>
      <c r="G34" s="75"/>
      <c r="H34" s="69"/>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8"/>
      <c r="G35" s="75"/>
      <c r="H35" s="69"/>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8"/>
      <c r="G36" s="75"/>
      <c r="H36" s="69"/>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8"/>
      <c r="G37" s="75"/>
      <c r="H37" s="69"/>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8"/>
      <c r="G38" s="75"/>
      <c r="H38" s="69"/>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8"/>
      <c r="G39" s="75"/>
      <c r="H39" s="69"/>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8"/>
      <c r="G40" s="75"/>
      <c r="H40" s="69"/>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8"/>
      <c r="G41" s="90"/>
      <c r="H41" s="69"/>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4"/>
      <c r="F42" s="69"/>
      <c r="G42" s="90"/>
      <c r="H42" s="69"/>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9"/>
      <c r="G43" s="90"/>
      <c r="H43" s="69"/>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9"/>
      <c r="G44" s="90"/>
      <c r="H44" s="69"/>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9"/>
      <c r="G45" s="90"/>
      <c r="H45" s="69"/>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9"/>
      <c r="G46" s="90"/>
      <c r="H46" s="69"/>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9"/>
      <c r="G47" s="90"/>
      <c r="H47" s="69"/>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9"/>
      <c r="G48" s="90"/>
      <c r="H48" s="69"/>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9"/>
      <c r="G49" s="90"/>
      <c r="H49" s="69"/>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9"/>
      <c r="G50" s="90"/>
      <c r="H50" s="69"/>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9"/>
      <c r="G51" s="90"/>
      <c r="H51" s="69"/>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9"/>
      <c r="G52" s="90"/>
      <c r="H52" s="69"/>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9"/>
      <c r="G53" s="90"/>
      <c r="H53" s="69"/>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9"/>
      <c r="G54" s="90"/>
      <c r="H54" s="69"/>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9"/>
      <c r="G55" s="90"/>
      <c r="H55" s="69"/>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9"/>
      <c r="G56" s="90"/>
      <c r="H56" s="69"/>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401</v>
      </c>
      <c r="G2" s="50" t="s">
        <v>1240</v>
      </c>
    </row>
    <row r="3" spans="2:7" x14ac:dyDescent="0.75">
      <c r="B3" s="32" t="s">
        <v>37</v>
      </c>
    </row>
    <row r="4" spans="2:7" x14ac:dyDescent="0.75">
      <c r="B4" s="70" t="str">
        <f>"Instance: "&amp;'Allergy-ConceptMap-1'!C4</f>
        <v>Instance: allergy2FHIR-eu-ps</v>
      </c>
    </row>
    <row r="5" spans="2:7" x14ac:dyDescent="0.75">
      <c r="B5" s="70" t="s">
        <v>402</v>
      </c>
    </row>
    <row r="6" spans="2:7" x14ac:dyDescent="0.75">
      <c r="B6" s="70" t="s">
        <v>403</v>
      </c>
    </row>
    <row r="7" spans="2:7" x14ac:dyDescent="0.75">
      <c r="B7" s="70" t="s">
        <v>409</v>
      </c>
    </row>
    <row r="8" spans="2:7" x14ac:dyDescent="0.75">
      <c r="B8" s="70" t="str">
        <f>"* name = ##34#"&amp;'Allergy-ConceptMap-1'!C3&amp;"##34#"</f>
        <v>* name = ##34#Allergy2FHIR##34#</v>
      </c>
    </row>
    <row r="9" spans="2:7" x14ac:dyDescent="0.75">
      <c r="B9" s="70" t="str">
        <f>"* title = ##34#"&amp;'Allergy-ConceptMap-1'!C5&amp;"##34#"</f>
        <v>* title = ##34#eHN Allergy to this guide Map##34#</v>
      </c>
    </row>
    <row r="10" spans="2:7" x14ac:dyDescent="0.75">
      <c r="B10" s="70" t="s">
        <v>404</v>
      </c>
    </row>
    <row r="11" spans="2:7" x14ac:dyDescent="0.75">
      <c r="B11" s="70" t="s">
        <v>405</v>
      </c>
    </row>
    <row r="12" spans="2:7" x14ac:dyDescent="0.75">
      <c r="B12" s="70" t="str">
        <f>"* description = ##34#"&amp;'Allergy-ConceptMap-1'!C8&amp;"##34#"</f>
        <v>* description = ##34#eHN Allergy Model to this guide Map##34#</v>
      </c>
    </row>
    <row r="13" spans="2:7" x14ac:dyDescent="0.75">
      <c r="B13" s="70" t="str">
        <f>"* purpose = ##34#"&amp;'Allergy-ConceptMap-1'!C9&amp;"##34#"</f>
        <v>* purpose = ##34#It shows how the Patient Summary Allergy data set defined by the EU eHN guidelines is mapped into this guide##34#</v>
      </c>
    </row>
    <row r="14" spans="2:7" x14ac:dyDescent="0.75">
      <c r="B14" s="71" t="str">
        <f>"* sourceUri = ##34#"&amp;'Allergy-ConceptMap-1'!E3&amp;"##34#"</f>
        <v>* sourceUri = ##34#http://hl7.eu/fhir/ig/xpandh/ps/StructureDefinition/Allergy##34#</v>
      </c>
    </row>
    <row r="15" spans="2:7" x14ac:dyDescent="0.75">
      <c r="B15" s="71" t="str">
        <f>"* targetUri = ##34#"&amp;'Allergy-ConceptMap-1'!E4&amp;"##34#"</f>
        <v>* targetUri = ##34#http://hl7.eu/fhir/ig/xpandh/ps/StructureDefinition/AllergyIntolerance-ps-eu-xpandh##34#</v>
      </c>
    </row>
    <row r="16" spans="2:7" x14ac:dyDescent="0.75">
      <c r="B16" s="70"/>
    </row>
    <row r="17" spans="2:7" x14ac:dyDescent="0.75">
      <c r="B17" s="72" t="str">
        <f>"* group[+].source = ##34#"&amp;'Allergy-ConceptMap-1'!E6&amp;"##34#"</f>
        <v>* group[+].source = ##34#http://hl7.eu/fhir/ig/xpandh/ps/StructureDefinition/Allergy##34#</v>
      </c>
    </row>
    <row r="18" spans="2:7" x14ac:dyDescent="0.75">
      <c r="B18" s="72" t="str">
        <f>"* group[=].target = ##34#"&amp;'Allergy-ConceptMap-1'!E7&amp;"##34#"</f>
        <v>* group[=].target = ##34#http://hl7.eu/fhir/ig/xpandh/ps/StructureDefinition/AllergyIntolerance-ps-eu-xpandh##34#</v>
      </c>
    </row>
    <row r="19" spans="2:7" x14ac:dyDescent="0.75">
      <c r="B19" s="74"/>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9"/>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70"/>
    </row>
    <row r="129" spans="2:2" x14ac:dyDescent="0.75">
      <c r="B129" s="72"/>
    </row>
    <row r="130" spans="2:2" x14ac:dyDescent="0.75">
      <c r="B130" s="72"/>
    </row>
    <row r="131" spans="2:2" x14ac:dyDescent="0.75">
      <c r="B131" s="7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685</v>
      </c>
      <c r="I4" s="24" t="str">
        <f>CONCATENATE("Logical: ",B4)</f>
        <v>Logical: AuthorPsEhn</v>
      </c>
    </row>
    <row r="5" spans="1:11" x14ac:dyDescent="0.75">
      <c r="A5" s="17" t="s">
        <v>19</v>
      </c>
      <c r="B5" s="33" t="s">
        <v>248</v>
      </c>
      <c r="I5" s="24" t="str">
        <f>CONCATENATE("Id: ",B5)</f>
        <v>Id: Author</v>
      </c>
    </row>
    <row r="6" spans="1:11" x14ac:dyDescent="0.75">
      <c r="A6" s="17" t="s">
        <v>13</v>
      </c>
      <c r="B6" s="18" t="s">
        <v>553</v>
      </c>
      <c r="I6" s="25" t="str">
        <f>CONCATENATE("Title: ##34#",B6,"##34#")</f>
        <v>Title: ##34#A.1.5 - Author##34#</v>
      </c>
    </row>
    <row r="7" spans="1:11" ht="45" customHeight="1" x14ac:dyDescent="0.75">
      <c r="A7" s="45" t="s">
        <v>5</v>
      </c>
      <c r="B7" s="52" t="s">
        <v>548</v>
      </c>
      <c r="C7" s="12"/>
      <c r="D7" s="2"/>
      <c r="E7" s="51"/>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221</v>
      </c>
      <c r="C8" s="9" t="s">
        <v>243</v>
      </c>
      <c r="D8" s="14" t="s">
        <v>326</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222</v>
      </c>
      <c r="C9" s="9" t="s">
        <v>244</v>
      </c>
      <c r="D9" s="14" t="s">
        <v>245</v>
      </c>
      <c r="E9" s="9">
        <v>0</v>
      </c>
      <c r="F9" s="9" t="s">
        <v>11</v>
      </c>
      <c r="G9" s="9" t="s">
        <v>251</v>
      </c>
      <c r="H9" s="22"/>
      <c r="I9" s="14" t="str">
        <f t="shared" ref="I9:I14" si="0">CONCATENATE("* ",B9, " ",E9,"..",F9," ",G9," ##34#",C9,"##34# ##334#",D9,"##334#")</f>
        <v>* name 0..* HumanName ##34#A.1.5.2 Author name##34# ##334#Person or device name. - Preferred system(s): ##334#</v>
      </c>
    </row>
    <row r="10" spans="1:11" ht="30.25" customHeight="1" x14ac:dyDescent="0.75">
      <c r="A10" s="9">
        <v>3</v>
      </c>
      <c r="B10" s="9" t="s">
        <v>223</v>
      </c>
      <c r="C10" s="9" t="s">
        <v>325</v>
      </c>
      <c r="D10" s="14" t="s">
        <v>235</v>
      </c>
      <c r="E10" s="9">
        <v>0</v>
      </c>
      <c r="F10" s="9" t="s">
        <v>11</v>
      </c>
      <c r="G10" s="9" t="s">
        <v>224</v>
      </c>
      <c r="H10" s="22"/>
      <c r="I10" s="14" t="str">
        <f t="shared" si="0"/>
        <v>* organization 0..* Organization ##34#A.1.5.3 Author organization##34# ##334#The healthcare provider organization information. - Preferred system(s): ##334#</v>
      </c>
    </row>
    <row r="11" spans="1:11" ht="45" customHeight="1" x14ac:dyDescent="0.75">
      <c r="A11" s="53">
        <v>4</v>
      </c>
      <c r="B11" s="53"/>
      <c r="D11" s="54"/>
      <c r="E11" s="53"/>
      <c r="F11" s="53"/>
      <c r="G11" s="53"/>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5" t="s">
        <v>78</v>
      </c>
      <c r="D26" s="126"/>
      <c r="E26" s="126"/>
      <c r="F26" s="127"/>
    </row>
    <row r="27" spans="2:9" ht="409.6" thickBot="1" x14ac:dyDescent="0.9">
      <c r="B27" t="str">
        <f t="shared" ref="B27:B29" si="2">CONCATENATE(C27," ",D27)</f>
        <v>A.1.5.1 Author identifier</v>
      </c>
      <c r="C27" s="35" t="s">
        <v>79</v>
      </c>
      <c r="D27" s="36" t="s">
        <v>80</v>
      </c>
      <c r="E27" s="36" t="s">
        <v>327</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328</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249</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250</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352</v>
      </c>
      <c r="E9" s="4" t="str">
        <f>CONCATENATE("* -&gt; ##34#",C9,"##34#")</f>
        <v>* -&gt; ##34#Composition.author.resolve()##34#</v>
      </c>
      <c r="H9" s="10"/>
      <c r="I9" s="10"/>
      <c r="J9" s="10"/>
      <c r="K9" s="10"/>
      <c r="L9" s="10"/>
      <c r="M9" s="10"/>
      <c r="N9" s="10"/>
      <c r="O9" s="10"/>
    </row>
    <row r="10" spans="1:15" ht="44.25" x14ac:dyDescent="0.75">
      <c r="A10" s="9"/>
      <c r="B10" s="56" t="str">
        <f>'A1.5 Author'!$B$8</f>
        <v>identifier</v>
      </c>
      <c r="C10" s="9" t="s">
        <v>566</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6" t="str">
        <f>'A1.5 Author'!$B$8</f>
        <v>identifier</v>
      </c>
      <c r="C11" s="9" t="s">
        <v>567</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568</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569</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50" t="s">
        <v>733</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198</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7"/>
      <c r="G48" s="10"/>
    </row>
    <row r="49" spans="3:3" x14ac:dyDescent="0.75">
      <c r="C49" s="57"/>
    </row>
    <row r="50" spans="3:3" x14ac:dyDescent="0.75">
      <c r="C50" s="57"/>
    </row>
    <row r="51" spans="3:3" x14ac:dyDescent="0.75">
      <c r="C51" s="5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1158</v>
      </c>
      <c r="D3" s="66" t="s">
        <v>414</v>
      </c>
      <c r="E3" s="77" t="s">
        <v>1225</v>
      </c>
    </row>
    <row r="4" spans="1:19" x14ac:dyDescent="0.75">
      <c r="B4" s="66" t="s">
        <v>19</v>
      </c>
      <c r="C4" s="49" t="s">
        <v>825</v>
      </c>
      <c r="D4" s="66" t="s">
        <v>415</v>
      </c>
      <c r="E4" t="str">
        <f>'Author-ConceptMap-2-delete'!E4</f>
        <v>http://hl7.eu/fhir/ig/xpandh/ps/StructureDefinition/Bundle-eu-ps</v>
      </c>
    </row>
    <row r="5" spans="1:19" x14ac:dyDescent="0.75">
      <c r="B5" s="66" t="s">
        <v>13</v>
      </c>
      <c r="C5" s="10" t="s">
        <v>440</v>
      </c>
      <c r="D5" s="66"/>
      <c r="E5" s="10"/>
    </row>
    <row r="6" spans="1:19" x14ac:dyDescent="0.75">
      <c r="B6" s="66" t="s">
        <v>35</v>
      </c>
      <c r="C6" s="65"/>
      <c r="D6" s="66" t="s">
        <v>412</v>
      </c>
      <c r="E6" s="140" t="s">
        <v>1225</v>
      </c>
      <c r="F6" s="136"/>
      <c r="G6" s="136"/>
    </row>
    <row r="7" spans="1:19" x14ac:dyDescent="0.75">
      <c r="B7" s="66" t="s">
        <v>18</v>
      </c>
      <c r="C7" s="73"/>
      <c r="D7" s="66" t="s">
        <v>413</v>
      </c>
      <c r="E7" s="140" t="s">
        <v>1219</v>
      </c>
      <c r="F7" s="136"/>
      <c r="G7" s="136"/>
    </row>
    <row r="8" spans="1:19" ht="44.25" x14ac:dyDescent="0.75">
      <c r="B8" s="66" t="s">
        <v>410</v>
      </c>
      <c r="C8" s="10" t="s">
        <v>439</v>
      </c>
      <c r="D8" s="66"/>
      <c r="E8" s="10"/>
      <c r="I8" s="14" t="s">
        <v>387</v>
      </c>
      <c r="J8" s="14" t="s">
        <v>388</v>
      </c>
      <c r="K8" s="14" t="s">
        <v>389</v>
      </c>
      <c r="L8" s="14" t="s">
        <v>390</v>
      </c>
      <c r="M8" s="9" t="s">
        <v>391</v>
      </c>
      <c r="P8" s="62" t="s">
        <v>392</v>
      </c>
      <c r="Q8" s="62">
        <v>6</v>
      </c>
    </row>
    <row r="9" spans="1:19" ht="29.5" x14ac:dyDescent="0.75">
      <c r="B9" s="66" t="s">
        <v>411</v>
      </c>
      <c r="C9" s="1" t="s">
        <v>765</v>
      </c>
      <c r="D9" s="66"/>
      <c r="E9"/>
      <c r="I9" s="14"/>
      <c r="J9" s="9"/>
      <c r="K9" s="9"/>
      <c r="L9" s="9"/>
      <c r="M9" s="9"/>
    </row>
    <row r="10" spans="1:19" x14ac:dyDescent="0.75">
      <c r="B10" s="66"/>
      <c r="D10" s="66"/>
      <c r="E10"/>
      <c r="I10" s="14"/>
      <c r="J10" s="9"/>
      <c r="K10" s="9"/>
      <c r="L10" s="9"/>
      <c r="M10" s="9"/>
    </row>
    <row r="11" spans="1:19" x14ac:dyDescent="0.75">
      <c r="E11" s="10"/>
      <c r="I11" s="24" t="s">
        <v>393</v>
      </c>
      <c r="J11" s="63" t="s">
        <v>394</v>
      </c>
      <c r="K11" s="24" t="s">
        <v>395</v>
      </c>
      <c r="L11" s="63" t="s">
        <v>396</v>
      </c>
      <c r="M11" s="64" t="s">
        <v>397</v>
      </c>
      <c r="N11" s="67" t="s">
        <v>384</v>
      </c>
    </row>
    <row r="12" spans="1:19" x14ac:dyDescent="0.75">
      <c r="E12" s="65"/>
      <c r="I12" s="14"/>
      <c r="J12" s="9"/>
      <c r="K12" s="9"/>
      <c r="L12" s="9"/>
      <c r="M12" s="9"/>
    </row>
    <row r="13" spans="1:19" x14ac:dyDescent="0.75">
      <c r="D13" s="14"/>
      <c r="E13" s="9"/>
      <c r="F13" s="64" t="s">
        <v>397</v>
      </c>
      <c r="G13" s="67" t="s">
        <v>384</v>
      </c>
      <c r="H13" s="67"/>
      <c r="I13" s="14"/>
      <c r="J13" s="9"/>
      <c r="K13" s="64"/>
      <c r="L13" s="64"/>
      <c r="M13" s="64"/>
      <c r="N13" s="67"/>
    </row>
    <row r="14" spans="1:19" x14ac:dyDescent="0.75">
      <c r="A14" s="22"/>
      <c r="B14" s="8" t="str">
        <f>'A1.5 Author'!B5</f>
        <v>Author</v>
      </c>
      <c r="C14" s="9"/>
      <c r="D14" s="14" t="s">
        <v>189</v>
      </c>
      <c r="E14" s="8"/>
      <c r="F14" s="68"/>
      <c r="G14" s="68"/>
      <c r="I14" s="14"/>
      <c r="J14" s="9"/>
      <c r="K14" s="9"/>
      <c r="L14" s="9"/>
      <c r="M14" s="64"/>
      <c r="N14" s="67"/>
    </row>
    <row r="15" spans="1:19" ht="44.25" customHeight="1" x14ac:dyDescent="0.75">
      <c r="A15" s="22"/>
      <c r="B15" s="9" t="str">
        <f>'A1.5 Author'!B8</f>
        <v>identifier</v>
      </c>
      <c r="C15" s="9" t="str">
        <f>'A1.5 Author'!C8</f>
        <v>A.1.5.1 Author identifier</v>
      </c>
      <c r="D15" s="14" t="s">
        <v>509</v>
      </c>
      <c r="E15" s="9"/>
      <c r="F15" s="68" t="s">
        <v>398</v>
      </c>
      <c r="G15" s="68"/>
      <c r="H15" s="69"/>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510</v>
      </c>
      <c r="E16" s="9"/>
      <c r="F16" s="68" t="s">
        <v>398</v>
      </c>
      <c r="G16" s="91" t="s">
        <v>589</v>
      </c>
      <c r="H16" s="69"/>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574</v>
      </c>
      <c r="E17" s="9"/>
      <c r="F17" s="68" t="s">
        <v>398</v>
      </c>
      <c r="G17" s="14" t="s">
        <v>590</v>
      </c>
      <c r="H17" s="69"/>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587</v>
      </c>
      <c r="E18" s="9"/>
      <c r="F18" s="68" t="s">
        <v>398</v>
      </c>
      <c r="G18" s="75" t="s">
        <v>608</v>
      </c>
      <c r="H18" s="69"/>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511</v>
      </c>
      <c r="E19" s="9"/>
      <c r="F19" s="68" t="s">
        <v>398</v>
      </c>
      <c r="G19" s="14" t="s">
        <v>591</v>
      </c>
      <c r="H19" s="69"/>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588</v>
      </c>
      <c r="E20" s="9"/>
      <c r="F20" s="68" t="s">
        <v>398</v>
      </c>
      <c r="G20" s="75" t="s">
        <v>608</v>
      </c>
      <c r="H20" s="69"/>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8"/>
      <c r="G21" s="68"/>
      <c r="H21" s="69"/>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8"/>
      <c r="G22" s="68"/>
      <c r="H22" s="69"/>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8"/>
      <c r="G23" s="68"/>
      <c r="H23" s="69"/>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8"/>
      <c r="G24" s="68"/>
      <c r="H24" s="69"/>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8"/>
      <c r="G25" s="68"/>
      <c r="H25" s="69"/>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8"/>
      <c r="G26" s="68"/>
      <c r="H26" s="69"/>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8"/>
      <c r="G27" s="68"/>
      <c r="H27" s="69"/>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8"/>
      <c r="G28" s="68"/>
      <c r="H28" s="69"/>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8"/>
      <c r="G29" s="68"/>
      <c r="H29" s="69"/>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8"/>
      <c r="G30" s="68"/>
      <c r="H30" s="69"/>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8"/>
      <c r="G31" s="68"/>
      <c r="H31" s="69"/>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8"/>
      <c r="G32" s="68"/>
      <c r="H32" s="69"/>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8"/>
      <c r="G33" s="68"/>
      <c r="H33" s="69"/>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8"/>
      <c r="G34" s="68"/>
      <c r="H34" s="69"/>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8"/>
      <c r="G35" s="68"/>
      <c r="H35" s="69"/>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8"/>
      <c r="G36" s="68"/>
      <c r="H36" s="69"/>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8"/>
      <c r="G37" s="68"/>
      <c r="H37" s="69"/>
      <c r="K37" s="69"/>
      <c r="L37" s="69"/>
      <c r="M37" s="67"/>
      <c r="N37" s="67"/>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8"/>
      <c r="G38" s="68"/>
      <c r="H38" s="69"/>
      <c r="K38" s="69"/>
      <c r="L38" s="69"/>
      <c r="M38" s="67"/>
      <c r="N38" s="67"/>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8"/>
      <c r="G39" s="69"/>
      <c r="H39" s="69"/>
      <c r="J39"/>
      <c r="K39" s="69"/>
      <c r="L39" s="69"/>
      <c r="M39" s="67"/>
      <c r="N39" s="67"/>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4"/>
      <c r="F40" s="69"/>
      <c r="G40" s="69"/>
      <c r="H40" s="69"/>
      <c r="J40"/>
      <c r="K40" s="69"/>
      <c r="L40" s="69"/>
      <c r="M40" s="67"/>
      <c r="N40" s="67"/>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1158</v>
      </c>
      <c r="D3" s="66" t="s">
        <v>414</v>
      </c>
      <c r="E3" s="77" t="s">
        <v>1225</v>
      </c>
    </row>
    <row r="4" spans="1:19" x14ac:dyDescent="0.75">
      <c r="B4" s="66" t="s">
        <v>19</v>
      </c>
      <c r="C4" s="49" t="s">
        <v>825</v>
      </c>
      <c r="D4" s="66" t="s">
        <v>415</v>
      </c>
      <c r="E4" s="140" t="s">
        <v>1218</v>
      </c>
      <c r="F4" s="136"/>
      <c r="G4" s="136"/>
    </row>
    <row r="5" spans="1:19" x14ac:dyDescent="0.75">
      <c r="B5" s="66" t="s">
        <v>13</v>
      </c>
      <c r="C5" s="10" t="s">
        <v>440</v>
      </c>
      <c r="D5" s="66"/>
      <c r="E5" s="10"/>
    </row>
    <row r="6" spans="1:19" x14ac:dyDescent="0.75">
      <c r="B6" s="66" t="s">
        <v>35</v>
      </c>
      <c r="C6" s="65"/>
      <c r="D6" s="66" t="s">
        <v>412</v>
      </c>
      <c r="E6" s="140" t="s">
        <v>1225</v>
      </c>
      <c r="F6" s="136"/>
      <c r="G6" s="136"/>
    </row>
    <row r="7" spans="1:19" x14ac:dyDescent="0.75">
      <c r="B7" s="66" t="s">
        <v>18</v>
      </c>
      <c r="C7" s="73"/>
      <c r="D7" s="66" t="s">
        <v>413</v>
      </c>
      <c r="E7" s="136" t="s">
        <v>1226</v>
      </c>
      <c r="F7" s="136"/>
      <c r="G7" s="136"/>
    </row>
    <row r="8" spans="1:19" ht="44.25" x14ac:dyDescent="0.75">
      <c r="B8" s="66" t="s">
        <v>410</v>
      </c>
      <c r="C8" s="10" t="s">
        <v>439</v>
      </c>
      <c r="D8" s="66"/>
      <c r="E8" s="10"/>
      <c r="I8" s="14" t="s">
        <v>387</v>
      </c>
      <c r="J8" s="14" t="s">
        <v>388</v>
      </c>
      <c r="K8" s="14" t="s">
        <v>389</v>
      </c>
      <c r="L8" s="14" t="s">
        <v>390</v>
      </c>
      <c r="M8" s="9" t="s">
        <v>391</v>
      </c>
      <c r="P8" s="62" t="s">
        <v>392</v>
      </c>
      <c r="Q8" s="62">
        <v>6</v>
      </c>
    </row>
    <row r="9" spans="1:19" ht="29.5" x14ac:dyDescent="0.75">
      <c r="B9" s="66" t="s">
        <v>411</v>
      </c>
      <c r="C9" s="1" t="s">
        <v>765</v>
      </c>
      <c r="D9" s="66"/>
      <c r="E9"/>
      <c r="I9" s="14"/>
      <c r="J9" s="9"/>
      <c r="K9" s="9"/>
      <c r="L9" s="9"/>
      <c r="M9" s="9"/>
    </row>
    <row r="10" spans="1:19" x14ac:dyDescent="0.75">
      <c r="B10" s="66"/>
      <c r="D10" s="66"/>
      <c r="E10"/>
      <c r="I10" s="14"/>
      <c r="J10" s="9"/>
      <c r="K10" s="9"/>
      <c r="L10" s="9"/>
      <c r="M10" s="9"/>
    </row>
    <row r="11" spans="1:19" x14ac:dyDescent="0.75">
      <c r="E11" s="10"/>
      <c r="I11" s="24" t="s">
        <v>393</v>
      </c>
      <c r="J11" s="63" t="s">
        <v>394</v>
      </c>
      <c r="K11" s="24" t="s">
        <v>395</v>
      </c>
      <c r="L11" s="63" t="s">
        <v>396</v>
      </c>
      <c r="M11" s="64" t="s">
        <v>397</v>
      </c>
      <c r="N11" s="67" t="s">
        <v>384</v>
      </c>
    </row>
    <row r="12" spans="1:19" x14ac:dyDescent="0.75">
      <c r="E12" s="65"/>
      <c r="I12" s="14"/>
      <c r="J12" s="9"/>
      <c r="K12" s="9"/>
      <c r="L12" s="9"/>
      <c r="M12" s="9"/>
    </row>
    <row r="13" spans="1:19" x14ac:dyDescent="0.75">
      <c r="D13" s="14"/>
      <c r="E13" s="9"/>
      <c r="F13" s="64" t="s">
        <v>397</v>
      </c>
      <c r="G13" s="67" t="s">
        <v>384</v>
      </c>
      <c r="H13" s="67"/>
      <c r="I13" s="14"/>
      <c r="J13" s="9"/>
      <c r="K13" s="64"/>
      <c r="L13" s="64"/>
      <c r="M13" s="64"/>
      <c r="N13" s="67"/>
    </row>
    <row r="14" spans="1:19" x14ac:dyDescent="0.75">
      <c r="A14" s="22"/>
      <c r="B14" s="8" t="str">
        <f>'A1.5 Author'!B5</f>
        <v>Author</v>
      </c>
      <c r="C14" s="9"/>
      <c r="D14" s="4" t="s">
        <v>406</v>
      </c>
      <c r="E14" s="8"/>
      <c r="F14" s="68"/>
      <c r="G14" s="68"/>
      <c r="I14" s="14"/>
      <c r="J14" s="9"/>
      <c r="K14" s="9"/>
      <c r="L14" s="9"/>
      <c r="M14" s="64"/>
      <c r="N14" s="67"/>
    </row>
    <row r="15" spans="1:19" ht="44.25" customHeight="1" x14ac:dyDescent="0.75">
      <c r="A15" s="22"/>
      <c r="B15" s="9" t="str">
        <f>'A1.5 Author'!B8</f>
        <v>identifier</v>
      </c>
      <c r="C15" s="9" t="str">
        <f>'A1.5 Author'!C8</f>
        <v>A.1.5.1 Author identifier</v>
      </c>
      <c r="D15" s="14" t="s">
        <v>503</v>
      </c>
      <c r="E15" s="9"/>
      <c r="F15" s="68" t="s">
        <v>399</v>
      </c>
      <c r="G15" s="68" t="s">
        <v>422</v>
      </c>
      <c r="H15" s="69"/>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506</v>
      </c>
      <c r="E16" s="9"/>
      <c r="F16" s="68" t="s">
        <v>399</v>
      </c>
      <c r="G16" s="68" t="s">
        <v>443</v>
      </c>
      <c r="H16" s="69"/>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504</v>
      </c>
      <c r="E17" s="9"/>
      <c r="F17" s="68" t="s">
        <v>399</v>
      </c>
      <c r="G17" s="75" t="s">
        <v>592</v>
      </c>
      <c r="H17" s="69"/>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607</v>
      </c>
      <c r="E18" s="9"/>
      <c r="F18" s="68" t="s">
        <v>399</v>
      </c>
      <c r="G18" s="75" t="s">
        <v>593</v>
      </c>
      <c r="H18" s="69"/>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507</v>
      </c>
      <c r="E19" s="9"/>
      <c r="F19" s="68" t="s">
        <v>399</v>
      </c>
      <c r="G19" s="75" t="s">
        <v>594</v>
      </c>
      <c r="H19" s="69"/>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571</v>
      </c>
      <c r="E20" s="9"/>
      <c r="F20" s="68" t="s">
        <v>399</v>
      </c>
      <c r="G20" s="75" t="s">
        <v>595</v>
      </c>
      <c r="H20" s="69"/>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505</v>
      </c>
      <c r="E21" s="9"/>
      <c r="F21" s="68" t="s">
        <v>399</v>
      </c>
      <c r="G21" s="75" t="s">
        <v>593</v>
      </c>
      <c r="H21" s="69"/>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508</v>
      </c>
      <c r="E22" s="9"/>
      <c r="F22" s="68" t="s">
        <v>399</v>
      </c>
      <c r="G22" s="75" t="s">
        <v>595</v>
      </c>
      <c r="H22" s="69"/>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8"/>
      <c r="G23" s="68"/>
      <c r="H23" s="69"/>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8"/>
      <c r="G24" s="68"/>
      <c r="H24" s="69"/>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8"/>
      <c r="G25" s="68"/>
      <c r="H25" s="69"/>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8"/>
      <c r="G26" s="68"/>
      <c r="H26" s="69"/>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8"/>
      <c r="G27" s="68"/>
      <c r="H27" s="69"/>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8"/>
      <c r="G28" s="68"/>
      <c r="H28" s="69"/>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8"/>
      <c r="G29" s="68"/>
      <c r="H29" s="69"/>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8"/>
      <c r="G30" s="68"/>
      <c r="H30" s="69"/>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8"/>
      <c r="G31" s="68"/>
      <c r="H31" s="69"/>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8"/>
      <c r="G32" s="68"/>
      <c r="H32" s="69"/>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8"/>
      <c r="G33" s="68"/>
      <c r="H33" s="69"/>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8"/>
      <c r="G34" s="68"/>
      <c r="H34" s="69"/>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8"/>
      <c r="G35" s="68"/>
      <c r="H35" s="69"/>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8"/>
      <c r="G36" s="68"/>
      <c r="H36" s="69"/>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8"/>
      <c r="G37" s="68"/>
      <c r="H37" s="69"/>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8"/>
      <c r="G38" s="68"/>
      <c r="H38" s="69"/>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8"/>
      <c r="G39" s="68"/>
      <c r="H39" s="69"/>
      <c r="K39" s="69"/>
      <c r="L39" s="69"/>
      <c r="M39" s="67"/>
      <c r="N39" s="67"/>
      <c r="P39" s="9">
        <v>25</v>
      </c>
      <c r="Q39" s="9">
        <f t="shared" si="13"/>
        <v>4</v>
      </c>
      <c r="R39" s="9">
        <f t="shared" si="14"/>
        <v>1</v>
      </c>
      <c r="S39" s="14" t="str" cm="1">
        <f t="array" ref="S39">INDEX('Author-ConceptMap-2'!$I$15:$N$125,Q39+1,R39)</f>
        <v>* group[=].element[+].code = #Author.name</v>
      </c>
    </row>
    <row r="40" spans="1:19" x14ac:dyDescent="0.75">
      <c r="B40" s="9"/>
      <c r="C40" s="9"/>
      <c r="D40" s="14"/>
      <c r="E40" s="14"/>
      <c r="F40" s="68"/>
      <c r="G40" s="68"/>
      <c r="H40" s="69"/>
      <c r="K40" s="69"/>
      <c r="L40" s="69"/>
      <c r="M40" s="67"/>
      <c r="N40" s="67"/>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8"/>
      <c r="G41" s="69"/>
      <c r="H41" s="69"/>
      <c r="J41"/>
      <c r="K41" s="69"/>
      <c r="L41" s="69"/>
      <c r="M41" s="67"/>
      <c r="N41" s="67"/>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4"/>
      <c r="F42" s="69"/>
      <c r="G42" s="69"/>
      <c r="H42" s="69"/>
      <c r="J42"/>
      <c r="K42" s="69"/>
      <c r="L42" s="69"/>
      <c r="M42" s="67"/>
      <c r="N42" s="67"/>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9"/>
      <c r="G43" s="69"/>
      <c r="H43" s="69"/>
      <c r="J43"/>
      <c r="K43" s="69"/>
      <c r="L43" s="69"/>
      <c r="M43" s="67"/>
      <c r="N43" s="67"/>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9"/>
      <c r="G44" s="69"/>
      <c r="H44" s="69"/>
      <c r="J44" s="69"/>
      <c r="K44" s="69"/>
      <c r="L44" s="69"/>
      <c r="M44" s="67"/>
      <c r="N44" s="67"/>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9"/>
      <c r="G45" s="69"/>
      <c r="H45" s="69"/>
      <c r="J45" s="69"/>
      <c r="K45" s="69"/>
      <c r="L45" s="69"/>
      <c r="M45" s="67"/>
      <c r="N45" s="67"/>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437</v>
      </c>
      <c r="D3" s="66" t="s">
        <v>414</v>
      </c>
      <c r="E3" s="77" t="s">
        <v>1225</v>
      </c>
    </row>
    <row r="4" spans="1:19" x14ac:dyDescent="0.75">
      <c r="B4" s="66" t="s">
        <v>19</v>
      </c>
      <c r="C4" s="49" t="s">
        <v>438</v>
      </c>
      <c r="D4" s="66" t="s">
        <v>415</v>
      </c>
      <c r="E4" t="str">
        <f>'Author-ConceptMap-2'!E4</f>
        <v>http://hl7.eu/fhir/ig/xpandh/ps/StructureDefinition/Bundle-eu-ps</v>
      </c>
    </row>
    <row r="5" spans="1:19" x14ac:dyDescent="0.75">
      <c r="B5" s="66" t="s">
        <v>13</v>
      </c>
      <c r="C5" s="10" t="s">
        <v>440</v>
      </c>
      <c r="D5" s="66"/>
      <c r="E5" s="10"/>
    </row>
    <row r="6" spans="1:19" x14ac:dyDescent="0.75">
      <c r="B6" s="66" t="s">
        <v>35</v>
      </c>
      <c r="C6" s="65"/>
      <c r="D6" s="66" t="s">
        <v>412</v>
      </c>
      <c r="E6" s="140" t="s">
        <v>1225</v>
      </c>
      <c r="F6" s="136"/>
      <c r="G6" s="136"/>
    </row>
    <row r="7" spans="1:19" x14ac:dyDescent="0.75">
      <c r="B7" s="66" t="s">
        <v>18</v>
      </c>
      <c r="C7" s="73"/>
      <c r="D7" s="66" t="s">
        <v>413</v>
      </c>
      <c r="E7" s="136" t="s">
        <v>1226</v>
      </c>
      <c r="F7" s="136"/>
      <c r="G7" s="136"/>
    </row>
    <row r="8" spans="1:19" ht="44.25" x14ac:dyDescent="0.75">
      <c r="B8" s="66" t="s">
        <v>410</v>
      </c>
      <c r="C8" s="10" t="s">
        <v>439</v>
      </c>
      <c r="D8" s="66"/>
      <c r="E8" s="10"/>
      <c r="I8" s="14" t="s">
        <v>387</v>
      </c>
      <c r="J8" s="14" t="s">
        <v>388</v>
      </c>
      <c r="K8" s="14" t="s">
        <v>389</v>
      </c>
      <c r="L8" s="14" t="s">
        <v>390</v>
      </c>
      <c r="M8" s="9" t="s">
        <v>391</v>
      </c>
      <c r="P8" s="62" t="s">
        <v>392</v>
      </c>
      <c r="Q8" s="62">
        <v>6</v>
      </c>
    </row>
    <row r="9" spans="1:19" ht="29.5" x14ac:dyDescent="0.75">
      <c r="B9" s="66" t="s">
        <v>411</v>
      </c>
      <c r="C9" s="1" t="s">
        <v>765</v>
      </c>
      <c r="D9" s="66"/>
      <c r="E9"/>
      <c r="I9" s="14"/>
      <c r="J9" s="9"/>
      <c r="K9" s="9"/>
      <c r="L9" s="9"/>
      <c r="M9" s="9"/>
    </row>
    <row r="10" spans="1:19" x14ac:dyDescent="0.75">
      <c r="B10" s="66"/>
      <c r="D10" s="66"/>
      <c r="E10"/>
      <c r="I10" s="14"/>
      <c r="J10" s="9"/>
      <c r="K10" s="9"/>
      <c r="L10" s="9"/>
      <c r="M10" s="9"/>
    </row>
    <row r="11" spans="1:19" x14ac:dyDescent="0.75">
      <c r="E11" s="10"/>
      <c r="I11" s="24" t="s">
        <v>393</v>
      </c>
      <c r="J11" s="63" t="s">
        <v>394</v>
      </c>
      <c r="K11" s="24" t="s">
        <v>395</v>
      </c>
      <c r="L11" s="63" t="s">
        <v>396</v>
      </c>
      <c r="M11" s="64" t="s">
        <v>397</v>
      </c>
      <c r="N11" s="67" t="s">
        <v>384</v>
      </c>
    </row>
    <row r="12" spans="1:19" x14ac:dyDescent="0.75">
      <c r="E12" s="65"/>
      <c r="I12" s="14"/>
      <c r="J12" s="9"/>
      <c r="K12" s="9"/>
      <c r="L12" s="9"/>
      <c r="M12" s="9"/>
    </row>
    <row r="13" spans="1:19" x14ac:dyDescent="0.75">
      <c r="D13" s="14"/>
      <c r="E13" s="9"/>
      <c r="F13" s="64" t="s">
        <v>397</v>
      </c>
      <c r="G13" s="67" t="s">
        <v>384</v>
      </c>
      <c r="H13" s="67"/>
      <c r="I13" s="14"/>
      <c r="J13" s="9"/>
      <c r="K13" s="64"/>
      <c r="L13" s="64"/>
      <c r="M13" s="64"/>
      <c r="N13" s="67"/>
    </row>
    <row r="14" spans="1:19" x14ac:dyDescent="0.75">
      <c r="A14" s="22"/>
      <c r="B14" s="8" t="str">
        <f>'A1.5 Author'!B5</f>
        <v>Author</v>
      </c>
      <c r="C14" s="9"/>
      <c r="D14" s="4" t="s">
        <v>406</v>
      </c>
      <c r="E14" s="8"/>
      <c r="F14" s="68"/>
      <c r="G14" s="68"/>
      <c r="I14" s="14"/>
      <c r="J14" s="9"/>
      <c r="K14" s="9"/>
      <c r="L14" s="9"/>
      <c r="M14" s="64"/>
      <c r="N14" s="67"/>
    </row>
    <row r="15" spans="1:19" ht="59" x14ac:dyDescent="0.75">
      <c r="A15" s="22"/>
      <c r="B15" s="56" t="s">
        <v>416</v>
      </c>
      <c r="C15" s="56" t="s">
        <v>241</v>
      </c>
      <c r="D15" s="14" t="s">
        <v>482</v>
      </c>
      <c r="E15" s="56"/>
      <c r="F15" s="68" t="s">
        <v>399</v>
      </c>
      <c r="G15" s="68" t="s">
        <v>443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506</v>
      </c>
      <c r="E16" s="9"/>
      <c r="F16" s="68" t="s">
        <v>399</v>
      </c>
      <c r="G16" s="68" t="s">
        <v>443</v>
      </c>
      <c r="H16" s="69"/>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507</v>
      </c>
      <c r="E17" s="9"/>
      <c r="F17" s="68" t="s">
        <v>399</v>
      </c>
      <c r="G17" s="68" t="s">
        <v>570</v>
      </c>
      <c r="H17" s="69"/>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571</v>
      </c>
      <c r="E18" s="9"/>
      <c r="F18" s="68" t="s">
        <v>399</v>
      </c>
      <c r="G18" s="68" t="s">
        <v>572</v>
      </c>
      <c r="H18" s="69"/>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508</v>
      </c>
      <c r="E19" s="9"/>
      <c r="F19" s="68" t="s">
        <v>399</v>
      </c>
      <c r="G19" s="68" t="s">
        <v>573</v>
      </c>
      <c r="H19" s="69"/>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8"/>
      <c r="G20" s="68"/>
      <c r="H20" s="69"/>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8"/>
      <c r="G21" s="68"/>
      <c r="H21" s="69"/>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8"/>
      <c r="G22" s="68"/>
      <c r="H22" s="69"/>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8"/>
      <c r="G23" s="68"/>
      <c r="H23" s="69"/>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8"/>
      <c r="G24" s="68"/>
      <c r="H24" s="69"/>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8"/>
      <c r="G25" s="68"/>
      <c r="H25" s="69"/>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8"/>
      <c r="G26" s="68"/>
      <c r="H26" s="69"/>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8"/>
      <c r="G27" s="68"/>
      <c r="H27" s="69"/>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8"/>
      <c r="G28" s="68"/>
      <c r="H28" s="69"/>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8"/>
      <c r="G29" s="68"/>
      <c r="H29" s="69"/>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8"/>
      <c r="G30" s="68"/>
      <c r="H30" s="69"/>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8"/>
      <c r="G31" s="68"/>
      <c r="H31" s="69"/>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8"/>
      <c r="G32" s="68"/>
      <c r="H32" s="69"/>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8"/>
      <c r="G33" s="68"/>
      <c r="H33" s="69"/>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8"/>
      <c r="G34" s="68"/>
      <c r="H34" s="69"/>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8"/>
      <c r="G35" s="68"/>
      <c r="H35" s="69"/>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8"/>
      <c r="G36" s="68"/>
      <c r="H36" s="69"/>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8"/>
      <c r="G37" s="68"/>
      <c r="H37" s="69"/>
      <c r="K37" s="69"/>
      <c r="L37" s="69"/>
      <c r="M37" s="67"/>
      <c r="N37" s="67"/>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8"/>
      <c r="G38" s="68"/>
      <c r="H38" s="69"/>
      <c r="K38" s="69"/>
      <c r="L38" s="69"/>
      <c r="M38" s="67"/>
      <c r="N38" s="67"/>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8"/>
      <c r="G39" s="69"/>
      <c r="H39" s="69"/>
      <c r="J39"/>
      <c r="K39" s="69"/>
      <c r="L39" s="69"/>
      <c r="M39" s="67"/>
      <c r="N39" s="67"/>
      <c r="P39">
        <v>25</v>
      </c>
      <c r="Q39" s="9">
        <f t="shared" si="17"/>
        <v>4</v>
      </c>
      <c r="R39" s="9">
        <f t="shared" si="18"/>
        <v>1</v>
      </c>
      <c r="S39" s="14" cm="1">
        <f t="array" ref="S39">INDEX('Author-ConceptMap-2-delete'!$I$16:$N$121,Q39+1,R39)</f>
        <v>0</v>
      </c>
    </row>
    <row r="40" spans="1:19" s="1" customFormat="1" x14ac:dyDescent="0.75">
      <c r="A40"/>
      <c r="B40" s="9"/>
      <c r="C40" s="9"/>
      <c r="D40" s="54"/>
      <c r="F40" s="69"/>
      <c r="G40" s="69"/>
      <c r="H40" s="69"/>
      <c r="J40"/>
      <c r="K40" s="69"/>
      <c r="L40" s="69"/>
      <c r="M40" s="67"/>
      <c r="N40" s="67"/>
      <c r="P40" s="9">
        <v>26</v>
      </c>
      <c r="Q40" s="9">
        <f t="shared" si="17"/>
        <v>4</v>
      </c>
      <c r="R40" s="9">
        <f t="shared" si="18"/>
        <v>2</v>
      </c>
      <c r="S40" s="14" cm="1">
        <f t="array" ref="S40">INDEX('Author-ConceptMap-2-delete'!$I$16:$N$121,Q40+1,R40)</f>
        <v>0</v>
      </c>
    </row>
    <row r="41" spans="1:19" s="1" customFormat="1" x14ac:dyDescent="0.75">
      <c r="A41"/>
      <c r="B41" s="9"/>
      <c r="C41" s="9"/>
      <c r="F41" s="69"/>
      <c r="G41" s="69"/>
      <c r="H41" s="69"/>
      <c r="J41"/>
      <c r="K41" s="69"/>
      <c r="L41" s="69"/>
      <c r="M41" s="67"/>
      <c r="N41" s="67"/>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401</v>
      </c>
      <c r="G2" s="50" t="s">
        <v>441</v>
      </c>
    </row>
    <row r="3" spans="2:7" x14ac:dyDescent="0.75">
      <c r="B3" s="32" t="s">
        <v>37</v>
      </c>
    </row>
    <row r="4" spans="2:7" x14ac:dyDescent="0.75">
      <c r="B4" s="70" t="str">
        <f>"Instance: "&amp;'Author-ConceptMap-2'!C4</f>
        <v>Instance: author2FHIR-eu-ps</v>
      </c>
    </row>
    <row r="5" spans="2:7" x14ac:dyDescent="0.75">
      <c r="B5" s="70" t="s">
        <v>402</v>
      </c>
    </row>
    <row r="6" spans="2:7" x14ac:dyDescent="0.75">
      <c r="B6" s="70" t="s">
        <v>403</v>
      </c>
    </row>
    <row r="7" spans="2:7" x14ac:dyDescent="0.75">
      <c r="B7" s="70" t="s">
        <v>409</v>
      </c>
    </row>
    <row r="8" spans="2:7" x14ac:dyDescent="0.75">
      <c r="B8" s="70" t="str">
        <f>"* name = ##34#"&amp;'Author-ConceptMap-2'!C3&amp;"##34#"</f>
        <v>* name = ##34#PatientSummaryAuthor2FHIR##34#</v>
      </c>
    </row>
    <row r="9" spans="2:7" x14ac:dyDescent="0.75">
      <c r="B9" s="70" t="str">
        <f>"* title = ##34#"&amp;'Author-ConceptMap-2'!C5&amp;"##34#"</f>
        <v>* title = ##34#eHN Author to this guide Map##34#</v>
      </c>
    </row>
    <row r="10" spans="2:7" x14ac:dyDescent="0.75">
      <c r="B10" s="70" t="s">
        <v>404</v>
      </c>
    </row>
    <row r="11" spans="2:7" x14ac:dyDescent="0.75">
      <c r="B11" s="70" t="s">
        <v>405</v>
      </c>
    </row>
    <row r="12" spans="2:7" x14ac:dyDescent="0.75">
      <c r="B12" s="70" t="str">
        <f>"* description = ##34#"&amp;'Author-ConceptMap-2'!C8&amp;"##34#"</f>
        <v>* description = ##34#eHN Author Model to this guide Map##34#</v>
      </c>
    </row>
    <row r="13" spans="2:7" x14ac:dyDescent="0.75">
      <c r="B13" s="70" t="str">
        <f>"* purpose = ##34#"&amp;'Author-ConceptMap-2'!C9&amp;"##34#"</f>
        <v>* purpose = ##34#It shows how the Patient Summary Author data set defined by the EU eHN guidelines is mapped into this guide##34#</v>
      </c>
    </row>
    <row r="14" spans="2:7" x14ac:dyDescent="0.75">
      <c r="B14" s="71" t="str">
        <f>"* sourceUri = ##34#"&amp;'Author-ConceptMap-2'!E3&amp;"##34#"</f>
        <v>* sourceUri = ##34#http://hl7.eu/fhir/ig/xpandh/ps/StructureDefinition/Author##34#</v>
      </c>
    </row>
    <row r="15" spans="2:7" x14ac:dyDescent="0.75">
      <c r="B15" s="71" t="str">
        <f>"* targetUri = ##34#"&amp;'Author-ConceptMap-2'!E4&amp;"##34#"</f>
        <v>* targetUri = ##34#http://hl7.eu/fhir/ig/xpandh/ps/StructureDefinition/Bundle-eu-ps##34#</v>
      </c>
    </row>
    <row r="16" spans="2:7" x14ac:dyDescent="0.75">
      <c r="B16" s="70"/>
    </row>
    <row r="17" spans="2:2" x14ac:dyDescent="0.75">
      <c r="B17" s="70"/>
    </row>
    <row r="18" spans="2:2" x14ac:dyDescent="0.75">
      <c r="B18" s="72" t="str">
        <f>"* group[+].source = ##34#"&amp;'Author-ConceptMap-1'!E6&amp;"##34#"</f>
        <v>* group[+].source = ##34#http://hl7.eu/fhir/ig/xpandh/ps/StructureDefinition/Author##34#</v>
      </c>
    </row>
    <row r="19" spans="2:2" x14ac:dyDescent="0.75">
      <c r="B19" s="72" t="str">
        <f>"* group[=].target = ##34#"&amp;'Author-ConceptMap-1'!E7&amp;"##34#"</f>
        <v>* group[=].target = ##34#http://hl7.eu/fhir/ig/xpandh/ps/StructureDefinition/Composition-eu-ps##34#</v>
      </c>
    </row>
    <row r="20" spans="2:2" x14ac:dyDescent="0.75">
      <c r="B20" s="74"/>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2" t="str">
        <f>"* group[+].source = ##34#"&amp;'Author-ConceptMap-2'!E6&amp;"##34#"</f>
        <v>* group[+].source = ##34#http://hl7.eu/fhir/ig/xpandh/ps/StructureDefinition/Author##34#</v>
      </c>
    </row>
    <row r="64" spans="2:2" x14ac:dyDescent="0.75">
      <c r="B64" s="72" t="str">
        <f>"* group[=].target = ##34#"&amp;'Author-ConceptMap-2'!E7&amp;"##34#"</f>
        <v>* group[=].target = ##34#http://hl7.eu/fhir/ig/xpandh/ps/StructureDefinition/DiagnosticReport-eu-ps##34#</v>
      </c>
    </row>
    <row r="65" spans="2:7" x14ac:dyDescent="0.75">
      <c r="B65" s="74"/>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686</v>
      </c>
      <c r="I4" s="24" t="str">
        <f>CONCATENATE("Logical: ",B4)</f>
        <v>Logical: LegalAuthenticatorPsEhn</v>
      </c>
    </row>
    <row r="5" spans="1:11" x14ac:dyDescent="0.75">
      <c r="A5" s="17" t="s">
        <v>19</v>
      </c>
      <c r="B5" s="33" t="s">
        <v>242</v>
      </c>
      <c r="I5" s="24" t="str">
        <f>CONCATENATE("Id: ",B5)</f>
        <v>Id: LegalAuthenticator</v>
      </c>
    </row>
    <row r="6" spans="1:11" x14ac:dyDescent="0.75">
      <c r="A6" s="17" t="s">
        <v>13</v>
      </c>
      <c r="B6" s="18" t="s">
        <v>555</v>
      </c>
      <c r="I6" s="25" t="str">
        <f>CONCATENATE("Title: ##34#",B6,"##34#")</f>
        <v>Title: ##34#A.1.6 - Legal authenticator##34#</v>
      </c>
    </row>
    <row r="7" spans="1:11" ht="44.25" x14ac:dyDescent="0.75">
      <c r="A7" s="45" t="s">
        <v>5</v>
      </c>
      <c r="B7" s="52" t="s">
        <v>549</v>
      </c>
      <c r="C7" s="12"/>
      <c r="D7" s="2"/>
      <c r="E7" s="51"/>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221</v>
      </c>
      <c r="C8" s="9" t="s">
        <v>232</v>
      </c>
      <c r="D8" s="14" t="s">
        <v>330</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222</v>
      </c>
      <c r="C9" s="9" t="s">
        <v>233</v>
      </c>
      <c r="D9" s="14" t="s">
        <v>229</v>
      </c>
      <c r="E9" s="9">
        <v>0</v>
      </c>
      <c r="F9" s="9" t="s">
        <v>11</v>
      </c>
      <c r="G9" s="9" t="s">
        <v>251</v>
      </c>
      <c r="H9" s="22"/>
      <c r="I9" s="14" t="str">
        <f t="shared" ref="I9:I14" si="0">CONCATENATE("* ",B9, " ",E9,"..",F9," ",G9," ##34#",C9,"##34# ##334#",D9,"##334#")</f>
        <v>* name 0..* HumanName ##34#A.1.6.2 Legal authenticator name##34# ##334#Person name. - Preferred system(s): ##334#</v>
      </c>
    </row>
    <row r="10" spans="1:11" ht="30.25" customHeight="1" x14ac:dyDescent="0.75">
      <c r="A10" s="9">
        <v>3</v>
      </c>
      <c r="B10" s="9" t="s">
        <v>223</v>
      </c>
      <c r="C10" s="9" t="s">
        <v>329</v>
      </c>
      <c r="D10" s="14" t="s">
        <v>235</v>
      </c>
      <c r="E10" s="9">
        <v>0</v>
      </c>
      <c r="F10" s="9" t="s">
        <v>11</v>
      </c>
      <c r="G10" s="9" t="s">
        <v>224</v>
      </c>
      <c r="H10" s="22"/>
      <c r="I10" s="14" t="str">
        <f t="shared" si="0"/>
        <v>* organization 0..* Organization ##34#A.1.6.3 Legal authenticator organization##34# ##334#The healthcare provider organization information. - Preferred system(s): ##334#</v>
      </c>
    </row>
    <row r="11" spans="1:11" ht="45" customHeight="1" x14ac:dyDescent="0.75">
      <c r="A11" s="53">
        <v>4</v>
      </c>
      <c r="B11" s="53" t="s">
        <v>2</v>
      </c>
      <c r="C11" t="s">
        <v>234</v>
      </c>
      <c r="D11" s="54" t="s">
        <v>236</v>
      </c>
      <c r="E11" s="53">
        <v>0</v>
      </c>
      <c r="F11" s="53">
        <v>1</v>
      </c>
      <c r="G11" s="53"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5" t="s">
        <v>85</v>
      </c>
      <c r="D26" s="126"/>
      <c r="E26" s="126"/>
      <c r="F26" s="127"/>
    </row>
    <row r="27" spans="2:9" ht="384.75" customHeight="1" thickBot="1" x14ac:dyDescent="0.9">
      <c r="B27" t="str">
        <f t="shared" ref="B27:B30" si="2">CONCATENATE(C27," ",D27)</f>
        <v>A.1.6.1 Legal authenticator identifier</v>
      </c>
      <c r="C27" s="35" t="s">
        <v>86</v>
      </c>
      <c r="D27" s="38" t="s">
        <v>87</v>
      </c>
      <c r="E27" s="36" t="s">
        <v>331</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332</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237</v>
      </c>
      <c r="E4" s="27" t="str">
        <f>CONCATENATE("Mapping: ",C4)</f>
        <v>Mapping: eHNLabLegalAuthenticator2Fhir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238</v>
      </c>
      <c r="E6" s="28"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8" t="str">
        <f>CONCATENATE("Source: ",C7)</f>
        <v>Source: LegalAuthenticator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246</v>
      </c>
      <c r="E9" s="4" t="str">
        <f>CONCATENATE("* -&gt; ##34#",C9,"##34#")</f>
        <v>* -&gt; ##34#Composition.attester.where(mode=http://hl7.org/fhir/composition-attestation-mode#legal)##34#</v>
      </c>
      <c r="H9" s="10"/>
      <c r="I9" s="10"/>
      <c r="J9" s="10"/>
      <c r="K9" s="10"/>
      <c r="L9" s="10"/>
      <c r="M9" s="10"/>
      <c r="N9" s="10"/>
      <c r="O9" s="10"/>
    </row>
    <row r="10" spans="1:15" x14ac:dyDescent="0.75">
      <c r="A10" s="9"/>
      <c r="B10" s="56" t="str">
        <f>'A1.6 LegalAuth'!$B$8</f>
        <v>identifier</v>
      </c>
      <c r="C10" s="9" t="s">
        <v>575</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56" t="str">
        <f>'A1.6 LegalAuth'!$B$8</f>
        <v>identifier</v>
      </c>
      <c r="C11" s="9" t="s">
        <v>576</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577</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6" t="str">
        <f>'A1.6 LegalAuth'!$B$10</f>
        <v>organization</v>
      </c>
      <c r="C13" s="9" t="s">
        <v>578</v>
      </c>
      <c r="E13" s="14" t="str">
        <f t="shared" si="0"/>
        <v>* organization -&gt; ##34#.party.resolve().ofType(PractitionerRole).organization.resolve()##34#</v>
      </c>
      <c r="G13" s="1" t="s">
        <v>27</v>
      </c>
      <c r="H13" s="10"/>
      <c r="I13" s="10"/>
      <c r="J13" s="10"/>
      <c r="K13" s="10"/>
      <c r="L13" s="10"/>
      <c r="M13" s="10"/>
      <c r="N13" s="10"/>
      <c r="O13" s="10"/>
    </row>
    <row r="14" spans="1:15" x14ac:dyDescent="0.75">
      <c r="A14" s="9"/>
      <c r="B14" s="56" t="str">
        <f>'A1.6 LegalAuth'!$B$10</f>
        <v>organization</v>
      </c>
      <c r="C14" s="9" t="s">
        <v>353</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354</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row r="30" spans="1:15" x14ac:dyDescent="0.75">
      <c r="C30" s="9" t="s">
        <v>566</v>
      </c>
    </row>
    <row r="31" spans="1:15" x14ac:dyDescent="0.75">
      <c r="C31" s="9" t="s">
        <v>567</v>
      </c>
      <c r="E31" s="21"/>
    </row>
    <row r="32" spans="1:15" x14ac:dyDescent="0.75">
      <c r="C32" s="9" t="s">
        <v>568</v>
      </c>
    </row>
    <row r="33" spans="3:3" x14ac:dyDescent="0.75">
      <c r="C33" s="9" t="s">
        <v>569</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50" t="s">
        <v>734</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198</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str">
        <f>'LegalAuth-Map-1'!E1</f>
        <v>// -------------------------------------------------------------------------------</v>
      </c>
    </row>
    <row r="31" spans="3:3" x14ac:dyDescent="0.75">
      <c r="C31" s="32" t="str">
        <f>'LegalAuth-Map-1'!E2</f>
        <v>//  Map to FHIR R4</v>
      </c>
    </row>
    <row r="32" spans="3:3" x14ac:dyDescent="0.75">
      <c r="C32" s="32"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451</v>
      </c>
      <c r="D3" s="66" t="s">
        <v>414</v>
      </c>
      <c r="E3" s="140" t="str">
        <f>"http://hl7.eu/fhir/ig/xpandh/ps/StructureDefinition/"&amp;'A1.6 LegalAuth'!B5</f>
        <v>http://hl7.eu/fhir/ig/xpandh/ps/StructureDefinition/LegalAuthenticator</v>
      </c>
      <c r="F3" s="136"/>
      <c r="G3" s="136"/>
    </row>
    <row r="4" spans="1:19" x14ac:dyDescent="0.75">
      <c r="B4" s="66" t="s">
        <v>19</v>
      </c>
      <c r="C4" s="49" t="s">
        <v>826</v>
      </c>
      <c r="D4" s="66" t="s">
        <v>415</v>
      </c>
      <c r="E4" s="140" t="s">
        <v>1219</v>
      </c>
      <c r="F4" s="136"/>
      <c r="G4" s="136"/>
    </row>
    <row r="5" spans="1:19" x14ac:dyDescent="0.75">
      <c r="B5" s="66" t="s">
        <v>13</v>
      </c>
      <c r="C5" s="10" t="s">
        <v>436</v>
      </c>
      <c r="D5" s="66"/>
      <c r="E5" s="10"/>
    </row>
    <row r="6" spans="1:19" x14ac:dyDescent="0.75">
      <c r="B6" s="66" t="s">
        <v>35</v>
      </c>
      <c r="C6" s="65"/>
      <c r="D6" s="66" t="s">
        <v>412</v>
      </c>
      <c r="E6" s="140" t="str">
        <f>E3</f>
        <v>http://hl7.eu/fhir/ig/xpandh/ps/StructureDefinition/LegalAuthenticator</v>
      </c>
      <c r="F6" s="136"/>
      <c r="G6" s="136"/>
    </row>
    <row r="7" spans="1:19" x14ac:dyDescent="0.75">
      <c r="B7" s="66" t="s">
        <v>18</v>
      </c>
      <c r="C7" s="73"/>
      <c r="D7" s="66" t="s">
        <v>413</v>
      </c>
      <c r="E7" s="140" t="str">
        <f>E4</f>
        <v>http://hl7.eu/fhir/ig/xpandh/ps/StructureDefinition/Composition-eu-ps</v>
      </c>
      <c r="F7" s="136"/>
      <c r="G7" s="136"/>
    </row>
    <row r="8" spans="1:19" ht="44.25" x14ac:dyDescent="0.75">
      <c r="B8" s="66" t="s">
        <v>410</v>
      </c>
      <c r="C8" s="10" t="s">
        <v>444</v>
      </c>
      <c r="D8" s="66"/>
      <c r="E8"/>
      <c r="I8" s="14" t="s">
        <v>387</v>
      </c>
      <c r="J8" s="14" t="s">
        <v>388</v>
      </c>
      <c r="K8" s="14" t="s">
        <v>389</v>
      </c>
      <c r="L8" s="14" t="s">
        <v>390</v>
      </c>
      <c r="M8" s="9" t="s">
        <v>391</v>
      </c>
      <c r="P8" s="62" t="s">
        <v>392</v>
      </c>
      <c r="Q8" s="62">
        <v>6</v>
      </c>
    </row>
    <row r="9" spans="1:19" ht="29.5" x14ac:dyDescent="0.75">
      <c r="B9" s="66" t="s">
        <v>411</v>
      </c>
      <c r="C9" s="1" t="s">
        <v>445</v>
      </c>
      <c r="D9" s="66"/>
      <c r="E9"/>
      <c r="I9" s="14"/>
      <c r="J9" s="9"/>
      <c r="K9" s="9"/>
      <c r="L9" s="9"/>
      <c r="M9" s="9"/>
    </row>
    <row r="10" spans="1:19" x14ac:dyDescent="0.75">
      <c r="B10" s="66"/>
      <c r="D10" s="66"/>
      <c r="E10"/>
      <c r="I10" s="14"/>
      <c r="J10" s="9"/>
      <c r="K10" s="9"/>
      <c r="L10" s="9"/>
      <c r="M10" s="9"/>
    </row>
    <row r="11" spans="1:19" x14ac:dyDescent="0.75">
      <c r="E11" s="10"/>
      <c r="I11" s="24" t="s">
        <v>393</v>
      </c>
      <c r="J11" s="63" t="s">
        <v>394</v>
      </c>
      <c r="K11" s="24" t="s">
        <v>395</v>
      </c>
      <c r="L11" s="63" t="s">
        <v>396</v>
      </c>
      <c r="M11" s="64" t="s">
        <v>397</v>
      </c>
      <c r="N11" s="67" t="s">
        <v>384</v>
      </c>
    </row>
    <row r="12" spans="1:19" x14ac:dyDescent="0.75">
      <c r="E12" s="65"/>
      <c r="I12" s="14"/>
      <c r="J12" s="9"/>
      <c r="K12" s="9"/>
      <c r="L12" s="9"/>
      <c r="M12" s="9"/>
    </row>
    <row r="13" spans="1:19" x14ac:dyDescent="0.75">
      <c r="D13" s="14"/>
      <c r="E13" s="9"/>
      <c r="F13" s="64" t="s">
        <v>397</v>
      </c>
      <c r="G13" s="67" t="s">
        <v>384</v>
      </c>
      <c r="H13" s="67"/>
      <c r="I13" s="14"/>
      <c r="J13" s="9"/>
      <c r="K13" s="64"/>
      <c r="L13" s="64"/>
      <c r="M13" s="64"/>
      <c r="N13" s="67"/>
    </row>
    <row r="14" spans="1:19" x14ac:dyDescent="0.75">
      <c r="A14" s="22"/>
      <c r="B14" s="8" t="str">
        <f>'A1.6 LegalAuth'!B5</f>
        <v>LegalAuthenticator</v>
      </c>
      <c r="C14" s="9"/>
      <c r="D14" t="s">
        <v>189</v>
      </c>
      <c r="E14" s="8"/>
      <c r="F14" s="9"/>
      <c r="G14" t="s">
        <v>454</v>
      </c>
      <c r="I14" s="14"/>
      <c r="J14" s="9"/>
      <c r="K14" s="9"/>
      <c r="L14" s="9"/>
      <c r="M14" s="64"/>
      <c r="N14" s="67"/>
    </row>
    <row r="15" spans="1:19" ht="73.75" x14ac:dyDescent="0.75">
      <c r="A15" s="22"/>
      <c r="B15" s="9" t="str">
        <f>'A1.6 LegalAuth'!B8</f>
        <v>identifier</v>
      </c>
      <c r="C15" s="9" t="str">
        <f>'A1.6 LegalAuth'!C8</f>
        <v>A.1.6.1 Legal authenticator identifier</v>
      </c>
      <c r="D15" s="14" t="s">
        <v>512</v>
      </c>
      <c r="E15" s="9"/>
      <c r="F15" s="68" t="s">
        <v>398</v>
      </c>
      <c r="G15" t="s">
        <v>513</v>
      </c>
      <c r="H15" s="69"/>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514</v>
      </c>
      <c r="E16" s="9"/>
      <c r="F16" s="68" t="s">
        <v>398</v>
      </c>
      <c r="G16" s="14" t="s">
        <v>579</v>
      </c>
      <c r="H16" s="69"/>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580</v>
      </c>
      <c r="E17" s="9"/>
      <c r="F17" s="68" t="s">
        <v>398</v>
      </c>
      <c r="G17" s="14" t="s">
        <v>581</v>
      </c>
      <c r="H17" s="69"/>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515</v>
      </c>
      <c r="E18" s="9"/>
      <c r="F18" s="68" t="s">
        <v>398</v>
      </c>
      <c r="G18" s="14" t="s">
        <v>582</v>
      </c>
      <c r="H18" s="69"/>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516</v>
      </c>
      <c r="E19" s="9"/>
      <c r="F19" s="68" t="s">
        <v>398</v>
      </c>
      <c r="G19" s="14" t="s">
        <v>517</v>
      </c>
      <c r="H19" s="69"/>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8"/>
      <c r="G20" s="68"/>
      <c r="H20" s="69"/>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8"/>
      <c r="G21" s="68"/>
      <c r="H21" s="69"/>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8"/>
      <c r="G22" s="68"/>
      <c r="H22" s="69"/>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8"/>
      <c r="E23" s="9"/>
      <c r="F23" s="68"/>
      <c r="G23" s="68"/>
      <c r="H23" s="69"/>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8"/>
      <c r="G24" s="68"/>
      <c r="H24" s="69"/>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8"/>
      <c r="G25" s="68"/>
      <c r="H25" s="69"/>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8"/>
      <c r="G26" s="68"/>
      <c r="H26" s="69"/>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8"/>
      <c r="G27" s="68"/>
      <c r="H27" s="69"/>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8"/>
      <c r="G28" s="68"/>
      <c r="H28" s="69"/>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8"/>
      <c r="G29" s="68"/>
      <c r="H29" s="69"/>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8"/>
      <c r="G30" s="68"/>
      <c r="H30" s="69"/>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8"/>
      <c r="G31" s="68"/>
      <c r="H31" s="69"/>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8"/>
      <c r="G32" s="68"/>
      <c r="H32" s="69"/>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8"/>
      <c r="G33" s="68"/>
      <c r="H33" s="69"/>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8"/>
      <c r="G34" s="68"/>
      <c r="H34" s="69"/>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8"/>
      <c r="G35" s="68"/>
      <c r="H35" s="69"/>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8"/>
      <c r="G36" s="68"/>
      <c r="H36" s="69"/>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8"/>
      <c r="G37" s="68"/>
      <c r="H37" s="69"/>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8"/>
      <c r="G38" s="69"/>
      <c r="H38" s="69"/>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4"/>
      <c r="F39" s="69"/>
      <c r="G39" s="69"/>
      <c r="H39" s="69"/>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9"/>
      <c r="G40" s="69"/>
      <c r="H40" s="69"/>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9"/>
      <c r="G41" s="69"/>
      <c r="H41" s="69"/>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9"/>
      <c r="G42" s="69"/>
      <c r="H42" s="69"/>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9"/>
      <c r="G43" s="69"/>
      <c r="H43" s="69"/>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9"/>
      <c r="G44" s="69"/>
      <c r="H44" s="69"/>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9"/>
      <c r="G45" s="69"/>
      <c r="H45" s="69"/>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9"/>
      <c r="G46" s="69"/>
      <c r="H46" s="69"/>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401</v>
      </c>
      <c r="G2" s="50" t="s">
        <v>442</v>
      </c>
    </row>
    <row r="3" spans="2:7" x14ac:dyDescent="0.75">
      <c r="B3" s="32" t="s">
        <v>37</v>
      </c>
    </row>
    <row r="4" spans="2:7" x14ac:dyDescent="0.75">
      <c r="B4" s="70" t="str">
        <f>"Instance: "&amp;'LegalAuth-ConceptMap-1'!C4</f>
        <v>Instance: legalAuth2FHIR-eu-ps</v>
      </c>
    </row>
    <row r="5" spans="2:7" x14ac:dyDescent="0.75">
      <c r="B5" s="70" t="s">
        <v>402</v>
      </c>
    </row>
    <row r="6" spans="2:7" x14ac:dyDescent="0.75">
      <c r="B6" s="70" t="s">
        <v>403</v>
      </c>
    </row>
    <row r="7" spans="2:7" x14ac:dyDescent="0.75">
      <c r="B7" s="70" t="s">
        <v>409</v>
      </c>
    </row>
    <row r="8" spans="2:7" x14ac:dyDescent="0.75">
      <c r="B8" s="70" t="str">
        <f>"* name = ##34#"&amp;'LegalAuth-ConceptMap-1'!C3&amp;"##34#"</f>
        <v>* name = ##34#LegalAuth2Fhir##34#</v>
      </c>
    </row>
    <row r="9" spans="2:7" x14ac:dyDescent="0.75">
      <c r="B9" s="70" t="str">
        <f>"* title = ##34#"&amp;'LegalAuth-ConceptMap-1'!C5&amp;"##34#"</f>
        <v>* title = ##34#eHN Recipient to this guide Map##34#</v>
      </c>
    </row>
    <row r="10" spans="2:7" x14ac:dyDescent="0.75">
      <c r="B10" s="70" t="s">
        <v>404</v>
      </c>
    </row>
    <row r="11" spans="2:7" x14ac:dyDescent="0.75">
      <c r="B11" s="70" t="s">
        <v>405</v>
      </c>
    </row>
    <row r="12" spans="2:7" x14ac:dyDescent="0.75">
      <c r="B12" s="70" t="str">
        <f>"* description = ##34#"&amp;'LegalAuth-ConceptMap-1'!C8&amp;"##34#"</f>
        <v>* description = ##34#eHN Legal Authenticator Model to this guide Map##34#</v>
      </c>
    </row>
    <row r="13" spans="2:7" x14ac:dyDescent="0.75">
      <c r="B13" s="70" t="str">
        <f>"* purpose = ##34#"&amp;'LegalAuth-ConceptMap-1'!C9&amp;"##34#"</f>
        <v>* purpose = ##34#It shows how theLegal Authenticator Recipient data set defined by the EU eHN guidelines is mapped into this guide##34#</v>
      </c>
    </row>
    <row r="14" spans="2:7" x14ac:dyDescent="0.75">
      <c r="B14" s="71" t="str">
        <f>"* sourceUri = ##34#"&amp;'LegalAuth-ConceptMap-1'!E3&amp;"##34#"</f>
        <v>* sourceUri = ##34#http://hl7.eu/fhir/ig/xpandh/ps/StructureDefinition/LegalAuthenticator##34#</v>
      </c>
    </row>
    <row r="15" spans="2:7" x14ac:dyDescent="0.75">
      <c r="B15" s="71" t="str">
        <f>"* targetUri = ##34#"&amp;'LegalAuth-ConceptMap-1'!E4&amp;"##34#"</f>
        <v>* targetUri = ##34#http://hl7.eu/fhir/ig/xpandh/ps/StructureDefinition/Composition-eu-ps##34#</v>
      </c>
    </row>
    <row r="16" spans="2:7" x14ac:dyDescent="0.75">
      <c r="B16" s="70"/>
    </row>
    <row r="17" spans="2:7" x14ac:dyDescent="0.75">
      <c r="B17" s="72" t="str">
        <f>"* group[+].source = ##34#"&amp;'LegalAuth-ConceptMap-1'!E6&amp;"##34#"</f>
        <v>* group[+].source = ##34#http://hl7.eu/fhir/ig/xpandh/ps/StructureDefinition/LegalAuthenticator##34#</v>
      </c>
    </row>
    <row r="18" spans="2:7" x14ac:dyDescent="0.75">
      <c r="B18" s="72" t="str">
        <f>"* group[=].target = ##34#"&amp;'LegalAuth-ConceptMap-1'!E7&amp;"##34#"</f>
        <v>* group[=].target = ##34#http://hl7.eu/fhir/ig/xpandh/ps/StructureDefinition/Composition-eu-ps##34#</v>
      </c>
    </row>
    <row r="19" spans="2:7" x14ac:dyDescent="0.75">
      <c r="B19" s="74"/>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0"/>
    </row>
    <row r="86" spans="2:2" x14ac:dyDescent="0.75">
      <c r="B86" s="72"/>
    </row>
    <row r="87" spans="2:2" x14ac:dyDescent="0.75">
      <c r="B87" s="72"/>
    </row>
    <row r="88" spans="2:2" x14ac:dyDescent="0.75">
      <c r="B88" s="74"/>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687</v>
      </c>
      <c r="I4" s="24" t="str">
        <f>CONCATENATE("Logical: ",B4)</f>
        <v>Logical: ValidatorPsEhn</v>
      </c>
    </row>
    <row r="5" spans="1:11" x14ac:dyDescent="0.75">
      <c r="A5" s="17" t="s">
        <v>19</v>
      </c>
      <c r="B5" s="33" t="s">
        <v>252</v>
      </c>
      <c r="I5" s="24" t="str">
        <f>CONCATENATE("Id: ",B5)</f>
        <v>Id: Validator</v>
      </c>
    </row>
    <row r="6" spans="1:11" x14ac:dyDescent="0.75">
      <c r="A6" s="17" t="s">
        <v>13</v>
      </c>
      <c r="B6" s="18" t="s">
        <v>556</v>
      </c>
      <c r="I6" s="25" t="str">
        <f>CONCATENATE("Title: ##34#",B6,"##34#")</f>
        <v>Title: ##34#A.1.7 - Result validator##34#</v>
      </c>
    </row>
    <row r="7" spans="1:11" x14ac:dyDescent="0.75">
      <c r="A7" s="45" t="s">
        <v>5</v>
      </c>
      <c r="B7" s="52" t="s">
        <v>550</v>
      </c>
      <c r="C7" s="12"/>
      <c r="D7" s="2"/>
      <c r="E7" s="51"/>
      <c r="F7" s="3" t="s">
        <v>9</v>
      </c>
      <c r="G7" s="3" t="s">
        <v>10</v>
      </c>
      <c r="I7" s="25" t="str">
        <f>CONCATENATE("Description: "," ##334#",B7,"##334#",)</f>
        <v>Description:  ##334#Result validator. Section A1.7 of the eHN guideline.##334#</v>
      </c>
    </row>
    <row r="8" spans="1:11" ht="74.5" customHeight="1" x14ac:dyDescent="0.75">
      <c r="A8" s="9">
        <v>1</v>
      </c>
      <c r="B8" s="9" t="s">
        <v>221</v>
      </c>
      <c r="C8" s="9" t="s">
        <v>227</v>
      </c>
      <c r="D8" s="14" t="s">
        <v>333</v>
      </c>
      <c r="E8" s="9">
        <v>0</v>
      </c>
      <c r="F8" s="9">
        <v>1</v>
      </c>
      <c r="G8" s="9" t="s">
        <v>0</v>
      </c>
      <c r="H8" s="22"/>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222</v>
      </c>
      <c r="C9" s="9" t="s">
        <v>334</v>
      </c>
      <c r="D9" s="14" t="s">
        <v>229</v>
      </c>
      <c r="E9" s="9">
        <v>0</v>
      </c>
      <c r="F9" s="9" t="s">
        <v>11</v>
      </c>
      <c r="G9" s="9" t="s">
        <v>251</v>
      </c>
      <c r="H9" s="22"/>
      <c r="I9" s="14" t="str">
        <f t="shared" ref="I9:I14" si="0">CONCATENATE("* ",B9, " ",E9,"..",F9," ",G9," ##34#",C9,"##34# ##334#",D9,"##334#")</f>
        <v>* name 0..* HumanName ##34#A.1.7.2 Result validator name##34# ##334#Person name. - Preferred system(s): ##334#</v>
      </c>
    </row>
    <row r="10" spans="1:11" ht="30.25" customHeight="1" x14ac:dyDescent="0.75">
      <c r="A10" s="9">
        <v>3</v>
      </c>
      <c r="B10" s="9" t="s">
        <v>223</v>
      </c>
      <c r="C10" s="9" t="s">
        <v>338</v>
      </c>
      <c r="D10" s="14" t="s">
        <v>230</v>
      </c>
      <c r="E10" s="9">
        <v>0</v>
      </c>
      <c r="F10" s="9" t="s">
        <v>11</v>
      </c>
      <c r="G10" s="9" t="s">
        <v>224</v>
      </c>
      <c r="H10" s="22"/>
      <c r="I10" s="14" t="str">
        <f t="shared" si="0"/>
        <v>* organization 0..* Organization ##34#A.1.7.3 Result validator organisation##34# ##334#The healthcare provider organisation information. - Preferred system(s): ##334#</v>
      </c>
    </row>
    <row r="11" spans="1:11" ht="45" customHeight="1" x14ac:dyDescent="0.75">
      <c r="A11" s="53">
        <v>4</v>
      </c>
      <c r="B11" s="53" t="s">
        <v>2</v>
      </c>
      <c r="C11" t="s">
        <v>228</v>
      </c>
      <c r="D11" s="54" t="s">
        <v>231</v>
      </c>
      <c r="E11" s="53">
        <v>0</v>
      </c>
      <c r="F11" s="53">
        <v>1</v>
      </c>
      <c r="G11" s="53" t="s">
        <v>2</v>
      </c>
      <c r="H11" s="22"/>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5" t="s">
        <v>95</v>
      </c>
      <c r="D26" s="126"/>
      <c r="E26" s="126"/>
      <c r="F26" s="127"/>
    </row>
    <row r="27" spans="2:9" ht="384.75" thickBot="1" x14ac:dyDescent="0.9">
      <c r="B27" t="str">
        <f t="shared" ref="B27:B30" si="2">CONCATENATE(C27," ",D27)</f>
        <v>A.1.7.1 Result validator identifier</v>
      </c>
      <c r="C27" s="35" t="s">
        <v>96</v>
      </c>
      <c r="D27" s="38" t="s">
        <v>97</v>
      </c>
      <c r="E27" s="36" t="s">
        <v>335</v>
      </c>
      <c r="F27" s="41"/>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5" t="s">
        <v>98</v>
      </c>
      <c r="D28" s="38" t="s">
        <v>336</v>
      </c>
      <c r="E28" s="36" t="s">
        <v>75</v>
      </c>
      <c r="F28" s="41"/>
      <c r="I28" s="1" t="str">
        <f t="shared" si="3"/>
        <v xml:space="preserve">Person name. - Preferred system(s): </v>
      </c>
    </row>
    <row r="29" spans="2:9" ht="112.75" thickBot="1" x14ac:dyDescent="0.9">
      <c r="B29" t="str">
        <f t="shared" si="2"/>
        <v xml:space="preserve">A.1.7.3 Result validator organisation </v>
      </c>
      <c r="C29" s="35" t="s">
        <v>99</v>
      </c>
      <c r="D29" s="38" t="s">
        <v>337</v>
      </c>
      <c r="E29" s="36" t="s">
        <v>100</v>
      </c>
      <c r="F29" s="41"/>
      <c r="I29" s="1" t="str">
        <f t="shared" si="3"/>
        <v xml:space="preserve">The healthcare provider organisation information. - Preferred system(s): </v>
      </c>
    </row>
    <row r="30" spans="2:9" ht="96.75" thickBot="1" x14ac:dyDescent="0.9">
      <c r="B30" t="str">
        <f t="shared" si="2"/>
        <v>A.1.7.4 Validation date and time</v>
      </c>
      <c r="C30" s="35" t="s">
        <v>101</v>
      </c>
      <c r="D30" s="38" t="s">
        <v>102</v>
      </c>
      <c r="E30" s="36" t="s">
        <v>103</v>
      </c>
      <c r="F30" s="38" t="s">
        <v>94</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225</v>
      </c>
      <c r="E4" s="27" t="str">
        <f>CONCATENATE("Mapping: ",C4)</f>
        <v>Mapping: eHNLabValidator2Fhir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226</v>
      </c>
      <c r="E6" s="28"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8" t="str">
        <f>CONCATENATE("Source: ",C7)</f>
        <v>Source: Validator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'A1.7 Validator'!B5</f>
        <v>Validator</v>
      </c>
      <c r="C9" s="14" t="s">
        <v>247</v>
      </c>
      <c r="E9" s="4" t="str">
        <f>CONCATENATE("* -&gt; ##34#",C9,"##34#")</f>
        <v>* -&gt; ##34#Composition.attester.where(mode=http://hl7.org/fhir/composition-attestation-mode#professional)##34#</v>
      </c>
      <c r="H9" s="10"/>
      <c r="I9" s="10"/>
      <c r="J9" s="10"/>
      <c r="K9" s="10"/>
      <c r="L9" s="10"/>
      <c r="M9" s="10"/>
      <c r="N9" s="10"/>
      <c r="O9" s="10"/>
    </row>
    <row r="10" spans="1:15" x14ac:dyDescent="0.75">
      <c r="A10" s="9"/>
      <c r="B10" s="56" t="str">
        <f>'A1.7 Validator'!$B$8</f>
        <v>identifier</v>
      </c>
      <c r="C10" s="9" t="s">
        <v>575</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56" t="str">
        <f>'A1.7 Validator'!$B$8</f>
        <v>identifier</v>
      </c>
      <c r="C11" s="9" t="s">
        <v>576</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577</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6" t="str">
        <f>'A1.7 Validator'!$B$10</f>
        <v>organization</v>
      </c>
      <c r="C13" s="9" t="s">
        <v>578</v>
      </c>
      <c r="E13" s="14" t="str">
        <f t="shared" si="0"/>
        <v>* organization -&gt; ##34#.party.resolve().ofType(PractitionerRole).organization.resolve()##34#</v>
      </c>
      <c r="G13" s="1" t="s">
        <v>27</v>
      </c>
      <c r="H13" s="10"/>
      <c r="I13" s="10"/>
      <c r="J13" s="10"/>
      <c r="K13" s="10"/>
      <c r="L13" s="10"/>
      <c r="M13" s="10"/>
      <c r="N13" s="10"/>
      <c r="O13" s="10"/>
    </row>
    <row r="14" spans="1:15" x14ac:dyDescent="0.75">
      <c r="A14" s="9"/>
      <c r="B14" s="56" t="str">
        <f>'A1.7 Validator'!$B$10</f>
        <v>organization</v>
      </c>
      <c r="C14" s="9" t="s">
        <v>353</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354</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'A1.7 Validator'!I1</f>
        <v>// -------------------------------------------------------------------------------</v>
      </c>
    </row>
    <row r="2" spans="3:7" ht="16.75" thickBot="1" x14ac:dyDescent="0.9">
      <c r="C2" s="32" t="str">
        <f>'A1.7 Validator'!I2</f>
        <v>//  Logical Model</v>
      </c>
      <c r="G2" s="50" t="s">
        <v>735</v>
      </c>
    </row>
    <row r="3" spans="3:7" x14ac:dyDescent="0.75">
      <c r="C3" s="32" t="str">
        <f>'A1.7 Validator'!I3</f>
        <v>// -------------------------------------------------------------------------------</v>
      </c>
    </row>
    <row r="4" spans="3:7" x14ac:dyDescent="0.75">
      <c r="C4" s="24" t="str">
        <f>'A1.7 Validator'!I4</f>
        <v>Logical: ValidatorPsEhn</v>
      </c>
    </row>
    <row r="5" spans="3:7" x14ac:dyDescent="0.75">
      <c r="C5" s="24" t="str">
        <f>'A1.7 Validator'!I5</f>
        <v>Id: Validator</v>
      </c>
    </row>
    <row r="6" spans="3:7" x14ac:dyDescent="0.75">
      <c r="C6" s="24" t="str">
        <f>'A1.7 Validator'!I6</f>
        <v>Title: ##34#A.1.7 - Result validator##34#</v>
      </c>
    </row>
    <row r="7" spans="3:7" x14ac:dyDescent="0.75">
      <c r="C7" s="24"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198</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1" t="str">
        <f>'Validator-Map-1'!E1</f>
        <v>// -------------------------------------------------------------------------------</v>
      </c>
    </row>
    <row r="31" spans="3:3" x14ac:dyDescent="0.75">
      <c r="C31" s="32" t="str">
        <f>'Validator-Map-1'!E2</f>
        <v>//  Map to FHIR R4</v>
      </c>
    </row>
    <row r="32" spans="3:3" x14ac:dyDescent="0.75">
      <c r="C32" s="32"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452</v>
      </c>
      <c r="D3" s="66" t="s">
        <v>414</v>
      </c>
      <c r="E3" s="140" t="str">
        <f>"http://hl7.eu/fhir/ig/xpandh/ps/StructureDefinition/"&amp;'A1.7 Validator'!B5</f>
        <v>http://hl7.eu/fhir/ig/xpandh/ps/StructureDefinition/Validator</v>
      </c>
      <c r="F3" s="136"/>
      <c r="G3" s="136"/>
    </row>
    <row r="4" spans="1:19" x14ac:dyDescent="0.75">
      <c r="B4" s="66" t="s">
        <v>19</v>
      </c>
      <c r="C4" s="49" t="s">
        <v>827</v>
      </c>
      <c r="D4" s="66" t="s">
        <v>415</v>
      </c>
      <c r="E4" s="140" t="s">
        <v>1219</v>
      </c>
      <c r="F4" s="136"/>
      <c r="G4" s="136"/>
    </row>
    <row r="5" spans="1:19" x14ac:dyDescent="0.75">
      <c r="B5" s="66" t="s">
        <v>13</v>
      </c>
      <c r="C5" s="10" t="s">
        <v>446</v>
      </c>
      <c r="D5" s="66"/>
      <c r="E5" s="10"/>
    </row>
    <row r="6" spans="1:19" x14ac:dyDescent="0.75">
      <c r="B6" s="66" t="s">
        <v>35</v>
      </c>
      <c r="C6" s="65"/>
      <c r="D6" s="66" t="s">
        <v>412</v>
      </c>
      <c r="E6" s="140" t="str">
        <f>E3</f>
        <v>http://hl7.eu/fhir/ig/xpandh/ps/StructureDefinition/Validator</v>
      </c>
      <c r="F6" s="136"/>
      <c r="G6" s="136"/>
    </row>
    <row r="7" spans="1:19" x14ac:dyDescent="0.75">
      <c r="B7" s="66" t="s">
        <v>18</v>
      </c>
      <c r="C7" s="73"/>
      <c r="D7" s="66" t="s">
        <v>413</v>
      </c>
      <c r="E7" s="140" t="str">
        <f>E4</f>
        <v>http://hl7.eu/fhir/ig/xpandh/ps/StructureDefinition/Composition-eu-ps</v>
      </c>
      <c r="F7" s="136"/>
      <c r="G7" s="136"/>
    </row>
    <row r="8" spans="1:19" ht="44.25" x14ac:dyDescent="0.75">
      <c r="B8" s="66" t="s">
        <v>410</v>
      </c>
      <c r="C8" s="10" t="s">
        <v>447</v>
      </c>
      <c r="D8" s="66"/>
      <c r="E8"/>
      <c r="I8" s="14" t="s">
        <v>387</v>
      </c>
      <c r="J8" s="14" t="s">
        <v>388</v>
      </c>
      <c r="K8" s="14" t="s">
        <v>389</v>
      </c>
      <c r="L8" s="14" t="s">
        <v>390</v>
      </c>
      <c r="M8" s="9" t="s">
        <v>391</v>
      </c>
      <c r="P8" s="62" t="s">
        <v>392</v>
      </c>
      <c r="Q8" s="62">
        <v>6</v>
      </c>
    </row>
    <row r="9" spans="1:19" ht="29.5" x14ac:dyDescent="0.75">
      <c r="B9" s="66" t="s">
        <v>411</v>
      </c>
      <c r="C9" s="1" t="s">
        <v>448</v>
      </c>
      <c r="D9" s="66"/>
      <c r="E9"/>
      <c r="I9" s="14"/>
      <c r="J9" s="9"/>
      <c r="K9" s="9"/>
      <c r="L9" s="9"/>
      <c r="M9" s="9"/>
    </row>
    <row r="10" spans="1:19" x14ac:dyDescent="0.75">
      <c r="B10" s="66"/>
      <c r="D10" s="66"/>
      <c r="E10"/>
      <c r="I10" s="14"/>
      <c r="J10" s="9"/>
      <c r="K10" s="9"/>
      <c r="L10" s="9"/>
      <c r="M10" s="9"/>
    </row>
    <row r="11" spans="1:19" x14ac:dyDescent="0.75">
      <c r="E11" s="10"/>
      <c r="I11" s="24" t="s">
        <v>393</v>
      </c>
      <c r="J11" s="63" t="s">
        <v>394</v>
      </c>
      <c r="K11" s="24" t="s">
        <v>395</v>
      </c>
      <c r="L11" s="63" t="s">
        <v>396</v>
      </c>
      <c r="M11" s="64" t="s">
        <v>397</v>
      </c>
      <c r="N11" s="67" t="s">
        <v>384</v>
      </c>
    </row>
    <row r="12" spans="1:19" x14ac:dyDescent="0.75">
      <c r="E12" s="65"/>
      <c r="I12" s="14"/>
      <c r="J12" s="9"/>
      <c r="K12" s="9"/>
      <c r="L12" s="9"/>
      <c r="M12" s="9"/>
    </row>
    <row r="13" spans="1:19" x14ac:dyDescent="0.75">
      <c r="D13" s="14"/>
      <c r="E13" s="9"/>
      <c r="F13" s="64" t="s">
        <v>397</v>
      </c>
      <c r="G13" s="67" t="s">
        <v>384</v>
      </c>
      <c r="H13" s="67"/>
      <c r="I13" s="14"/>
      <c r="J13" s="9"/>
      <c r="K13" s="64"/>
      <c r="L13" s="64"/>
      <c r="M13" s="64"/>
      <c r="N13" s="67"/>
    </row>
    <row r="14" spans="1:19" x14ac:dyDescent="0.75">
      <c r="A14" s="22"/>
      <c r="B14" s="8" t="str">
        <f>'A1.7 Validator'!B5</f>
        <v>Validator</v>
      </c>
      <c r="C14" s="9"/>
      <c r="D14" t="s">
        <v>189</v>
      </c>
      <c r="E14" s="8"/>
      <c r="F14" s="9"/>
      <c r="G14" t="s">
        <v>455</v>
      </c>
      <c r="I14" s="14"/>
      <c r="J14" s="9"/>
      <c r="K14" s="9"/>
      <c r="L14" s="9"/>
      <c r="M14" s="64"/>
      <c r="N14" s="67"/>
    </row>
    <row r="15" spans="1:19" ht="73.75" x14ac:dyDescent="0.75">
      <c r="A15" s="22"/>
      <c r="B15" s="9" t="str">
        <f>'A1.7 Validator'!B8</f>
        <v>identifier</v>
      </c>
      <c r="C15" s="9" t="str">
        <f>'A1.7 Validator'!C8</f>
        <v>A.1.7.1 Result validator identifier</v>
      </c>
      <c r="D15" s="14" t="s">
        <v>512</v>
      </c>
      <c r="E15" s="14"/>
      <c r="F15" s="68" t="s">
        <v>398</v>
      </c>
      <c r="G15" t="s">
        <v>518</v>
      </c>
      <c r="H15" s="69"/>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2"/>
      <c r="B16" s="9" t="str">
        <f>'A1.7 Validator'!B9</f>
        <v>name</v>
      </c>
      <c r="C16" s="9" t="str">
        <f>'A1.7 Validator'!C9</f>
        <v>A.1.7.2 Result validator name</v>
      </c>
      <c r="D16" s="14" t="s">
        <v>514</v>
      </c>
      <c r="E16" s="14"/>
      <c r="F16" s="68" t="s">
        <v>398</v>
      </c>
      <c r="G16" s="14" t="s">
        <v>583</v>
      </c>
      <c r="H16" s="69"/>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2"/>
      <c r="B17" s="9" t="str">
        <f>'A1.7 Validator'!B9</f>
        <v>name</v>
      </c>
      <c r="C17" s="9" t="str">
        <f>'A1.7 Validator'!C9</f>
        <v>A.1.7.2 Result validator name</v>
      </c>
      <c r="D17" s="14" t="s">
        <v>580</v>
      </c>
      <c r="E17" s="14"/>
      <c r="F17" s="68" t="s">
        <v>398</v>
      </c>
      <c r="G17" s="14" t="s">
        <v>584</v>
      </c>
      <c r="H17" s="69"/>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2"/>
      <c r="B18" s="9" t="str">
        <f>'A1.7 Validator'!B10</f>
        <v>organization</v>
      </c>
      <c r="C18" s="9" t="str">
        <f>'A1.7 Validator'!C10</f>
        <v>A.1.7.3 Result validator organisation</v>
      </c>
      <c r="D18" s="14" t="s">
        <v>515</v>
      </c>
      <c r="E18" s="14"/>
      <c r="F18" s="68" t="s">
        <v>398</v>
      </c>
      <c r="G18" s="14" t="s">
        <v>585</v>
      </c>
      <c r="H18" s="69"/>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2"/>
      <c r="B19" s="9" t="str">
        <f>'A1.7 Validator'!B11</f>
        <v>dateTime</v>
      </c>
      <c r="C19" s="9" t="str">
        <f>'A1.7 Validator'!C11</f>
        <v>A.1.7.4 Validation date and time</v>
      </c>
      <c r="D19" s="9" t="s">
        <v>516</v>
      </c>
      <c r="E19" s="9"/>
      <c r="F19" s="68" t="s">
        <v>398</v>
      </c>
      <c r="G19" s="14" t="s">
        <v>519</v>
      </c>
      <c r="H19" s="69"/>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2"/>
      <c r="B20" s="9">
        <f>'A1.6 LegalAuth'!B12</f>
        <v>0</v>
      </c>
      <c r="C20" s="9">
        <f>'A1.6 LegalAuth'!C12</f>
        <v>0</v>
      </c>
      <c r="D20" s="9"/>
      <c r="E20" s="9"/>
      <c r="F20" s="68"/>
      <c r="G20" s="68"/>
      <c r="H20" s="69"/>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display="http://hl7.eu/fhir/laboratory/StructureDefinition/Composition-eu-lab" xr:uid="{02E582F6-B032-4A34-A869-8301FF18382C}"/>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401</v>
      </c>
      <c r="G2" s="50" t="s">
        <v>449</v>
      </c>
    </row>
    <row r="3" spans="2:7" x14ac:dyDescent="0.75">
      <c r="B3" s="32" t="s">
        <v>37</v>
      </c>
    </row>
    <row r="4" spans="2:7" x14ac:dyDescent="0.75">
      <c r="B4" s="70" t="str">
        <f>"Instance: "&amp;'Validator-ConceptMap-1'!C4</f>
        <v>Instance: validator2FHIR-eu-ps</v>
      </c>
    </row>
    <row r="5" spans="2:7" x14ac:dyDescent="0.75">
      <c r="B5" s="70" t="s">
        <v>402</v>
      </c>
    </row>
    <row r="6" spans="2:7" x14ac:dyDescent="0.75">
      <c r="B6" s="70" t="s">
        <v>403</v>
      </c>
    </row>
    <row r="7" spans="2:7" x14ac:dyDescent="0.75">
      <c r="B7" s="70" t="s">
        <v>409</v>
      </c>
    </row>
    <row r="8" spans="2:7" x14ac:dyDescent="0.75">
      <c r="B8" s="70" t="str">
        <f>"* name = ##34#"&amp;'Validator-ConceptMap-1'!C3&amp;"##34#"</f>
        <v>* name = ##34#Validator2Fhir##34#</v>
      </c>
    </row>
    <row r="9" spans="2:7" x14ac:dyDescent="0.75">
      <c r="B9" s="70" t="str">
        <f>"* title = ##34#"&amp;'Validator-ConceptMap-1'!C5&amp;"##34#"</f>
        <v>* title = ##34#eHN Validator to this guide Map##34#</v>
      </c>
    </row>
    <row r="10" spans="2:7" x14ac:dyDescent="0.75">
      <c r="B10" s="70" t="s">
        <v>404</v>
      </c>
    </row>
    <row r="11" spans="2:7" x14ac:dyDescent="0.75">
      <c r="B11" s="70" t="s">
        <v>405</v>
      </c>
    </row>
    <row r="12" spans="2:7" x14ac:dyDescent="0.75">
      <c r="B12" s="70" t="str">
        <f>"* description = ##34#"&amp;'Validator-ConceptMap-1'!C8&amp;"##34#"</f>
        <v>* description = ##34#eHN Validator Model to this guide Map##34#</v>
      </c>
    </row>
    <row r="13" spans="2:7" x14ac:dyDescent="0.75">
      <c r="B13" s="70" t="str">
        <f>"* purpose = ##34#"&amp;'Validator-ConceptMap-1'!C9&amp;"##34#"</f>
        <v>* purpose = ##34#It shows how the Validator Recipient data set defined by the EU eHN guidelines is mapped into this guide##34#</v>
      </c>
    </row>
    <row r="14" spans="2:7" x14ac:dyDescent="0.75">
      <c r="B14" s="71" t="str">
        <f>"* sourceUri = ##34#"&amp;'Validator-ConceptMap-1'!E3&amp;"##34#"</f>
        <v>* sourceUri = ##34#http://hl7.eu/fhir/ig/xpandh/ps/StructureDefinition/Validator##34#</v>
      </c>
    </row>
    <row r="15" spans="2:7" x14ac:dyDescent="0.75">
      <c r="B15" s="71" t="str">
        <f>"* targetUri = ##34#"&amp;'Validator-ConceptMap-1'!E4&amp;"##34#"</f>
        <v>* targetUri = ##34#http://hl7.eu/fhir/ig/xpandh/ps/StructureDefinition/Composition-eu-ps##34#</v>
      </c>
    </row>
    <row r="16" spans="2:7" x14ac:dyDescent="0.75">
      <c r="B16" s="70"/>
    </row>
    <row r="17" spans="2:7" x14ac:dyDescent="0.75">
      <c r="B17" s="72" t="str">
        <f>"* group[+].source = ##34#"&amp;'Validator-ConceptMap-1'!E6&amp;"##34#"</f>
        <v>* group[+].source = ##34#http://hl7.eu/fhir/ig/xpandh/ps/StructureDefinition/Validator##34#</v>
      </c>
    </row>
    <row r="18" spans="2:7" x14ac:dyDescent="0.75">
      <c r="B18" s="72" t="str">
        <f>"* group[=].target = ##34#"&amp;'Validator-ConceptMap-1'!E7&amp;"##34#"</f>
        <v>* group[=].target = ##34#http://hl7.eu/fhir/ig/xpandh/ps/StructureDefinition/Composition-eu-ps##34#</v>
      </c>
    </row>
    <row r="19" spans="2:7" x14ac:dyDescent="0.75">
      <c r="B19" s="74"/>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0"/>
    </row>
    <row r="86" spans="2:2" x14ac:dyDescent="0.75">
      <c r="B86" s="72"/>
    </row>
    <row r="87" spans="2:2" x14ac:dyDescent="0.75">
      <c r="B87" s="72"/>
    </row>
    <row r="88" spans="2:2" x14ac:dyDescent="0.75">
      <c r="B88" s="74"/>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688</v>
      </c>
      <c r="I4" s="24" t="str">
        <f>CONCATENATE("Logical: ",B4)</f>
        <v>Logical: SpecimenPsEhn</v>
      </c>
    </row>
    <row r="5" spans="1:11" x14ac:dyDescent="0.75">
      <c r="A5" s="17" t="s">
        <v>19</v>
      </c>
      <c r="B5" s="33" t="s">
        <v>344</v>
      </c>
      <c r="I5" s="24" t="str">
        <f>CONCATENATE("Id: ",B5)</f>
        <v>Id: SpecimenLab</v>
      </c>
    </row>
    <row r="6" spans="1:11" x14ac:dyDescent="0.75">
      <c r="A6" s="17" t="s">
        <v>13</v>
      </c>
      <c r="B6" s="18" t="s">
        <v>529</v>
      </c>
      <c r="I6" s="25" t="str">
        <f>CONCATENATE("Title: ##34#",B6,"##34#")</f>
        <v>Title: ##34#A.4 - Specimen information##34#</v>
      </c>
    </row>
    <row r="7" spans="1:11" x14ac:dyDescent="0.75">
      <c r="A7" s="45" t="s">
        <v>5</v>
      </c>
      <c r="B7" s="18" t="s">
        <v>551</v>
      </c>
      <c r="C7" s="12"/>
      <c r="D7" s="2"/>
      <c r="E7" s="51"/>
      <c r="F7" s="3" t="s">
        <v>9</v>
      </c>
      <c r="G7" s="3" t="s">
        <v>10</v>
      </c>
      <c r="I7" s="25" t="str">
        <f>CONCATENATE("Description: "," ##334#",B7,"##334#",)</f>
        <v>Description:  ##334#Specimen information. Section A4 of the eHN guideline.##334#</v>
      </c>
    </row>
    <row r="8" spans="1:11" ht="59" x14ac:dyDescent="0.75">
      <c r="A8" s="9">
        <v>1</v>
      </c>
      <c r="B8" s="9" t="s">
        <v>221</v>
      </c>
      <c r="C8" s="14" t="s">
        <v>253</v>
      </c>
      <c r="D8" s="14" t="s">
        <v>265</v>
      </c>
      <c r="E8" s="9">
        <v>0</v>
      </c>
      <c r="F8" s="9">
        <v>1</v>
      </c>
      <c r="G8" s="9" t="s">
        <v>0</v>
      </c>
      <c r="H8" s="22"/>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274</v>
      </c>
      <c r="C9" s="14" t="s">
        <v>254</v>
      </c>
      <c r="D9" s="36" t="s">
        <v>266</v>
      </c>
      <c r="E9" s="9">
        <v>0</v>
      </c>
      <c r="F9" s="9" t="s">
        <v>11</v>
      </c>
      <c r="G9" s="9" t="s">
        <v>1</v>
      </c>
      <c r="H9" s="22"/>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275</v>
      </c>
      <c r="C10" s="1" t="s">
        <v>255</v>
      </c>
      <c r="D10" s="14" t="s">
        <v>267</v>
      </c>
      <c r="E10" s="9">
        <v>0</v>
      </c>
      <c r="F10" s="9" t="s">
        <v>11</v>
      </c>
      <c r="G10" s="9" t="s">
        <v>1</v>
      </c>
      <c r="H10" s="22"/>
      <c r="I10" s="14" t="str">
        <f t="shared" si="0"/>
        <v>* material 0..* CodeableConcept ##34#A.4.3 Material##34# ##334#Specimen material. - Preferred system(s): SNOMED CT##334#</v>
      </c>
    </row>
    <row r="11" spans="1:11" ht="29.5" x14ac:dyDescent="0.75">
      <c r="A11" s="53">
        <v>4</v>
      </c>
      <c r="B11" s="9" t="s">
        <v>464</v>
      </c>
      <c r="C11" s="14" t="s">
        <v>256</v>
      </c>
      <c r="D11" s="54" t="s">
        <v>268</v>
      </c>
      <c r="E11" s="53">
        <v>0</v>
      </c>
      <c r="F11" s="53" t="s">
        <v>11</v>
      </c>
      <c r="G11" s="9" t="s">
        <v>2</v>
      </c>
      <c r="H11" s="22"/>
      <c r="I11" s="14" t="str">
        <f t="shared" si="0"/>
        <v>* collected 0..* dateTime ##34#A.4.4 Collection period##34# ##334#Collection date time or period. - Preferred system(s): ISO 8601##334#</v>
      </c>
    </row>
    <row r="12" spans="1:11" ht="44.25" x14ac:dyDescent="0.75">
      <c r="A12" s="9">
        <v>5</v>
      </c>
      <c r="B12" s="9" t="s">
        <v>276</v>
      </c>
      <c r="C12" s="47" t="s">
        <v>257</v>
      </c>
      <c r="D12" s="14" t="s">
        <v>269</v>
      </c>
      <c r="E12" s="53">
        <v>0</v>
      </c>
      <c r="F12" s="53" t="s">
        <v>11</v>
      </c>
      <c r="G12" s="9" t="s">
        <v>1</v>
      </c>
      <c r="H12" s="22"/>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278</v>
      </c>
      <c r="C13" s="47" t="s">
        <v>258</v>
      </c>
      <c r="D13" s="14" t="s">
        <v>270</v>
      </c>
      <c r="E13" s="53">
        <v>0</v>
      </c>
      <c r="F13" s="53" t="s">
        <v>11</v>
      </c>
      <c r="G13" s="9" t="s">
        <v>1</v>
      </c>
      <c r="H13" s="22"/>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277</v>
      </c>
      <c r="C14" s="14" t="s">
        <v>259</v>
      </c>
      <c r="D14" s="47" t="s">
        <v>273</v>
      </c>
      <c r="E14" s="53">
        <v>0</v>
      </c>
      <c r="F14" s="53" t="s">
        <v>11</v>
      </c>
      <c r="G14" s="9" t="s">
        <v>1</v>
      </c>
      <c r="H14" s="22"/>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279</v>
      </c>
      <c r="C15" t="s">
        <v>260</v>
      </c>
      <c r="D15" s="1" t="s">
        <v>271</v>
      </c>
      <c r="E15" s="9">
        <v>0</v>
      </c>
      <c r="F15" s="9" t="s">
        <v>11</v>
      </c>
      <c r="G15" s="9" t="s">
        <v>1</v>
      </c>
      <c r="H15" s="22"/>
      <c r="I15" s="14" t="str">
        <f t="shared" si="0"/>
        <v>* collectionMethod 0..* CodeableConcept ##34#A.4.8 Collection procedure/method##34# ##334#If relevant for the results, the method of obtaining the specimen. - Preferred system(s): SNOMED CT##334#</v>
      </c>
      <c r="J15" s="15"/>
      <c r="K15" s="9"/>
    </row>
    <row r="16" spans="1:11" ht="44.25" x14ac:dyDescent="0.75">
      <c r="A16" s="9">
        <v>9</v>
      </c>
      <c r="B16" s="9" t="s">
        <v>280</v>
      </c>
      <c r="C16" t="s">
        <v>261</v>
      </c>
      <c r="D16" s="1" t="s">
        <v>272</v>
      </c>
      <c r="E16" s="9">
        <v>0</v>
      </c>
      <c r="F16" s="9" t="s">
        <v>11</v>
      </c>
      <c r="G16" s="48"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43" t="s">
        <v>111</v>
      </c>
      <c r="D26" s="144"/>
      <c r="E26" s="144"/>
      <c r="F26" s="145"/>
    </row>
    <row r="27" spans="2:9" ht="112.75" thickBot="1" x14ac:dyDescent="0.9">
      <c r="B27" t="str">
        <f t="shared" si="1"/>
        <v>A.4.1 Specimen identifier</v>
      </c>
      <c r="C27" s="35" t="s">
        <v>112</v>
      </c>
      <c r="D27" s="38" t="s">
        <v>113</v>
      </c>
      <c r="E27" s="36" t="s">
        <v>262</v>
      </c>
      <c r="F27" s="41"/>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5" t="s">
        <v>114</v>
      </c>
      <c r="D28" s="38" t="s">
        <v>115</v>
      </c>
      <c r="E28" s="36" t="s">
        <v>116</v>
      </c>
      <c r="F28" s="38" t="s">
        <v>110</v>
      </c>
      <c r="I28" s="1" t="str">
        <f t="shared" si="2"/>
        <v>Biologic type of species for laboratory result reports bound to non-human subjects. - Preferred system(s): SNOMED CT</v>
      </c>
    </row>
    <row r="29" spans="2:9" ht="32.75" thickBot="1" x14ac:dyDescent="0.9">
      <c r="B29" t="str">
        <f t="shared" si="1"/>
        <v>A.4.3 Material</v>
      </c>
      <c r="C29" s="35" t="s">
        <v>117</v>
      </c>
      <c r="D29" s="38" t="s">
        <v>118</v>
      </c>
      <c r="E29" s="36" t="s">
        <v>119</v>
      </c>
      <c r="F29" s="38" t="s">
        <v>110</v>
      </c>
      <c r="I29" s="1" t="str">
        <f t="shared" si="2"/>
        <v>Specimen material. - Preferred system(s): SNOMED CT</v>
      </c>
    </row>
    <row r="30" spans="2:9" ht="16.75" thickBot="1" x14ac:dyDescent="0.9">
      <c r="B30" t="str">
        <f t="shared" si="1"/>
        <v>A.4.4 Collection period</v>
      </c>
      <c r="C30" s="35" t="s">
        <v>120</v>
      </c>
      <c r="D30" s="38" t="s">
        <v>121</v>
      </c>
      <c r="E30" s="36" t="s">
        <v>122</v>
      </c>
      <c r="F30" s="38" t="s">
        <v>94</v>
      </c>
      <c r="I30" s="1" t="str">
        <f t="shared" si="2"/>
        <v>Collection date time or period. - Preferred system(s): ISO 8601</v>
      </c>
    </row>
    <row r="31" spans="2:9" ht="64.75" thickBot="1" x14ac:dyDescent="0.9">
      <c r="B31" t="str">
        <f t="shared" si="1"/>
        <v>A.4.5 Anatomic location</v>
      </c>
      <c r="C31" s="35" t="s">
        <v>123</v>
      </c>
      <c r="D31" s="38" t="s">
        <v>124</v>
      </c>
      <c r="E31" s="36" t="s">
        <v>125</v>
      </c>
      <c r="F31" s="38" t="s">
        <v>110</v>
      </c>
      <c r="I31" s="1" t="str">
        <f t="shared" si="2"/>
        <v>Anatomic location (body location, laterality) where the material is collected, e.g. Elbow, left - Preferred system(s): SNOMED CT</v>
      </c>
    </row>
    <row r="32" spans="2:9" ht="64.75" thickBot="1" x14ac:dyDescent="0.9">
      <c r="B32" t="str">
        <f t="shared" si="1"/>
        <v>A.4.6 Morphology</v>
      </c>
      <c r="C32" s="35" t="s">
        <v>126</v>
      </c>
      <c r="D32" s="38" t="s">
        <v>127</v>
      </c>
      <c r="E32" s="36" t="s">
        <v>128</v>
      </c>
      <c r="F32" s="38" t="s">
        <v>110</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46" t="s">
        <v>129</v>
      </c>
      <c r="D33" s="149" t="s">
        <v>130</v>
      </c>
      <c r="E33" s="146" t="s">
        <v>131</v>
      </c>
      <c r="F33" s="42" t="s">
        <v>110</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47"/>
      <c r="D34" s="150"/>
      <c r="E34" s="147"/>
      <c r="F34" s="40"/>
      <c r="I34" s="1" t="str">
        <f t="shared" si="2"/>
        <v xml:space="preserve"> - Preferred system(s): </v>
      </c>
    </row>
    <row r="35" spans="2:9" ht="16.75" thickBot="1" x14ac:dyDescent="0.9">
      <c r="B35" t="str">
        <f t="shared" si="1"/>
        <v xml:space="preserve"> </v>
      </c>
      <c r="C35" s="148"/>
      <c r="D35" s="151"/>
      <c r="E35" s="148"/>
      <c r="F35" s="38" t="s">
        <v>132</v>
      </c>
      <c r="I35" s="1" t="str">
        <f t="shared" si="2"/>
        <v xml:space="preserve"> - Preferred system(s): EMDN</v>
      </c>
    </row>
    <row r="36" spans="2:9" ht="48.75" thickBot="1" x14ac:dyDescent="0.9">
      <c r="B36" t="str">
        <f t="shared" si="1"/>
        <v>A.4.8 Collection procedure/method</v>
      </c>
      <c r="C36" s="35" t="s">
        <v>133</v>
      </c>
      <c r="D36" s="38" t="s">
        <v>134</v>
      </c>
      <c r="E36" s="36" t="s">
        <v>135</v>
      </c>
      <c r="F36" s="38" t="s">
        <v>110</v>
      </c>
      <c r="I36" s="1" t="str">
        <f t="shared" si="2"/>
        <v>If relevant for the results, the method of obtaining the specimen. - Preferred system(s): SNOMED CT</v>
      </c>
    </row>
    <row r="37" spans="2:9" ht="48.75" thickBot="1" x14ac:dyDescent="0.9">
      <c r="B37" t="str">
        <f t="shared" si="1"/>
        <v>A.4.9 Received date</v>
      </c>
      <c r="C37" s="35" t="s">
        <v>136</v>
      </c>
      <c r="D37" s="38" t="s">
        <v>137</v>
      </c>
      <c r="E37" s="36" t="s">
        <v>138</v>
      </c>
      <c r="F37" s="38" t="s">
        <v>94</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election activeCell="B8" sqref="B8"/>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263</v>
      </c>
      <c r="E4" s="27" t="str">
        <f>CONCATENATE("Mapping: ",C4)</f>
        <v>Mapping: eHNLabSpecimen2Fhir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264</v>
      </c>
      <c r="E6" s="28"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8" t="str">
        <f>CONCATENATE("Source: ",C7)</f>
        <v>Source: SpecimenLab</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'A.4 Specimen'!B5</f>
        <v>SpecimenLab</v>
      </c>
      <c r="C9" s="4" t="s">
        <v>205</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355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356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59" t="s">
        <v>217</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357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358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59" t="s">
        <v>359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360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361</v>
      </c>
      <c r="E17" s="14" t="str">
        <f t="shared" si="1"/>
        <v>* collectionMethod -&gt; ##34#Specimen.collection.method##34#</v>
      </c>
      <c r="G17" s="1" t="s">
        <v>32</v>
      </c>
    </row>
    <row r="18" spans="1:7" x14ac:dyDescent="0.75">
      <c r="A18" s="9">
        <v>9</v>
      </c>
      <c r="B18" s="9" t="str">
        <f>'A.4 Specimen'!B16</f>
        <v>receivedDateTime</v>
      </c>
      <c r="C18" s="9" t="s">
        <v>362</v>
      </c>
      <c r="E18" s="14" t="str">
        <f t="shared" si="1"/>
        <v>* receivedDateTime -&gt; ##34#Specimen.receivedTime##34#</v>
      </c>
      <c r="G18" s="1" t="s">
        <v>33</v>
      </c>
    </row>
    <row r="19" spans="1:7" x14ac:dyDescent="0.75">
      <c r="A19" s="9">
        <v>10</v>
      </c>
      <c r="B19" s="9">
        <f>'A.4 Specimen'!B17</f>
        <v>0</v>
      </c>
      <c r="C19" s="9" t="s">
        <v>217</v>
      </c>
      <c r="E19" s="14" t="str">
        <f t="shared" si="1"/>
        <v>*  -&gt; ##34###34#</v>
      </c>
    </row>
    <row r="20" spans="1:7" x14ac:dyDescent="0.75">
      <c r="A20" s="9"/>
      <c r="B20" s="9">
        <f>'A.4 Specimen'!B18</f>
        <v>0</v>
      </c>
      <c r="C20" s="9" t="s">
        <v>217</v>
      </c>
      <c r="E20" s="14" t="str">
        <f t="shared" si="1"/>
        <v>*  -&gt; ##34###34#</v>
      </c>
    </row>
    <row r="21" spans="1:7" x14ac:dyDescent="0.75">
      <c r="B21" s="9">
        <f>'A.4 Specimen'!B19</f>
        <v>0</v>
      </c>
      <c r="C21" s="9" t="s">
        <v>217</v>
      </c>
      <c r="E21" s="14" t="str">
        <f t="shared" si="1"/>
        <v>*  -&gt; ##34###34#</v>
      </c>
    </row>
    <row r="22" spans="1:7" x14ac:dyDescent="0.75">
      <c r="B22" s="9">
        <f>'A.4 Specimen'!B20</f>
        <v>0</v>
      </c>
      <c r="E22" s="14"/>
    </row>
    <row r="23" spans="1:7" x14ac:dyDescent="0.75">
      <c r="E23" s="14"/>
    </row>
    <row r="24" spans="1:7" x14ac:dyDescent="0.75">
      <c r="E24" s="21"/>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B8" sqref="B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'A.4 Specimen'!I1</f>
        <v>// -------------------------------------------------------------------------------</v>
      </c>
    </row>
    <row r="2" spans="3:7" ht="16.75" thickBot="1" x14ac:dyDescent="0.9">
      <c r="C2" s="32" t="str">
        <f>'A.4 Specimen'!I2</f>
        <v>//  Logical Model</v>
      </c>
      <c r="G2" s="50" t="s">
        <v>736</v>
      </c>
    </row>
    <row r="3" spans="3:7" x14ac:dyDescent="0.75">
      <c r="C3" s="32" t="str">
        <f>'A.4 Specimen'!I3</f>
        <v>// -------------------------------------------------------------------------------</v>
      </c>
    </row>
    <row r="4" spans="3:7" x14ac:dyDescent="0.75">
      <c r="C4" s="24" t="str">
        <f>'A.4 Specimen'!I4</f>
        <v>Logical: SpecimenPsEhn</v>
      </c>
    </row>
    <row r="5" spans="3:7" x14ac:dyDescent="0.75">
      <c r="C5" s="24" t="str">
        <f>'A.4 Specimen'!I5</f>
        <v>Id: SpecimenLab</v>
      </c>
    </row>
    <row r="6" spans="3:7" x14ac:dyDescent="0.75">
      <c r="C6" s="24" t="str">
        <f>'A.4 Specimen'!I6</f>
        <v>Title: ##34#A.4 - Specimen information##34#</v>
      </c>
    </row>
    <row r="7" spans="3:7" x14ac:dyDescent="0.75">
      <c r="C7" s="24"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198</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1" t="str">
        <f>'Specimen-Map-1'!E1</f>
        <v>// -------------------------------------------------------------------------------</v>
      </c>
    </row>
    <row r="31" spans="3:3" x14ac:dyDescent="0.75">
      <c r="C31" s="32" t="str">
        <f>'Specimen-Map-1'!E2</f>
        <v>//  Map to FHIR R4</v>
      </c>
    </row>
    <row r="32" spans="3:3" x14ac:dyDescent="0.75">
      <c r="C32" s="32"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456</v>
      </c>
      <c r="D3" s="66" t="s">
        <v>414</v>
      </c>
      <c r="E3" s="77" t="str">
        <f>"http://hl7.eu/fhir/ig/xpandh/ps/StructureDefinition/"&amp;'A.4 Specimen'!B5</f>
        <v>http://hl7.eu/fhir/ig/xpandh/ps/StructureDefinition/SpecimenLab</v>
      </c>
    </row>
    <row r="4" spans="1:19" x14ac:dyDescent="0.75">
      <c r="B4" s="66" t="s">
        <v>19</v>
      </c>
      <c r="C4" s="49" t="s">
        <v>828</v>
      </c>
      <c r="D4" s="66" t="s">
        <v>415</v>
      </c>
      <c r="E4" s="140" t="s">
        <v>1227</v>
      </c>
      <c r="F4" s="136"/>
      <c r="G4" s="136"/>
    </row>
    <row r="5" spans="1:19" x14ac:dyDescent="0.75">
      <c r="B5" s="66" t="s">
        <v>13</v>
      </c>
      <c r="C5" s="10" t="s">
        <v>457</v>
      </c>
      <c r="D5" s="66"/>
      <c r="E5" s="10"/>
    </row>
    <row r="6" spans="1:19" x14ac:dyDescent="0.75">
      <c r="B6" s="66" t="s">
        <v>35</v>
      </c>
      <c r="C6" s="65"/>
      <c r="D6" s="66" t="s">
        <v>412</v>
      </c>
      <c r="E6" s="140" t="str">
        <f>E3</f>
        <v>http://hl7.eu/fhir/ig/xpandh/ps/StructureDefinition/SpecimenLab</v>
      </c>
      <c r="F6" s="136"/>
      <c r="G6" s="136"/>
    </row>
    <row r="7" spans="1:19" x14ac:dyDescent="0.75">
      <c r="B7" s="66" t="s">
        <v>18</v>
      </c>
      <c r="C7" s="73"/>
      <c r="D7" s="66" t="s">
        <v>413</v>
      </c>
      <c r="E7" s="140" t="s">
        <v>1227</v>
      </c>
      <c r="F7" s="136"/>
      <c r="G7" s="136"/>
    </row>
    <row r="8" spans="1:19" ht="44.25" x14ac:dyDescent="0.75">
      <c r="B8" s="66" t="s">
        <v>410</v>
      </c>
      <c r="C8" s="48" t="s">
        <v>458</v>
      </c>
      <c r="D8" s="66"/>
      <c r="E8" s="10"/>
      <c r="I8" s="14" t="s">
        <v>387</v>
      </c>
      <c r="J8" s="14" t="s">
        <v>388</v>
      </c>
      <c r="K8" s="14" t="s">
        <v>389</v>
      </c>
      <c r="L8" s="14" t="s">
        <v>390</v>
      </c>
      <c r="M8" s="9" t="s">
        <v>391</v>
      </c>
      <c r="P8" s="62" t="s">
        <v>392</v>
      </c>
      <c r="Q8" s="62">
        <v>6</v>
      </c>
    </row>
    <row r="9" spans="1:19" ht="29.5" x14ac:dyDescent="0.75">
      <c r="B9" s="66" t="s">
        <v>411</v>
      </c>
      <c r="C9" s="14" t="s">
        <v>459</v>
      </c>
      <c r="D9" s="66"/>
      <c r="E9"/>
      <c r="I9" s="14"/>
      <c r="J9" s="9"/>
      <c r="K9" s="9"/>
      <c r="L9" s="9"/>
      <c r="M9" s="9"/>
    </row>
    <row r="10" spans="1:19" x14ac:dyDescent="0.75">
      <c r="B10" s="66"/>
      <c r="C10" s="9"/>
      <c r="D10" s="66"/>
      <c r="E10"/>
      <c r="I10" s="14"/>
      <c r="J10" s="9"/>
      <c r="K10" s="9"/>
      <c r="L10" s="9"/>
      <c r="M10" s="9"/>
    </row>
    <row r="11" spans="1:19" x14ac:dyDescent="0.75">
      <c r="E11" s="10"/>
      <c r="I11" s="24" t="s">
        <v>393</v>
      </c>
      <c r="J11" s="63" t="s">
        <v>394</v>
      </c>
      <c r="K11" s="24" t="s">
        <v>395</v>
      </c>
      <c r="L11" s="63" t="s">
        <v>396</v>
      </c>
      <c r="M11" s="64" t="s">
        <v>397</v>
      </c>
      <c r="N11" s="67" t="s">
        <v>384</v>
      </c>
    </row>
    <row r="12" spans="1:19" x14ac:dyDescent="0.75">
      <c r="E12" s="65"/>
      <c r="I12" s="14"/>
      <c r="J12" s="9"/>
      <c r="K12" s="9"/>
      <c r="L12" s="9"/>
      <c r="M12" s="9"/>
    </row>
    <row r="13" spans="1:19" x14ac:dyDescent="0.75">
      <c r="D13" s="14"/>
      <c r="E13" s="9"/>
      <c r="F13" s="64" t="s">
        <v>397</v>
      </c>
      <c r="G13" s="67" t="s">
        <v>384</v>
      </c>
      <c r="H13" s="67"/>
      <c r="I13" s="14"/>
      <c r="J13" s="9"/>
      <c r="K13" s="64"/>
      <c r="L13" s="64"/>
      <c r="M13" s="64"/>
      <c r="N13" s="67"/>
    </row>
    <row r="14" spans="1:19" x14ac:dyDescent="0.75">
      <c r="A14" s="22"/>
      <c r="B14" s="8" t="str">
        <f>'A.4 Specimen'!B5</f>
        <v>SpecimenLab</v>
      </c>
      <c r="C14" s="9"/>
      <c r="D14" s="4" t="s">
        <v>460</v>
      </c>
      <c r="E14" s="8"/>
      <c r="F14" s="68"/>
      <c r="G14" s="68"/>
      <c r="I14" s="14"/>
      <c r="J14" s="9"/>
      <c r="K14" s="9"/>
      <c r="L14" s="9"/>
      <c r="M14" s="64"/>
      <c r="N14" s="67"/>
    </row>
    <row r="15" spans="1:19" ht="44.25" x14ac:dyDescent="0.75">
      <c r="A15" s="22"/>
      <c r="B15" s="9" t="str">
        <f>'A.4 Specimen'!B8</f>
        <v>identifier</v>
      </c>
      <c r="C15" s="9" t="str">
        <f>'A.4 Specimen'!C8</f>
        <v>A.4.1 Specimen identifier</v>
      </c>
      <c r="D15" s="14" t="s">
        <v>221</v>
      </c>
      <c r="E15" s="56"/>
      <c r="F15" s="68" t="s">
        <v>398</v>
      </c>
      <c r="G15" s="68"/>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2"/>
      <c r="B16" s="48" t="str">
        <f>'A.4 Specimen'!B9</f>
        <v>speciesType</v>
      </c>
      <c r="C16" s="9" t="str">
        <f>'A.4 Specimen'!C9</f>
        <v>A.4.2 Type of species</v>
      </c>
      <c r="D16" s="14" t="s">
        <v>530</v>
      </c>
      <c r="E16" s="9"/>
      <c r="F16" s="68" t="s">
        <v>399</v>
      </c>
      <c r="G16" s="68" t="s">
        <v>558</v>
      </c>
      <c r="H16" s="69"/>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2"/>
      <c r="B17" s="9" t="str">
        <f>'A.4 Specimen'!B10</f>
        <v>material</v>
      </c>
      <c r="C17" s="9" t="str">
        <f>'A.4 Specimen'!C10</f>
        <v>A.4.3 Material</v>
      </c>
      <c r="D17" s="14" t="s">
        <v>461</v>
      </c>
      <c r="E17" s="9"/>
      <c r="F17" s="68" t="s">
        <v>398</v>
      </c>
      <c r="G17" s="68"/>
      <c r="H17" s="69"/>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2"/>
      <c r="B18" s="9" t="str">
        <f>'A.4 Specimen'!B11</f>
        <v>collected</v>
      </c>
      <c r="C18" s="9" t="str">
        <f>'A.4 Specimen'!C11</f>
        <v>A.4.4 Collection period</v>
      </c>
      <c r="D18" s="14" t="s">
        <v>463</v>
      </c>
      <c r="E18" s="9"/>
      <c r="F18" s="68" t="s">
        <v>398</v>
      </c>
      <c r="G18" s="68"/>
      <c r="H18" s="69"/>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2"/>
      <c r="B19" s="9" t="str">
        <f>'A.4 Specimen'!B12</f>
        <v>anatomicLocation</v>
      </c>
      <c r="C19" s="9" t="str">
        <f>'A.4 Specimen'!C12</f>
        <v>A.4.5 Anatomic location</v>
      </c>
      <c r="D19" s="14" t="s">
        <v>465</v>
      </c>
      <c r="E19" s="9"/>
      <c r="F19" s="68" t="s">
        <v>399</v>
      </c>
      <c r="G19" s="68"/>
      <c r="H19" s="69"/>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2"/>
      <c r="B20" s="9" t="str">
        <f>'A.4 Specimen'!B12</f>
        <v>anatomicLocation</v>
      </c>
      <c r="C20" s="9" t="str">
        <f>'A.4 Specimen'!C12</f>
        <v>A.4.5 Anatomic location</v>
      </c>
      <c r="D20" s="14" t="s">
        <v>601</v>
      </c>
      <c r="E20" s="9"/>
      <c r="F20" s="68" t="s">
        <v>399</v>
      </c>
      <c r="G20" s="68" t="s">
        <v>600</v>
      </c>
      <c r="H20" s="69"/>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2"/>
      <c r="B21" s="9" t="str">
        <f>'A.4 Specimen'!B13</f>
        <v>morphology</v>
      </c>
      <c r="C21" s="9" t="str">
        <f>'A.4 Specimen'!C13</f>
        <v>A.4.6 Morphology</v>
      </c>
      <c r="D21" s="14" t="s">
        <v>601</v>
      </c>
      <c r="E21" s="14"/>
      <c r="F21" s="68" t="s">
        <v>399</v>
      </c>
      <c r="G21" s="68" t="s">
        <v>600</v>
      </c>
      <c r="H21" s="69"/>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2"/>
      <c r="B22" s="9" t="str">
        <f>'A.4 Specimen'!B14</f>
        <v>sourceDevice</v>
      </c>
      <c r="C22" s="9" t="str">
        <f>'A.4 Specimen'!C14</f>
        <v>A.4.7 Source Device</v>
      </c>
      <c r="D22" s="14" t="s">
        <v>407</v>
      </c>
      <c r="E22" s="9"/>
      <c r="F22" s="68" t="s">
        <v>399</v>
      </c>
      <c r="G22" s="88" t="s">
        <v>606</v>
      </c>
      <c r="H22" s="69"/>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2"/>
      <c r="B23" s="9" t="str">
        <f>'A.4 Specimen'!B15</f>
        <v>collectionMethod</v>
      </c>
      <c r="C23" s="9" t="str">
        <f>'A.4 Specimen'!C15</f>
        <v>A.4.8 Collection procedure/method</v>
      </c>
      <c r="D23" s="14" t="s">
        <v>466</v>
      </c>
      <c r="E23" s="9"/>
      <c r="F23" s="68" t="s">
        <v>398</v>
      </c>
      <c r="G23" s="68"/>
      <c r="H23" s="69"/>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2"/>
      <c r="B24" s="9" t="str">
        <f>'A.4 Specimen'!B16</f>
        <v>receivedDateTime</v>
      </c>
      <c r="C24" s="9" t="str">
        <f>'A.4 Specimen'!C16</f>
        <v>A.4.9 Received date</v>
      </c>
      <c r="D24" s="14" t="s">
        <v>467</v>
      </c>
      <c r="E24" s="9"/>
      <c r="F24" s="68" t="s">
        <v>398</v>
      </c>
      <c r="G24" s="68"/>
      <c r="H24" s="69"/>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2"/>
      <c r="B25" s="9"/>
      <c r="C25" s="9"/>
      <c r="D25" s="14"/>
      <c r="E25" s="9"/>
      <c r="F25" s="68"/>
      <c r="G25" s="68"/>
      <c r="H25" s="69"/>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2"/>
      <c r="B26" s="9"/>
      <c r="C26" s="9"/>
      <c r="D26" s="14"/>
      <c r="E26" s="14"/>
      <c r="F26" s="68"/>
      <c r="G26" s="68"/>
      <c r="H26" s="69"/>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2"/>
      <c r="B27" s="9"/>
      <c r="C27" s="9"/>
      <c r="D27" s="14"/>
      <c r="E27" s="14"/>
      <c r="F27" s="68"/>
      <c r="G27" s="68"/>
      <c r="H27" s="69"/>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68"/>
      <c r="G28" s="68"/>
      <c r="H28" s="69"/>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68"/>
      <c r="G29" s="68"/>
      <c r="H29" s="69"/>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68"/>
      <c r="G30" s="68"/>
      <c r="H30" s="69"/>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68"/>
      <c r="G31" s="68"/>
      <c r="H31" s="69"/>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68"/>
      <c r="G32" s="68"/>
      <c r="H32" s="69"/>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68"/>
      <c r="G33" s="68"/>
      <c r="H33" s="69"/>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68"/>
      <c r="G34" s="68"/>
      <c r="H34" s="69"/>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68"/>
      <c r="G35" s="68"/>
      <c r="H35" s="69"/>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68"/>
      <c r="G36" s="68"/>
      <c r="H36" s="69"/>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68"/>
      <c r="G37" s="68"/>
      <c r="H37" s="69"/>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68"/>
      <c r="G38" s="68"/>
      <c r="H38" s="69"/>
      <c r="K38" s="69"/>
      <c r="L38" s="69"/>
      <c r="M38" s="67"/>
      <c r="N38" s="67"/>
      <c r="P38" s="9">
        <v>24</v>
      </c>
      <c r="Q38" s="9">
        <f t="shared" si="8"/>
        <v>3</v>
      </c>
      <c r="R38" s="9">
        <f t="shared" si="9"/>
        <v>6</v>
      </c>
      <c r="S38" s="14" t="str" cm="1">
        <f t="array" ref="S38">INDEX('Specimen-ConceptMap-1'!$I$15:$N$124,Q38+1,R38)</f>
        <v/>
      </c>
    </row>
    <row r="39" spans="1:19" x14ac:dyDescent="0.75">
      <c r="B39" s="9"/>
      <c r="C39" s="9"/>
      <c r="D39" s="14"/>
      <c r="E39" s="14"/>
      <c r="F39" s="68"/>
      <c r="G39" s="68"/>
      <c r="H39" s="69"/>
      <c r="K39" s="69"/>
      <c r="L39" s="69"/>
      <c r="M39" s="67"/>
      <c r="N39" s="67"/>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68"/>
      <c r="G40" s="69"/>
      <c r="H40" s="69"/>
      <c r="J40"/>
      <c r="K40" s="69"/>
      <c r="L40" s="69"/>
      <c r="M40" s="67"/>
      <c r="N40" s="67"/>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54"/>
      <c r="F41" s="69"/>
      <c r="G41" s="69"/>
      <c r="H41" s="69"/>
      <c r="J41"/>
      <c r="K41" s="69"/>
      <c r="L41" s="69"/>
      <c r="M41" s="67"/>
      <c r="N41" s="67"/>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69"/>
      <c r="G42" s="69"/>
      <c r="H42" s="69"/>
      <c r="J42"/>
      <c r="K42" s="69"/>
      <c r="L42" s="69"/>
      <c r="M42" s="67"/>
      <c r="N42" s="67"/>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69"/>
      <c r="G43" s="69"/>
      <c r="H43" s="69"/>
      <c r="J43" s="69"/>
      <c r="K43" s="69"/>
      <c r="L43" s="69"/>
      <c r="M43" s="67"/>
      <c r="N43" s="67"/>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69"/>
      <c r="G44" s="69"/>
      <c r="H44" s="69"/>
      <c r="J44" s="69"/>
      <c r="K44" s="69"/>
      <c r="L44" s="69"/>
      <c r="M44" s="67"/>
      <c r="N44" s="67"/>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display="http://hl7.eu/fhir/laboratory/StructureDefinition/Specimen-eu-lab" xr:uid="{EA53D4EF-7354-4FED-9375-E7B752C35F2D}"/>
    <hyperlink ref="E7" r:id="rId4" display="http://hl7.eu/fhir/laboratory/StructureDefinition/Specimen-eu-lab" xr:uid="{AA9573A5-F4A4-43F0-810C-38F711BC722B}"/>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456</v>
      </c>
      <c r="D3" s="66" t="s">
        <v>414</v>
      </c>
      <c r="E3" s="77" t="str">
        <f>"http://hl7.eu/fhir/ig/xpandh/ps/StructureDefinition/"&amp;'A.4 Specimen'!B5</f>
        <v>http://hl7.eu/fhir/ig/xpandh/ps/StructureDefinition/SpecimenLab</v>
      </c>
    </row>
    <row r="4" spans="1:19" x14ac:dyDescent="0.75">
      <c r="B4" s="66" t="s">
        <v>19</v>
      </c>
      <c r="C4" s="49" t="s">
        <v>828</v>
      </c>
      <c r="D4" s="66" t="s">
        <v>415</v>
      </c>
      <c r="E4" s="140" t="s">
        <v>1227</v>
      </c>
      <c r="F4" s="136"/>
      <c r="G4" s="136"/>
    </row>
    <row r="5" spans="1:19" x14ac:dyDescent="0.75">
      <c r="B5" s="66" t="s">
        <v>13</v>
      </c>
      <c r="C5" s="10" t="s">
        <v>457</v>
      </c>
      <c r="D5" s="66"/>
      <c r="E5" s="10"/>
    </row>
    <row r="6" spans="1:19" x14ac:dyDescent="0.75">
      <c r="B6" s="66" t="s">
        <v>35</v>
      </c>
      <c r="C6" s="65"/>
      <c r="D6" s="66" t="s">
        <v>412</v>
      </c>
      <c r="E6" s="140" t="str">
        <f>E3</f>
        <v>http://hl7.eu/fhir/ig/xpandh/ps/StructureDefinition/SpecimenLab</v>
      </c>
      <c r="F6" s="136"/>
      <c r="G6" s="136"/>
    </row>
    <row r="7" spans="1:19" x14ac:dyDescent="0.75">
      <c r="B7" s="66" t="s">
        <v>18</v>
      </c>
      <c r="C7" s="73"/>
      <c r="D7" s="66" t="s">
        <v>413</v>
      </c>
      <c r="E7" s="140" t="s">
        <v>1228</v>
      </c>
      <c r="F7" s="136"/>
      <c r="G7" s="136"/>
    </row>
    <row r="8" spans="1:19" ht="44.25" x14ac:dyDescent="0.75">
      <c r="B8" s="66" t="s">
        <v>410</v>
      </c>
      <c r="C8" s="48" t="s">
        <v>458</v>
      </c>
      <c r="D8" s="66"/>
      <c r="E8" s="10"/>
      <c r="I8" s="14" t="s">
        <v>387</v>
      </c>
      <c r="J8" s="14" t="s">
        <v>388</v>
      </c>
      <c r="K8" s="14" t="s">
        <v>389</v>
      </c>
      <c r="L8" s="14" t="s">
        <v>390</v>
      </c>
      <c r="M8" s="9" t="s">
        <v>391</v>
      </c>
      <c r="P8" s="62" t="s">
        <v>392</v>
      </c>
      <c r="Q8" s="62">
        <v>6</v>
      </c>
    </row>
    <row r="9" spans="1:19" ht="29.5" x14ac:dyDescent="0.75">
      <c r="B9" s="66" t="s">
        <v>411</v>
      </c>
      <c r="C9" s="14" t="s">
        <v>459</v>
      </c>
      <c r="D9" s="66"/>
      <c r="E9"/>
      <c r="I9" s="14"/>
      <c r="J9" s="9"/>
      <c r="K9" s="9"/>
      <c r="L9" s="9"/>
      <c r="M9" s="9"/>
    </row>
    <row r="10" spans="1:19" x14ac:dyDescent="0.75">
      <c r="B10" s="66"/>
      <c r="C10" s="9"/>
      <c r="D10" s="66"/>
      <c r="E10"/>
      <c r="I10" s="14"/>
      <c r="J10" s="9"/>
      <c r="K10" s="9"/>
      <c r="L10" s="9"/>
      <c r="M10" s="9"/>
    </row>
    <row r="11" spans="1:19" x14ac:dyDescent="0.75">
      <c r="E11" s="10"/>
      <c r="I11" s="24" t="s">
        <v>393</v>
      </c>
      <c r="J11" s="63" t="s">
        <v>394</v>
      </c>
      <c r="K11" s="24" t="s">
        <v>395</v>
      </c>
      <c r="L11" s="63" t="s">
        <v>396</v>
      </c>
      <c r="M11" s="64" t="s">
        <v>397</v>
      </c>
      <c r="N11" s="67" t="s">
        <v>384</v>
      </c>
    </row>
    <row r="12" spans="1:19" x14ac:dyDescent="0.75">
      <c r="E12" s="65"/>
      <c r="I12" s="14"/>
      <c r="J12" s="9"/>
      <c r="K12" s="9"/>
      <c r="L12" s="9"/>
      <c r="M12" s="9"/>
    </row>
    <row r="13" spans="1:19" x14ac:dyDescent="0.75">
      <c r="D13" s="14"/>
      <c r="E13" s="9"/>
      <c r="F13" s="64" t="s">
        <v>397</v>
      </c>
      <c r="G13" s="67" t="s">
        <v>384</v>
      </c>
      <c r="H13" s="67"/>
      <c r="I13" s="14"/>
      <c r="J13" s="9"/>
      <c r="K13" s="64"/>
      <c r="L13" s="64"/>
      <c r="M13" s="64"/>
      <c r="N13" s="67"/>
    </row>
    <row r="14" spans="1:19" x14ac:dyDescent="0.75">
      <c r="A14" s="22"/>
      <c r="B14" s="8" t="str">
        <f>'A.4 Specimen'!B5</f>
        <v>SpecimenLab</v>
      </c>
      <c r="C14" s="9"/>
      <c r="D14" s="4" t="s">
        <v>602</v>
      </c>
      <c r="E14" s="8"/>
      <c r="F14" s="68"/>
      <c r="G14" s="68"/>
      <c r="I14" s="14"/>
      <c r="J14" s="9"/>
      <c r="K14" s="9"/>
      <c r="L14" s="9"/>
      <c r="M14" s="64"/>
      <c r="N14" s="67"/>
    </row>
    <row r="15" spans="1:19" ht="44.25" x14ac:dyDescent="0.75">
      <c r="A15" s="22"/>
      <c r="B15" s="9" t="str">
        <f>'A.4 Specimen'!B12</f>
        <v>anatomicLocation</v>
      </c>
      <c r="C15" s="9" t="str">
        <f>'A.4 Specimen'!C12</f>
        <v>A.4.5 Anatomic location</v>
      </c>
      <c r="D15" s="14" t="s">
        <v>603</v>
      </c>
      <c r="E15" s="8"/>
      <c r="F15" s="68" t="s">
        <v>398</v>
      </c>
      <c r="G15" s="68"/>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2"/>
      <c r="B16" s="9" t="str">
        <f>'A.4 Specimen'!B12</f>
        <v>anatomicLocation</v>
      </c>
      <c r="C16" s="9" t="str">
        <f>'A.4 Specimen'!C12</f>
        <v>A.4.5 Anatomic location</v>
      </c>
      <c r="D16" s="14" t="s">
        <v>604</v>
      </c>
      <c r="E16" s="9"/>
      <c r="F16" s="68" t="s">
        <v>398</v>
      </c>
      <c r="G16" s="68" t="s">
        <v>605</v>
      </c>
      <c r="H16" s="69"/>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2"/>
      <c r="B17" s="9" t="str">
        <f>'A.4 Specimen'!B13</f>
        <v>morphology</v>
      </c>
      <c r="C17" s="9" t="str">
        <f>'A.4 Specimen'!C13</f>
        <v>A.4.6 Morphology</v>
      </c>
      <c r="D17" s="14" t="s">
        <v>278</v>
      </c>
      <c r="E17" s="14"/>
      <c r="F17" s="68" t="s">
        <v>398</v>
      </c>
      <c r="G17" s="68"/>
      <c r="H17" s="69"/>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2"/>
      <c r="B18" s="9"/>
      <c r="C18" s="9"/>
      <c r="D18" s="14"/>
      <c r="E18" s="9"/>
      <c r="F18" s="68"/>
      <c r="G18" s="68"/>
      <c r="H18" s="69"/>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2"/>
      <c r="B19" s="9"/>
      <c r="C19" s="9"/>
      <c r="D19" s="14"/>
      <c r="E19" s="14"/>
      <c r="F19" s="68"/>
      <c r="G19" s="68"/>
      <c r="H19" s="69"/>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2"/>
      <c r="B20" s="9"/>
      <c r="C20" s="9"/>
      <c r="D20" s="14"/>
      <c r="E20" s="14"/>
      <c r="F20" s="68"/>
      <c r="G20" s="68"/>
      <c r="H20" s="69"/>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68"/>
      <c r="G21" s="68"/>
      <c r="H21" s="69"/>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68"/>
      <c r="G22" s="68"/>
      <c r="H22" s="69"/>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68"/>
      <c r="G23" s="68"/>
      <c r="H23" s="69"/>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68"/>
      <c r="G24" s="68"/>
      <c r="H24" s="69"/>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68"/>
      <c r="G25" s="68"/>
      <c r="H25" s="69"/>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68"/>
      <c r="G26" s="68"/>
      <c r="H26" s="69"/>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68"/>
      <c r="G27" s="68"/>
      <c r="H27" s="69"/>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68"/>
      <c r="G28" s="68"/>
      <c r="H28" s="69"/>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68"/>
      <c r="G29" s="68"/>
      <c r="H29" s="69"/>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68"/>
      <c r="G30" s="68"/>
      <c r="H30" s="69"/>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68"/>
      <c r="G31" s="68"/>
      <c r="H31" s="69"/>
      <c r="K31" s="69"/>
      <c r="L31" s="69"/>
      <c r="M31" s="67"/>
      <c r="N31" s="67"/>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68"/>
      <c r="G32" s="68"/>
      <c r="H32" s="69"/>
      <c r="K32" s="69"/>
      <c r="L32" s="69"/>
      <c r="M32" s="67"/>
      <c r="N32" s="67"/>
      <c r="P32" s="9">
        <v>18</v>
      </c>
      <c r="Q32" s="9">
        <f t="shared" si="8"/>
        <v>2</v>
      </c>
      <c r="R32" s="9">
        <f t="shared" si="9"/>
        <v>6</v>
      </c>
      <c r="S32" s="14" t="str" cm="1">
        <f t="array" ref="S32">INDEX('Specimen-ConceptMap-2'!$I$15:$N$116,Q32+1,R32)</f>
        <v/>
      </c>
    </row>
    <row r="33" spans="1:19" s="1" customFormat="1" x14ac:dyDescent="0.75">
      <c r="A33"/>
      <c r="B33" s="9"/>
      <c r="C33" s="9"/>
      <c r="D33" s="14"/>
      <c r="E33" s="14"/>
      <c r="F33" s="68"/>
      <c r="G33" s="69"/>
      <c r="H33" s="69"/>
      <c r="J33"/>
      <c r="K33" s="69"/>
      <c r="L33" s="69"/>
      <c r="M33" s="67"/>
      <c r="N33" s="67"/>
      <c r="P33" s="9">
        <v>19</v>
      </c>
      <c r="Q33" s="9">
        <f t="shared" si="8"/>
        <v>3</v>
      </c>
      <c r="R33" s="9">
        <f t="shared" si="9"/>
        <v>1</v>
      </c>
      <c r="S33" s="14" cm="1">
        <f t="array" ref="S33">INDEX('Specimen-ConceptMap-2'!$I$15:$N$116,Q33+1,R33)</f>
        <v>0</v>
      </c>
    </row>
    <row r="34" spans="1:19" s="1" customFormat="1" x14ac:dyDescent="0.75">
      <c r="A34"/>
      <c r="B34" s="9"/>
      <c r="C34" s="9"/>
      <c r="D34" s="54"/>
      <c r="F34" s="69"/>
      <c r="G34" s="69"/>
      <c r="H34" s="69"/>
      <c r="J34"/>
      <c r="K34" s="69"/>
      <c r="L34" s="69"/>
      <c r="M34" s="67"/>
      <c r="N34" s="67"/>
      <c r="P34" s="9">
        <v>20</v>
      </c>
      <c r="Q34" s="9">
        <f t="shared" si="8"/>
        <v>3</v>
      </c>
      <c r="R34" s="9">
        <f t="shared" si="9"/>
        <v>2</v>
      </c>
      <c r="S34" s="14" cm="1">
        <f t="array" ref="S34">INDEX('Specimen-ConceptMap-2'!$I$15:$N$116,Q34+1,R34)</f>
        <v>0</v>
      </c>
    </row>
    <row r="35" spans="1:19" s="1" customFormat="1" x14ac:dyDescent="0.75">
      <c r="A35"/>
      <c r="B35" s="9"/>
      <c r="C35" s="9"/>
      <c r="F35" s="69"/>
      <c r="G35" s="69"/>
      <c r="H35" s="69"/>
      <c r="J35"/>
      <c r="K35" s="69"/>
      <c r="L35" s="69"/>
      <c r="M35" s="67"/>
      <c r="N35" s="67"/>
      <c r="P35" s="9">
        <v>21</v>
      </c>
      <c r="Q35" s="9">
        <f t="shared" si="8"/>
        <v>3</v>
      </c>
      <c r="R35" s="9">
        <f t="shared" si="9"/>
        <v>3</v>
      </c>
      <c r="S35" s="14" cm="1">
        <f t="array" ref="S35">INDEX('Specimen-ConceptMap-2'!$I$15:$N$116,Q35+1,R35)</f>
        <v>0</v>
      </c>
    </row>
    <row r="36" spans="1:19" s="1" customFormat="1" x14ac:dyDescent="0.75">
      <c r="A36"/>
      <c r="B36" s="9"/>
      <c r="C36" s="9"/>
      <c r="F36" s="69"/>
      <c r="G36" s="69"/>
      <c r="H36" s="69"/>
      <c r="J36" s="69"/>
      <c r="K36" s="69"/>
      <c r="L36" s="69"/>
      <c r="M36" s="67"/>
      <c r="N36" s="67"/>
      <c r="P36" s="9">
        <v>22</v>
      </c>
      <c r="Q36" s="9">
        <f t="shared" si="8"/>
        <v>3</v>
      </c>
      <c r="R36" s="9">
        <f t="shared" si="9"/>
        <v>4</v>
      </c>
      <c r="S36" s="14" cm="1">
        <f t="array" ref="S36">INDEX('Specimen-ConceptMap-2'!$I$15:$N$116,Q36+1,R36)</f>
        <v>0</v>
      </c>
    </row>
    <row r="37" spans="1:19" s="1" customFormat="1" x14ac:dyDescent="0.75">
      <c r="A37"/>
      <c r="B37" s="9"/>
      <c r="C37" s="9"/>
      <c r="F37" s="69"/>
      <c r="G37" s="69"/>
      <c r="H37" s="69"/>
      <c r="J37" s="69"/>
      <c r="K37" s="69"/>
      <c r="L37" s="69"/>
      <c r="M37" s="67"/>
      <c r="N37" s="67"/>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display="http://hl7.eu/fhir/laboratory/StructureDefinition/Specimen-eu-lab" xr:uid="{6D09362C-E4C4-428D-8922-479BFB28A976}"/>
    <hyperlink ref="E7" r:id="rId4" display="http://hl7.eu/fhir/laboratory/StructureDefinition/bodyStructure-eu-lab" xr:uid="{77C1EDB4-E7AA-427D-B7A0-D808DA5FFF76}"/>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401</v>
      </c>
      <c r="G2" s="50" t="s">
        <v>468</v>
      </c>
    </row>
    <row r="3" spans="2:7" x14ac:dyDescent="0.75">
      <c r="B3" s="32" t="s">
        <v>37</v>
      </c>
    </row>
    <row r="4" spans="2:7" x14ac:dyDescent="0.75">
      <c r="B4" s="70" t="str">
        <f>"Instance: "&amp;'Specimen-ConceptMap-1'!C4</f>
        <v>Instance: specimen2FHIR-eu-ps</v>
      </c>
    </row>
    <row r="5" spans="2:7" x14ac:dyDescent="0.75">
      <c r="B5" s="70" t="s">
        <v>402</v>
      </c>
    </row>
    <row r="6" spans="2:7" x14ac:dyDescent="0.75">
      <c r="B6" s="70" t="s">
        <v>403</v>
      </c>
    </row>
    <row r="7" spans="2:7" x14ac:dyDescent="0.75">
      <c r="B7" s="70" t="s">
        <v>409</v>
      </c>
    </row>
    <row r="8" spans="2:7" x14ac:dyDescent="0.75">
      <c r="B8" s="70" t="str">
        <f>"* name = ##34#"&amp;'Specimen-ConceptMap-1'!C3&amp;"##34#"</f>
        <v>* name = ##34#Specimen2Fhir##34#</v>
      </c>
    </row>
    <row r="9" spans="2:7" x14ac:dyDescent="0.75">
      <c r="B9" s="70" t="str">
        <f>"* title = ##34#"&amp;'Specimen-ConceptMap-1'!C5&amp;"##34#"</f>
        <v>* title = ##34#eHN Specimen to this guide Map##34#</v>
      </c>
    </row>
    <row r="10" spans="2:7" x14ac:dyDescent="0.75">
      <c r="B10" s="70" t="s">
        <v>404</v>
      </c>
    </row>
    <row r="11" spans="2:7" x14ac:dyDescent="0.75">
      <c r="B11" s="70" t="s">
        <v>405</v>
      </c>
    </row>
    <row r="12" spans="2:7" x14ac:dyDescent="0.75">
      <c r="B12" s="70" t="str">
        <f>"* description = ##34#"&amp;'Specimen-ConceptMap-1'!C8&amp;"##34#"</f>
        <v>* description = ##34#eHN Specimen Model to this guide Map##34#</v>
      </c>
    </row>
    <row r="13" spans="2:7" x14ac:dyDescent="0.75">
      <c r="B13" s="70" t="str">
        <f>"* purpose = ##34#"&amp;'Specimen-ConceptMap-1'!C9&amp;"##34#"</f>
        <v>* purpose = ##34#It shows how the Specimen data set defined by the EU eHN guidelines is mapped into this guide##34#</v>
      </c>
    </row>
    <row r="14" spans="2:7" x14ac:dyDescent="0.75">
      <c r="B14" s="71" t="str">
        <f>"* sourceUri = ##34#"&amp;'Specimen-ConceptMap-1'!E3&amp;"##34#"</f>
        <v>* sourceUri = ##34#http://hl7.eu/fhir/ig/xpandh/ps/StructureDefinition/SpecimenLab##34#</v>
      </c>
    </row>
    <row r="15" spans="2:7" x14ac:dyDescent="0.75">
      <c r="B15" s="71" t="str">
        <f>"* targetUri = ##34#"&amp;'Specimen-ConceptMap-1'!E4&amp;"##34#"</f>
        <v>* targetUri = ##34#http://hl7.eu/fhir/ig/xpandh/ps/StructureDefinition/Specimen-eu-ps##34#</v>
      </c>
    </row>
    <row r="16" spans="2:7" x14ac:dyDescent="0.75">
      <c r="B16" s="72" t="str">
        <f>"* group[+].source = ##34#"&amp;'Specimen-ConceptMap-1'!E6&amp;"##34#"</f>
        <v>* group[+].source = ##34#http://hl7.eu/fhir/ig/xpandh/ps/StructureDefinition/SpecimenLab##34#</v>
      </c>
    </row>
    <row r="17" spans="2:7" x14ac:dyDescent="0.75">
      <c r="B17" s="72" t="str">
        <f>"* group[=].target = ##34#"&amp;'Specimen-ConceptMap-1'!E7&amp;"##34#"</f>
        <v>* group[=].target = ##34#http://hl7.eu/fhir/ig/xpandh/ps/StructureDefinition/Specimen-eu-ps##34#</v>
      </c>
    </row>
    <row r="18" spans="2:7" x14ac:dyDescent="0.75">
      <c r="B18" s="74"/>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92"/>
    </row>
    <row r="87" spans="2:2" x14ac:dyDescent="0.75">
      <c r="B87" s="93" t="str">
        <f>"* group[+].source = ##34#"&amp;'Specimen-ConceptMap-2'!E6&amp;"##34#"</f>
        <v>* group[+].source = ##34#http://hl7.eu/fhir/ig/xpandh/ps/StructureDefinition/SpecimenLab##34#</v>
      </c>
    </row>
    <row r="88" spans="2:2" x14ac:dyDescent="0.75">
      <c r="B88" s="93" t="str">
        <f>"* group[=].target = ##34#"&amp;'Specimen-ConceptMap-2'!E7&amp;"##34#"</f>
        <v>* group[=].target = ##34#http://hl7.eu/fhir/ig/xpandh/ps/StructureDefinition/bodyStructure-eu-ps##34#</v>
      </c>
    </row>
    <row r="89" spans="2:2" x14ac:dyDescent="0.75">
      <c r="B89" s="92"/>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689</v>
      </c>
      <c r="I4" s="24" t="str">
        <f>CONCATENATE("Logical: ",B4)</f>
        <v>Logical: ResultPsEhn</v>
      </c>
    </row>
    <row r="5" spans="1:11" x14ac:dyDescent="0.75">
      <c r="A5" s="17" t="s">
        <v>19</v>
      </c>
      <c r="B5" s="33" t="s">
        <v>281</v>
      </c>
      <c r="I5" s="24" t="str">
        <f>CONCATENATE("Id: ",B5)</f>
        <v>Id: Result</v>
      </c>
    </row>
    <row r="6" spans="1:11" x14ac:dyDescent="0.75">
      <c r="A6" s="17" t="s">
        <v>13</v>
      </c>
      <c r="B6" s="14" t="s">
        <v>528</v>
      </c>
      <c r="I6" s="25" t="str">
        <f>CONCATENATE("Title: ##34#",B6,"##34#")</f>
        <v>Title: ##34#A.5 - Results data elements##34#</v>
      </c>
    </row>
    <row r="7" spans="1:11" x14ac:dyDescent="0.75">
      <c r="A7" s="45" t="s">
        <v>5</v>
      </c>
      <c r="B7" s="14" t="s">
        <v>552</v>
      </c>
      <c r="C7" s="12"/>
      <c r="D7" s="2"/>
      <c r="E7" s="51"/>
      <c r="F7" s="3" t="s">
        <v>9</v>
      </c>
      <c r="G7" s="3" t="s">
        <v>10</v>
      </c>
      <c r="I7" s="25" t="str">
        <f>CONCATENATE("Description: "," ##334#",B7,"##334#",)</f>
        <v>Description:  ##334#Results data elements. Section A5 of the eHN guideline.##334#</v>
      </c>
    </row>
    <row r="8" spans="1:11" ht="29.5" x14ac:dyDescent="0.75">
      <c r="A8" s="9">
        <v>1</v>
      </c>
      <c r="B8" s="9" t="s">
        <v>300</v>
      </c>
      <c r="C8" s="14" t="s">
        <v>766</v>
      </c>
      <c r="D8" s="14" t="s">
        <v>766</v>
      </c>
      <c r="E8" s="9">
        <v>0</v>
      </c>
      <c r="F8" s="9">
        <v>1</v>
      </c>
      <c r="G8" s="9" t="s">
        <v>4</v>
      </c>
      <c r="H8" s="22"/>
      <c r="I8" s="14" t="str">
        <f>CONCATENATE("* ",B8, " ",E8,"..",F8," ",G8," ##34#",C8,"##34# ##334#",D8,"##334#")</f>
        <v>* narrative 0..1 BackboneElement ##34#A.5.1 Patient Summary narrative##34# ##334#A.5.1 Patient Summary narrative##334#</v>
      </c>
    </row>
    <row r="9" spans="1:11" ht="44.25" x14ac:dyDescent="0.75">
      <c r="A9" s="9">
        <v>2</v>
      </c>
      <c r="B9" s="9" t="s">
        <v>301</v>
      </c>
      <c r="C9" s="1" t="s">
        <v>284</v>
      </c>
      <c r="D9" s="14" t="s">
        <v>364</v>
      </c>
      <c r="E9" s="9">
        <v>0</v>
      </c>
      <c r="F9" s="9" t="s">
        <v>11</v>
      </c>
      <c r="G9" s="9" t="s">
        <v>304</v>
      </c>
      <c r="H9" s="22"/>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302</v>
      </c>
      <c r="C10" s="14" t="s">
        <v>285</v>
      </c>
      <c r="D10" s="54" t="s">
        <v>144</v>
      </c>
      <c r="E10" s="9">
        <v>0</v>
      </c>
      <c r="F10" s="9" t="s">
        <v>11</v>
      </c>
      <c r="G10" s="9" t="s">
        <v>304</v>
      </c>
      <c r="H10" s="22"/>
      <c r="I10" s="14" t="str">
        <f t="shared" si="0"/>
        <v>* narrative.notes 0..* Narrative ##34#A.5.1.2 Comments, interpretation and recommendations##34# ##334#Comments, such as a textual interpretation or advice accompanying the result report, for example.##334#</v>
      </c>
    </row>
    <row r="11" spans="1:11" ht="44.25" x14ac:dyDescent="0.75">
      <c r="A11" s="53">
        <v>4</v>
      </c>
      <c r="B11" s="9" t="s">
        <v>303</v>
      </c>
      <c r="C11" s="47" t="s">
        <v>305</v>
      </c>
      <c r="D11" s="47" t="s">
        <v>339</v>
      </c>
      <c r="E11" s="53">
        <v>0</v>
      </c>
      <c r="F11" s="53" t="s">
        <v>11</v>
      </c>
      <c r="G11" s="9" t="s">
        <v>4</v>
      </c>
      <c r="H11" s="22"/>
      <c r="I11" s="14" t="str">
        <f t="shared" si="0"/>
        <v>* observation 0..* BackboneElement ##34#A.5.2 Observation details##34# ##334#A.5.2 Observation details (report could consist of multiple observations) ##334#</v>
      </c>
    </row>
    <row r="12" spans="1:11" ht="44.25" x14ac:dyDescent="0.75">
      <c r="A12" s="9">
        <v>5</v>
      </c>
      <c r="B12" s="9" t="s">
        <v>306</v>
      </c>
      <c r="C12" s="47" t="s">
        <v>286</v>
      </c>
      <c r="D12" s="14" t="s">
        <v>299</v>
      </c>
      <c r="E12" s="53">
        <v>0</v>
      </c>
      <c r="F12" s="53" t="s">
        <v>11</v>
      </c>
      <c r="G12" s="9" t="s">
        <v>1</v>
      </c>
      <c r="H12" s="22"/>
      <c r="I12" s="14" t="str">
        <f t="shared" si="0"/>
        <v>* observation.dateTime 0..* CodeableConcept ##34#A.5.2.1 Observation date##34# ##334#Date and time of the observation - Preferred system(s): ISO 8601##334#</v>
      </c>
    </row>
    <row r="13" spans="1:11" ht="88.5" x14ac:dyDescent="0.75">
      <c r="A13" s="9">
        <v>6</v>
      </c>
      <c r="B13" s="9" t="s">
        <v>307</v>
      </c>
      <c r="C13" s="14" t="s">
        <v>287</v>
      </c>
      <c r="D13" s="47" t="s">
        <v>308</v>
      </c>
      <c r="E13" s="53">
        <v>0</v>
      </c>
      <c r="F13" s="53" t="s">
        <v>11</v>
      </c>
      <c r="G13" s="9" t="s">
        <v>1</v>
      </c>
      <c r="H13" s="22"/>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309</v>
      </c>
      <c r="C14" s="9" t="s">
        <v>288</v>
      </c>
      <c r="D14" s="14" t="s">
        <v>154</v>
      </c>
      <c r="E14" s="53">
        <v>0</v>
      </c>
      <c r="F14" s="53" t="s">
        <v>11</v>
      </c>
      <c r="G14" s="9" t="s">
        <v>3</v>
      </c>
      <c r="H14" s="22"/>
      <c r="I14" s="14" t="str">
        <f t="shared" si="0"/>
        <v>* observation.code.name 0..* string ##34#A.5.2.3.1 Observation name##34# ##334#Full name of the observation according to the used test coding standard.##334#</v>
      </c>
    </row>
    <row r="15" spans="1:11" ht="44.25" x14ac:dyDescent="0.75">
      <c r="A15" s="3">
        <v>8</v>
      </c>
      <c r="B15" s="9" t="s">
        <v>310</v>
      </c>
      <c r="C15" s="9" t="s">
        <v>289</v>
      </c>
      <c r="D15" s="14" t="s">
        <v>157</v>
      </c>
      <c r="E15" s="3">
        <v>0</v>
      </c>
      <c r="F15" s="3" t="s">
        <v>11</v>
      </c>
      <c r="G15" s="9" t="s">
        <v>3</v>
      </c>
      <c r="H15" s="55"/>
      <c r="I15" s="14" t="str">
        <f t="shared" si="0"/>
        <v>* observation.code.originalName 0..* string ##34#A.5.2.3.2 Observation original name##34# ##334#Original (conventional) name of the observation as used by the laboratory##334#</v>
      </c>
      <c r="J15" s="15"/>
      <c r="K15" s="9"/>
    </row>
    <row r="16" spans="1:11" ht="44.25" x14ac:dyDescent="0.75">
      <c r="A16" s="9">
        <v>9</v>
      </c>
      <c r="B16" s="9" t="s">
        <v>311</v>
      </c>
      <c r="C16" s="9" t="s">
        <v>290</v>
      </c>
      <c r="D16" s="14" t="s">
        <v>160</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312</v>
      </c>
      <c r="C17" s="9" t="s">
        <v>291</v>
      </c>
      <c r="D17" s="14" t="s">
        <v>322</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313</v>
      </c>
      <c r="C18" s="9" t="s">
        <v>292</v>
      </c>
      <c r="D18" s="14" t="s">
        <v>314</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1335</v>
      </c>
      <c r="C19" s="9" t="s">
        <v>1326</v>
      </c>
      <c r="D19" s="14" t="s">
        <v>1336</v>
      </c>
      <c r="E19" s="9">
        <v>0</v>
      </c>
      <c r="F19" s="9" t="s">
        <v>11</v>
      </c>
      <c r="G19" s="9" t="s">
        <v>4</v>
      </c>
      <c r="H19" s="9"/>
      <c r="I19" s="14" t="str">
        <f t="shared" si="0"/>
        <v>* observation.vaccination 0..* BackboneElement ##34#A.5.2.8 Vaccination##34# ##334#Identifies vaccination and vaccination placer this observation belongs to.##334#</v>
      </c>
    </row>
    <row r="20" spans="1:9" ht="59" x14ac:dyDescent="0.75">
      <c r="A20" s="9">
        <v>13</v>
      </c>
      <c r="B20" s="9" t="s">
        <v>315</v>
      </c>
      <c r="C20" s="9" t="s">
        <v>293</v>
      </c>
      <c r="D20" s="14" t="s">
        <v>767</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Patient Summary document. ##334#</v>
      </c>
    </row>
    <row r="21" spans="1:9" ht="44.25" x14ac:dyDescent="0.75">
      <c r="A21" s="9">
        <v>14</v>
      </c>
      <c r="B21" s="9" t="s">
        <v>316</v>
      </c>
      <c r="C21" s="9" t="s">
        <v>294</v>
      </c>
      <c r="D21" s="14" t="s">
        <v>172</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317</v>
      </c>
      <c r="C22" s="9" t="s">
        <v>295</v>
      </c>
      <c r="D22" s="14" t="s">
        <v>340</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319</v>
      </c>
      <c r="C23" s="9" t="s">
        <v>296</v>
      </c>
      <c r="D23" s="14" t="s">
        <v>318</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320</v>
      </c>
      <c r="C24" s="9" t="s">
        <v>297</v>
      </c>
      <c r="D24" s="14" t="s">
        <v>183</v>
      </c>
      <c r="E24" s="9">
        <v>0</v>
      </c>
      <c r="F24" s="9" t="s">
        <v>11</v>
      </c>
      <c r="G24" s="9" t="s">
        <v>304</v>
      </c>
      <c r="H24" s="9"/>
      <c r="I24" s="14" t="str">
        <f t="shared" si="0"/>
        <v>* observation.description 0..* Narrative ##34#A.5.2.13 Result description##34# ##334#Comments and narrative representation of the observation result and findings.##334#</v>
      </c>
    </row>
    <row r="25" spans="1:9" ht="44.25" x14ac:dyDescent="0.75">
      <c r="A25" s="9">
        <v>22</v>
      </c>
      <c r="B25" s="9" t="s">
        <v>321</v>
      </c>
      <c r="C25" s="9" t="s">
        <v>298</v>
      </c>
      <c r="D25" s="14" t="s">
        <v>186</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25" t="s">
        <v>139</v>
      </c>
      <c r="D36" s="126"/>
      <c r="E36" s="126"/>
      <c r="F36" s="127"/>
    </row>
    <row r="37" spans="2:9" ht="16.75" thickBot="1" x14ac:dyDescent="0.9">
      <c r="B37" t="str">
        <f t="shared" si="1"/>
        <v xml:space="preserve">A.5.1 Patient Summary narrative  </v>
      </c>
      <c r="C37" s="125" t="s">
        <v>768</v>
      </c>
      <c r="D37" s="126"/>
      <c r="E37" s="126"/>
      <c r="F37" s="127"/>
    </row>
    <row r="38" spans="2:9" ht="64.75" thickBot="1" x14ac:dyDescent="0.9">
      <c r="B38" t="str">
        <f t="shared" si="1"/>
        <v>A.5.1.1 Narrative report</v>
      </c>
      <c r="C38" s="35" t="s">
        <v>140</v>
      </c>
      <c r="D38" s="38" t="s">
        <v>141</v>
      </c>
      <c r="E38" s="36" t="s">
        <v>341</v>
      </c>
      <c r="F38" s="41"/>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5" t="s">
        <v>142</v>
      </c>
      <c r="D39" s="38" t="s">
        <v>143</v>
      </c>
      <c r="E39" s="36" t="s">
        <v>144</v>
      </c>
      <c r="F39" s="41"/>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25" t="s">
        <v>342</v>
      </c>
      <c r="D40" s="126"/>
      <c r="E40" s="126"/>
      <c r="F40" s="127"/>
      <c r="I40" s="1" t="str">
        <f t="shared" si="2"/>
        <v xml:space="preserve"> - Preferred system(s): </v>
      </c>
    </row>
    <row r="41" spans="2:9" ht="32.75" thickBot="1" x14ac:dyDescent="0.9">
      <c r="B41" t="str">
        <f t="shared" si="1"/>
        <v>A.5.2.1 Observation date</v>
      </c>
      <c r="C41" s="35" t="s">
        <v>145</v>
      </c>
      <c r="D41" s="38" t="s">
        <v>146</v>
      </c>
      <c r="E41" s="36" t="s">
        <v>147</v>
      </c>
      <c r="F41" s="38" t="s">
        <v>94</v>
      </c>
      <c r="I41" s="1" t="str">
        <f t="shared" si="2"/>
        <v>Date and time of the observation - Preferred system(s): ISO 8601</v>
      </c>
    </row>
    <row r="42" spans="2:9" ht="29.5" x14ac:dyDescent="0.75">
      <c r="B42" t="str">
        <f t="shared" si="1"/>
        <v>A.5.2.3 Observation code</v>
      </c>
      <c r="C42" s="146" t="s">
        <v>148</v>
      </c>
      <c r="D42" s="149" t="s">
        <v>149</v>
      </c>
      <c r="E42" s="146" t="s">
        <v>150</v>
      </c>
      <c r="F42" s="42" t="s">
        <v>104</v>
      </c>
      <c r="I42" s="1" t="str">
        <f t="shared" si="2"/>
        <v>Code representing the observation using the agreed code systems. - Preferred system(s): LOINC</v>
      </c>
    </row>
    <row r="43" spans="2:9" ht="16" x14ac:dyDescent="0.75">
      <c r="B43" t="str">
        <f t="shared" si="1"/>
        <v xml:space="preserve"> </v>
      </c>
      <c r="C43" s="147"/>
      <c r="D43" s="150"/>
      <c r="E43" s="147"/>
      <c r="F43" s="42" t="s">
        <v>151</v>
      </c>
      <c r="I43" s="1" t="str">
        <f t="shared" si="2"/>
        <v xml:space="preserve"> - Preferred system(s): NPU</v>
      </c>
    </row>
    <row r="44" spans="2:9" ht="32.75" thickBot="1" x14ac:dyDescent="0.9">
      <c r="B44" t="str">
        <f t="shared" si="1"/>
        <v xml:space="preserve"> </v>
      </c>
      <c r="C44" s="148"/>
      <c r="D44" s="151"/>
      <c r="E44" s="148"/>
      <c r="F44" s="38" t="s">
        <v>110</v>
      </c>
      <c r="I44" s="1" t="str">
        <f t="shared" si="2"/>
        <v xml:space="preserve"> - Preferred system(s): SNOMED CT</v>
      </c>
    </row>
    <row r="45" spans="2:9" ht="48.75" thickBot="1" x14ac:dyDescent="0.9">
      <c r="B45" t="str">
        <f t="shared" si="1"/>
        <v>A.5.2.3.1 Observation name</v>
      </c>
      <c r="C45" s="35" t="s">
        <v>152</v>
      </c>
      <c r="D45" s="38" t="s">
        <v>153</v>
      </c>
      <c r="E45" s="36" t="s">
        <v>154</v>
      </c>
      <c r="F45" s="37"/>
      <c r="I45" s="1" t="str">
        <f t="shared" si="2"/>
        <v xml:space="preserve">Full name of the observation according to the used test coding standard. - Preferred system(s): </v>
      </c>
    </row>
    <row r="46" spans="2:9" ht="48.75" thickBot="1" x14ac:dyDescent="0.9">
      <c r="B46" t="str">
        <f t="shared" si="1"/>
        <v>A.5.2.3.2 Observation original name</v>
      </c>
      <c r="C46" s="35" t="s">
        <v>155</v>
      </c>
      <c r="D46" s="38" t="s">
        <v>156</v>
      </c>
      <c r="E46" s="36" t="s">
        <v>157</v>
      </c>
      <c r="F46" s="37"/>
      <c r="I46" s="1" t="str">
        <f t="shared" si="2"/>
        <v xml:space="preserve">Original (conventional) name of the observation as used by the laboratory - Preferred system(s): </v>
      </c>
    </row>
    <row r="47" spans="2:9" ht="32.75" thickBot="1" x14ac:dyDescent="0.9">
      <c r="B47" t="str">
        <f t="shared" si="1"/>
        <v>A.5.2.3.3 Observation display name</v>
      </c>
      <c r="C47" s="35" t="s">
        <v>158</v>
      </c>
      <c r="D47" s="38" t="s">
        <v>159</v>
      </c>
      <c r="E47" s="36" t="s">
        <v>160</v>
      </c>
      <c r="F47" s="37"/>
      <c r="I47" s="1" t="str">
        <f t="shared" si="2"/>
        <v xml:space="preserve">Simplified (short name of the observation) for display. - Preferred system(s): </v>
      </c>
    </row>
    <row r="48" spans="2:9" ht="48.75" thickBot="1" x14ac:dyDescent="0.9">
      <c r="B48" t="str">
        <f t="shared" si="1"/>
        <v>A.5.2.4 Observation method</v>
      </c>
      <c r="C48" s="35" t="s">
        <v>161</v>
      </c>
      <c r="D48" s="38" t="s">
        <v>162</v>
      </c>
      <c r="E48" s="36" t="s">
        <v>163</v>
      </c>
      <c r="F48" s="38" t="s">
        <v>110</v>
      </c>
      <c r="I48" s="1" t="str">
        <f t="shared" si="2"/>
        <v>Observation method (measurement principle) to obtain the result. - Preferred system(s): SNOMED CT</v>
      </c>
    </row>
    <row r="49" spans="2:9" ht="44.25" x14ac:dyDescent="0.75">
      <c r="B49" t="str">
        <f t="shared" si="1"/>
        <v>A.5.2.5 Observation device</v>
      </c>
      <c r="C49" s="146" t="s">
        <v>164</v>
      </c>
      <c r="D49" s="149" t="s">
        <v>165</v>
      </c>
      <c r="E49" s="146" t="s">
        <v>166</v>
      </c>
      <c r="F49" s="42" t="s">
        <v>110</v>
      </c>
      <c r="I49" s="1" t="str">
        <f t="shared" si="2"/>
        <v>Device (analyser), laboratory test kit and used calibrator information (identifier, type, name, model, manufacturer) - Preferred system(s): SNOMED CT</v>
      </c>
    </row>
    <row r="50" spans="2:9" x14ac:dyDescent="0.75">
      <c r="B50" t="str">
        <f t="shared" si="1"/>
        <v xml:space="preserve"> </v>
      </c>
      <c r="C50" s="147"/>
      <c r="D50" s="150"/>
      <c r="E50" s="147"/>
      <c r="F50" s="40"/>
      <c r="I50" s="1" t="str">
        <f t="shared" si="2"/>
        <v xml:space="preserve"> - Preferred system(s): </v>
      </c>
    </row>
    <row r="51" spans="2:9" ht="16.75" thickBot="1" x14ac:dyDescent="0.9">
      <c r="B51" t="str">
        <f t="shared" si="1"/>
        <v xml:space="preserve"> </v>
      </c>
      <c r="C51" s="148"/>
      <c r="D51" s="151"/>
      <c r="E51" s="148"/>
      <c r="F51" s="38" t="s">
        <v>132</v>
      </c>
      <c r="I51" s="1" t="str">
        <f t="shared" si="2"/>
        <v xml:space="preserve"> - Preferred system(s): EMDN</v>
      </c>
    </row>
    <row r="52" spans="2:9" ht="48.75" thickBot="1" x14ac:dyDescent="0.9">
      <c r="B52" t="str">
        <f t="shared" si="1"/>
        <v>A.5.2.8 Vaccination</v>
      </c>
      <c r="C52" s="35" t="s">
        <v>167</v>
      </c>
      <c r="D52" s="38" t="s">
        <v>1288</v>
      </c>
      <c r="E52" s="36" t="s">
        <v>1337</v>
      </c>
      <c r="F52" s="37"/>
      <c r="I52" s="1" t="str">
        <f t="shared" si="2"/>
        <v xml:space="preserve">Identifies vaccination and vaccination placer this observation belongs to.  - Preferred system(s): </v>
      </c>
    </row>
    <row r="53" spans="2:9" ht="112.75" thickBot="1" x14ac:dyDescent="0.9">
      <c r="B53" t="str">
        <f t="shared" si="1"/>
        <v>A.5.2.9 Performer</v>
      </c>
      <c r="C53" s="35" t="s">
        <v>168</v>
      </c>
      <c r="D53" s="38" t="s">
        <v>169</v>
      </c>
      <c r="E53" s="36" t="s">
        <v>767</v>
      </c>
      <c r="F53" s="37"/>
      <c r="I53" s="1" t="str">
        <f t="shared" si="2"/>
        <v xml:space="preserve">Identifies the originator/author and provides provenance information about the source of the results data that may have not originated with the source of the whole Patient Summary document.  - Preferred system(s): </v>
      </c>
    </row>
    <row r="54" spans="2:9" ht="64.75" thickBot="1" x14ac:dyDescent="0.9">
      <c r="B54" t="str">
        <f t="shared" si="1"/>
        <v>A.5.2.10 Reporter</v>
      </c>
      <c r="C54" s="35" t="s">
        <v>170</v>
      </c>
      <c r="D54" s="38" t="s">
        <v>171</v>
      </c>
      <c r="E54" s="36" t="s">
        <v>172</v>
      </c>
      <c r="F54" s="37"/>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46" t="s">
        <v>173</v>
      </c>
      <c r="D55" s="149" t="s">
        <v>174</v>
      </c>
      <c r="E55" s="146" t="s">
        <v>343</v>
      </c>
      <c r="F55" s="42" t="s">
        <v>175</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47"/>
      <c r="D56" s="150"/>
      <c r="E56" s="147"/>
      <c r="F56" s="43"/>
      <c r="I56" s="1" t="str">
        <f t="shared" si="2"/>
        <v xml:space="preserve"> - Preferred system(s): </v>
      </c>
    </row>
    <row r="57" spans="2:9" ht="48.75" thickBot="1" x14ac:dyDescent="0.9">
      <c r="B57" t="str">
        <f t="shared" si="1"/>
        <v xml:space="preserve"> </v>
      </c>
      <c r="C57" s="148"/>
      <c r="D57" s="151"/>
      <c r="E57" s="148"/>
      <c r="F57" s="38" t="s">
        <v>176</v>
      </c>
      <c r="I57" s="1" t="str">
        <f t="shared" si="2"/>
        <v xml:space="preserve"> - Preferred system(s): UCUM (for units)</v>
      </c>
    </row>
    <row r="58" spans="2:9" ht="32" x14ac:dyDescent="0.75">
      <c r="B58" t="str">
        <f t="shared" si="1"/>
        <v>A.5.2.12 Observation interpretation</v>
      </c>
      <c r="C58" s="146" t="s">
        <v>177</v>
      </c>
      <c r="D58" s="149" t="s">
        <v>178</v>
      </c>
      <c r="E58" s="146" t="s">
        <v>179</v>
      </c>
      <c r="F58" s="42" t="s">
        <v>110</v>
      </c>
      <c r="I58" s="1" t="str">
        <f t="shared" si="2"/>
        <v>Information about reference intervals and result interpretation. - Preferred system(s): SNOMED CT</v>
      </c>
    </row>
    <row r="59" spans="2:9" x14ac:dyDescent="0.75">
      <c r="B59" t="str">
        <f t="shared" si="1"/>
        <v xml:space="preserve"> </v>
      </c>
      <c r="C59" s="147"/>
      <c r="D59" s="150"/>
      <c r="E59" s="147"/>
      <c r="F59" s="40"/>
      <c r="I59" s="1" t="str">
        <f t="shared" si="2"/>
        <v xml:space="preserve"> - Preferred system(s): </v>
      </c>
    </row>
    <row r="60" spans="2:9" ht="112.75" thickBot="1" x14ac:dyDescent="0.9">
      <c r="B60" t="str">
        <f t="shared" si="1"/>
        <v xml:space="preserve"> </v>
      </c>
      <c r="C60" s="148"/>
      <c r="D60" s="151"/>
      <c r="E60" s="148"/>
      <c r="F60" s="38" t="s">
        <v>180</v>
      </c>
      <c r="I60" s="1" t="str">
        <f t="shared" si="2"/>
        <v xml:space="preserve"> - Preferred system(s): HL7 v3 Code System ObservationInterpretation</v>
      </c>
    </row>
    <row r="61" spans="2:9" ht="48.75" thickBot="1" x14ac:dyDescent="0.9">
      <c r="B61" t="str">
        <f t="shared" si="1"/>
        <v>A.5.2.13 Result description</v>
      </c>
      <c r="C61" s="35" t="s">
        <v>181</v>
      </c>
      <c r="D61" s="38" t="s">
        <v>182</v>
      </c>
      <c r="E61" s="36" t="s">
        <v>183</v>
      </c>
      <c r="F61" s="37"/>
      <c r="I61" s="1" t="str">
        <f t="shared" si="2"/>
        <v xml:space="preserve">Comments and narrative representation of the observation result and findings. - Preferred system(s): </v>
      </c>
    </row>
    <row r="62" spans="2:9" ht="48.75" thickBot="1" x14ac:dyDescent="0.9">
      <c r="B62" t="str">
        <f t="shared" si="1"/>
        <v>A.5.2.14 Accreditation status</v>
      </c>
      <c r="C62" s="35" t="s">
        <v>184</v>
      </c>
      <c r="D62" s="38" t="s">
        <v>185</v>
      </c>
      <c r="E62" s="36" t="s">
        <v>186</v>
      </c>
      <c r="F62" s="37"/>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282</v>
      </c>
      <c r="E4" s="27" t="str">
        <f>CONCATENATE("Mapping: ",C4)</f>
        <v>Mapping: eHNLabResult2Fhir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283</v>
      </c>
      <c r="E6" s="28"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8" t="str">
        <f>CONCATENATE("Source: ",C7)</f>
        <v>Source: Result</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'A.5 Results'!B5</f>
        <v>Result</v>
      </c>
      <c r="C9" s="8" t="s">
        <v>363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58" t="str">
        <f>'A.5 Results'!$B$8</f>
        <v>narrative</v>
      </c>
      <c r="C10" s="9" t="s">
        <v>366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58" t="str">
        <f>'A.5 Results'!$B$8</f>
        <v>narrative</v>
      </c>
      <c r="C11" s="9" t="s">
        <v>365</v>
      </c>
      <c r="E11" s="14" t="str">
        <f t="shared" si="0"/>
        <v>* narrative -&gt; ##34#Composition.section.text##34#</v>
      </c>
      <c r="G11" s="1"/>
      <c r="H11" s="10"/>
      <c r="I11" s="10"/>
      <c r="J11" s="10"/>
      <c r="K11" s="10"/>
      <c r="L11" s="10"/>
      <c r="M11" s="10"/>
      <c r="N11" s="10"/>
      <c r="O11" s="10"/>
    </row>
    <row r="12" spans="1:15" x14ac:dyDescent="0.75">
      <c r="A12" s="9"/>
      <c r="B12" s="58" t="str">
        <f>'A.5 Results'!$B$8</f>
        <v>narrative</v>
      </c>
      <c r="C12" s="9" t="s">
        <v>367</v>
      </c>
      <c r="E12" s="14" t="str">
        <f t="shared" si="0"/>
        <v>* narrative -&gt; ##34#Composition.text##34#</v>
      </c>
      <c r="G12" s="1"/>
      <c r="H12" s="10"/>
      <c r="I12" s="10"/>
      <c r="J12" s="10"/>
      <c r="K12" s="10"/>
      <c r="L12" s="10"/>
      <c r="M12" s="10"/>
      <c r="N12" s="10"/>
      <c r="O12" s="10"/>
    </row>
    <row r="13" spans="1:15" x14ac:dyDescent="0.75">
      <c r="A13" s="9">
        <v>2</v>
      </c>
      <c r="B13" s="56" t="str">
        <f>'A.5 Results'!$B$9</f>
        <v>narrative.report</v>
      </c>
      <c r="C13" s="9" t="s">
        <v>366</v>
      </c>
      <c r="E13" s="14" t="str">
        <f t="shared" si="0"/>
        <v>* narrative.report -&gt; ##34#Composition.section.section.text##34#</v>
      </c>
      <c r="G13" s="1" t="s">
        <v>26</v>
      </c>
      <c r="H13" s="10"/>
      <c r="I13" s="10"/>
      <c r="J13" s="10"/>
      <c r="K13" s="10"/>
      <c r="L13" s="10"/>
      <c r="M13" s="10"/>
      <c r="N13" s="10"/>
      <c r="O13" s="10"/>
    </row>
    <row r="14" spans="1:15" x14ac:dyDescent="0.75">
      <c r="A14" s="9"/>
      <c r="B14" s="56" t="str">
        <f>'A.5 Results'!$B$9</f>
        <v>narrative.report</v>
      </c>
      <c r="C14" s="9" t="s">
        <v>365</v>
      </c>
      <c r="E14" s="14" t="str">
        <f t="shared" si="0"/>
        <v>* narrative.report -&gt; ##34#Composition.section.text##34#</v>
      </c>
      <c r="G14" s="1"/>
      <c r="H14" s="10"/>
      <c r="I14" s="10"/>
      <c r="J14" s="10"/>
      <c r="K14" s="10"/>
      <c r="L14" s="10"/>
      <c r="M14" s="10"/>
      <c r="N14" s="10"/>
      <c r="O14" s="10"/>
    </row>
    <row r="15" spans="1:15" x14ac:dyDescent="0.75">
      <c r="A15" s="9"/>
      <c r="B15" s="56" t="str">
        <f>'A.5 Results'!$B$9</f>
        <v>narrative.report</v>
      </c>
      <c r="C15" s="9" t="s">
        <v>367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368</v>
      </c>
      <c r="E16" s="14" t="str">
        <f t="shared" si="0"/>
        <v>* narrative.notes -&gt; ##34#Composition.section:annotations.text##34#</v>
      </c>
      <c r="G16" s="1" t="s">
        <v>27</v>
      </c>
      <c r="H16" s="10"/>
      <c r="I16" s="10"/>
      <c r="J16" s="10"/>
      <c r="K16" s="10"/>
      <c r="L16" s="10"/>
      <c r="M16" s="10"/>
      <c r="N16" s="10"/>
      <c r="O16" s="10"/>
    </row>
    <row r="17" spans="1:15" ht="44.25" x14ac:dyDescent="0.75">
      <c r="A17" s="9">
        <v>4</v>
      </c>
      <c r="B17" s="56" t="str">
        <f>'A.5 Results'!$B$11</f>
        <v>observation</v>
      </c>
      <c r="C17" s="9" t="s">
        <v>363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56" t="str">
        <f>'A.5 Results'!$B$11</f>
        <v>observation</v>
      </c>
      <c r="C18" s="9" t="s">
        <v>369</v>
      </c>
      <c r="E18" s="14" t="str">
        <f t="shared" si="0"/>
        <v>* observation -&gt; ##34#Observation.hasMember.resolve()##34#</v>
      </c>
      <c r="G18" s="1"/>
      <c r="H18" s="10"/>
      <c r="I18" s="10"/>
      <c r="J18" s="10"/>
      <c r="K18" s="10"/>
      <c r="L18" s="10"/>
      <c r="M18" s="10"/>
      <c r="N18" s="10"/>
      <c r="O18" s="10"/>
    </row>
    <row r="19" spans="1:15" x14ac:dyDescent="0.75">
      <c r="A19" s="9"/>
      <c r="B19" s="56" t="str">
        <f>'A.5 Results'!$B$11</f>
        <v>observation</v>
      </c>
      <c r="C19" s="9" t="s">
        <v>370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371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372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0" t="s">
        <v>373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374</v>
      </c>
      <c r="E23" s="14" t="str">
        <f t="shared" si="0"/>
        <v>* observation.code.originalName -&gt; ##34#Observation.code.text##34#</v>
      </c>
      <c r="G23" s="1" t="s">
        <v>32</v>
      </c>
    </row>
    <row r="24" spans="1:15" ht="29.5" x14ac:dyDescent="0.75">
      <c r="A24" s="9">
        <v>9</v>
      </c>
      <c r="B24" s="9" t="str">
        <f>'A.5 Results'!B16</f>
        <v>observation.code.displayName</v>
      </c>
      <c r="C24" s="60" t="s">
        <v>375</v>
      </c>
      <c r="E24" s="14" t="str">
        <f t="shared" si="0"/>
        <v>* observation.code.displayName -&gt; ##34#Observation.code.coding.display.extension('translation') (TBD)##34#</v>
      </c>
      <c r="G24" s="1" t="s">
        <v>33</v>
      </c>
    </row>
    <row r="25" spans="1:15" x14ac:dyDescent="0.75">
      <c r="A25" s="9">
        <v>10</v>
      </c>
      <c r="B25" s="9" t="str">
        <f>'A.5 Results'!B17</f>
        <v>observation.method</v>
      </c>
      <c r="C25" s="9" t="s">
        <v>376</v>
      </c>
      <c r="E25" s="14" t="str">
        <f t="shared" si="0"/>
        <v>* observation.method -&gt; ##34#Observation.method##34#</v>
      </c>
    </row>
    <row r="26" spans="1:15" x14ac:dyDescent="0.75">
      <c r="A26" s="9"/>
      <c r="B26" s="9" t="str">
        <f>'A.5 Results'!B18</f>
        <v>observation.device</v>
      </c>
      <c r="C26" s="9" t="s">
        <v>377</v>
      </c>
      <c r="E26" s="14" t="str">
        <f t="shared" si="0"/>
        <v>* observation.device -&gt; ##34#Observation.device.resolve()##34#</v>
      </c>
    </row>
    <row r="27" spans="1:15" ht="29.5" x14ac:dyDescent="0.75">
      <c r="B27" s="9" t="str">
        <f>'A.5 Results'!B19</f>
        <v>observation.vaccination</v>
      </c>
      <c r="C27" s="9" t="s">
        <v>378</v>
      </c>
      <c r="E27" s="14" t="str">
        <f t="shared" si="0"/>
        <v>* observation.vaccination -&gt; ##34#Observation.basedOn.resolve().ofType(ServiceRequest)##34#</v>
      </c>
    </row>
    <row r="28" spans="1:15" x14ac:dyDescent="0.75">
      <c r="B28" s="9" t="str">
        <f>'A.5 Results'!B20</f>
        <v>observation.performer</v>
      </c>
      <c r="C28" s="9" t="s">
        <v>379</v>
      </c>
      <c r="E28" s="14" t="str">
        <f t="shared" si="0"/>
        <v>* observation.performer -&gt; ##34#Observation.performer.resolve()##34#</v>
      </c>
    </row>
    <row r="29" spans="1:15" x14ac:dyDescent="0.75">
      <c r="B29" s="9" t="str">
        <f>'A.5 Results'!B21</f>
        <v>observation.reporter</v>
      </c>
      <c r="C29" s="60" t="s">
        <v>217</v>
      </c>
      <c r="E29" s="14" t="str">
        <f t="shared" si="0"/>
        <v>* observation.reporter -&gt; ##34#to be mapped##34#</v>
      </c>
    </row>
    <row r="30" spans="1:15" x14ac:dyDescent="0.75">
      <c r="B30" s="9" t="str">
        <f>'A.5 Results'!B22</f>
        <v>observation.result</v>
      </c>
      <c r="C30" s="9" t="s">
        <v>380</v>
      </c>
      <c r="E30" s="14" t="str">
        <f t="shared" si="0"/>
        <v>* observation.result -&gt; ##34#Observation.value[x]##34#</v>
      </c>
    </row>
    <row r="31" spans="1:15" x14ac:dyDescent="0.75">
      <c r="B31" s="9" t="str">
        <f>'A.5 Results'!B23</f>
        <v>observation.interpretation</v>
      </c>
      <c r="C31" s="9" t="s">
        <v>381</v>
      </c>
      <c r="E31" s="14" t="str">
        <f t="shared" si="0"/>
        <v>* observation.interpretation -&gt; ##34#Observation.interpretation##34#</v>
      </c>
    </row>
    <row r="32" spans="1:15" x14ac:dyDescent="0.75">
      <c r="B32" s="56" t="str">
        <f>'A.5 Results'!$B$24</f>
        <v>observation.description</v>
      </c>
      <c r="C32" s="9" t="s">
        <v>382</v>
      </c>
      <c r="E32" s="14" t="str">
        <f t="shared" si="0"/>
        <v>* observation.description -&gt; ##34#Observation.text##34#</v>
      </c>
    </row>
    <row r="33" spans="2:5" x14ac:dyDescent="0.75">
      <c r="B33" s="56" t="str">
        <f>'A.5 Results'!$B$24</f>
        <v>observation.description</v>
      </c>
      <c r="C33" s="9" t="s">
        <v>383</v>
      </c>
      <c r="E33" s="14" t="str">
        <f t="shared" si="0"/>
        <v>* observation.description -&gt; ##34#Observation.note##34#</v>
      </c>
    </row>
    <row r="34" spans="2:5" x14ac:dyDescent="0.75">
      <c r="B34" s="9" t="str">
        <f>'A.5 Results'!B25</f>
        <v>observation.accreditationStatus</v>
      </c>
      <c r="C34" s="59" t="s">
        <v>217</v>
      </c>
      <c r="E34" s="14" t="str">
        <f t="shared" si="0"/>
        <v>* observation.accreditationStatus -&gt; ##34#to be mapped##34#</v>
      </c>
    </row>
    <row r="35" spans="2:5" x14ac:dyDescent="0.75">
      <c r="B35" s="9">
        <f>'A.5 Results'!B26</f>
        <v>0</v>
      </c>
      <c r="C35" s="9" t="s">
        <v>217</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'A.5 Results'!I1</f>
        <v>// -------------------------------------------------------------------------------</v>
      </c>
    </row>
    <row r="2" spans="3:7" ht="16.75" thickBot="1" x14ac:dyDescent="0.9">
      <c r="C2" s="32" t="str">
        <f>'A.5 Results'!I2</f>
        <v>//  Logical Model</v>
      </c>
      <c r="G2" s="50" t="s">
        <v>737</v>
      </c>
    </row>
    <row r="3" spans="3:7" x14ac:dyDescent="0.75">
      <c r="C3" s="32" t="str">
        <f>'A.5 Results'!I3</f>
        <v>// -------------------------------------------------------------------------------</v>
      </c>
      <c r="G3" s="10"/>
    </row>
    <row r="4" spans="3:7" x14ac:dyDescent="0.75">
      <c r="C4" s="24" t="str">
        <f>'A.5 Results'!I4</f>
        <v>Logical: ResultPsEhn</v>
      </c>
    </row>
    <row r="5" spans="3:7" x14ac:dyDescent="0.75">
      <c r="C5" s="24" t="str">
        <f>'A.5 Results'!I5</f>
        <v>Id: Result</v>
      </c>
    </row>
    <row r="6" spans="3:7" x14ac:dyDescent="0.75">
      <c r="C6" s="24" t="str">
        <f>'A.5 Results'!I6</f>
        <v>Title: ##34#A.5 - Results data elements##34#</v>
      </c>
    </row>
    <row r="7" spans="3:7" x14ac:dyDescent="0.75">
      <c r="C7" s="24" t="str">
        <f>'A.5 Results'!I7</f>
        <v>Description:  ##334#Results data elements. Section A5 of the eHN guideline.##334#</v>
      </c>
    </row>
    <row r="8" spans="3:7" x14ac:dyDescent="0.75">
      <c r="C8" s="14" t="str">
        <f>IF('A.5 Results'!I8="*  ..  ##34###34# ##334###334#","//--- END",'A.5 Results'!I8)</f>
        <v>* narrative 0..1 BackboneElement ##34#A.5.1 Patient Summary narrative##34# ##334#A.5.1 Patient Summary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198</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observation.vaccination 0..* BackboneElement ##34#A.5.2.8 Vaccination##34# ##334#Identifies vaccination and vaccination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Patient Summary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1" t="str">
        <f>'Results-Map-1'!E1</f>
        <v>// -------------------------------------------------------------------------------</v>
      </c>
    </row>
    <row r="32" spans="3:3" x14ac:dyDescent="0.75">
      <c r="C32" s="32" t="str">
        <f>'Results-Map-1'!E2</f>
        <v>//  Map to FHIR R4</v>
      </c>
    </row>
    <row r="33" spans="3:3" x14ac:dyDescent="0.75">
      <c r="C33" s="32"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1159</v>
      </c>
      <c r="D3" s="66" t="s">
        <v>414</v>
      </c>
      <c r="E3" s="77" t="str">
        <f>"http://hl7.eu/fhir/ig/xpandh/ps/StructureDefinition/"&amp;'A.5 Results'!B5</f>
        <v>http://hl7.eu/fhir/ig/xpandh/ps/StructureDefinition/Result</v>
      </c>
    </row>
    <row r="4" spans="1:19" x14ac:dyDescent="0.75">
      <c r="B4" s="66" t="s">
        <v>19</v>
      </c>
      <c r="C4" s="49" t="s">
        <v>829</v>
      </c>
      <c r="D4" s="66" t="s">
        <v>415</v>
      </c>
      <c r="E4" s="140" t="s">
        <v>1218</v>
      </c>
      <c r="F4" s="136"/>
      <c r="G4" s="136"/>
    </row>
    <row r="5" spans="1:19" x14ac:dyDescent="0.75">
      <c r="B5" s="66" t="s">
        <v>13</v>
      </c>
      <c r="C5" s="10" t="s">
        <v>469</v>
      </c>
      <c r="D5" s="66"/>
      <c r="E5"/>
    </row>
    <row r="6" spans="1:19" x14ac:dyDescent="0.75">
      <c r="B6" s="66" t="s">
        <v>35</v>
      </c>
      <c r="C6" s="65"/>
      <c r="D6" s="66" t="s">
        <v>412</v>
      </c>
      <c r="E6" s="140" t="str">
        <f>E3</f>
        <v>http://hl7.eu/fhir/ig/xpandh/ps/StructureDefinition/Result</v>
      </c>
      <c r="F6" s="136"/>
      <c r="G6" s="136"/>
    </row>
    <row r="7" spans="1:19" x14ac:dyDescent="0.75">
      <c r="B7" s="66" t="s">
        <v>18</v>
      </c>
      <c r="C7" s="73"/>
      <c r="D7" s="66" t="s">
        <v>413</v>
      </c>
      <c r="E7" s="140" t="s">
        <v>1226</v>
      </c>
      <c r="F7" s="136"/>
      <c r="G7" s="136"/>
    </row>
    <row r="8" spans="1:19" ht="44.25" x14ac:dyDescent="0.75">
      <c r="B8" s="66" t="s">
        <v>410</v>
      </c>
      <c r="C8" s="48" t="s">
        <v>470</v>
      </c>
      <c r="D8" s="66"/>
      <c r="E8" s="10"/>
      <c r="I8" s="14" t="s">
        <v>387</v>
      </c>
      <c r="J8" s="14" t="s">
        <v>388</v>
      </c>
      <c r="K8" s="14" t="s">
        <v>389</v>
      </c>
      <c r="L8" s="14" t="s">
        <v>390</v>
      </c>
      <c r="M8" s="9" t="s">
        <v>391</v>
      </c>
      <c r="P8" s="62" t="s">
        <v>392</v>
      </c>
      <c r="Q8" s="62">
        <v>6</v>
      </c>
    </row>
    <row r="9" spans="1:19" ht="29.5" x14ac:dyDescent="0.75">
      <c r="B9" s="66" t="s">
        <v>411</v>
      </c>
      <c r="C9" s="14" t="s">
        <v>471</v>
      </c>
      <c r="D9" s="66"/>
      <c r="E9"/>
      <c r="I9" s="14"/>
      <c r="J9" s="9"/>
      <c r="K9" s="9"/>
      <c r="L9" s="9"/>
      <c r="M9" s="9"/>
    </row>
    <row r="10" spans="1:19" x14ac:dyDescent="0.75">
      <c r="B10" s="66"/>
      <c r="C10" s="9"/>
      <c r="D10" s="66"/>
      <c r="E10"/>
      <c r="I10" s="14"/>
      <c r="J10" s="9"/>
      <c r="K10" s="9"/>
      <c r="L10" s="9"/>
      <c r="M10" s="9"/>
    </row>
    <row r="11" spans="1:19" x14ac:dyDescent="0.75">
      <c r="E11" s="10"/>
      <c r="I11" s="24" t="s">
        <v>393</v>
      </c>
      <c r="J11" s="63" t="s">
        <v>394</v>
      </c>
      <c r="K11" s="24" t="s">
        <v>395</v>
      </c>
      <c r="L11" s="63" t="s">
        <v>396</v>
      </c>
      <c r="M11" s="64" t="s">
        <v>397</v>
      </c>
      <c r="N11" s="67" t="s">
        <v>384</v>
      </c>
    </row>
    <row r="12" spans="1:19" x14ac:dyDescent="0.75">
      <c r="E12" s="65"/>
      <c r="I12" s="14"/>
      <c r="J12" s="9"/>
      <c r="K12" s="9"/>
      <c r="L12" s="9"/>
      <c r="M12" s="9"/>
    </row>
    <row r="13" spans="1:19" x14ac:dyDescent="0.75">
      <c r="D13" s="14"/>
      <c r="E13" s="9"/>
      <c r="F13" s="64" t="s">
        <v>397</v>
      </c>
      <c r="G13" s="67" t="s">
        <v>384</v>
      </c>
      <c r="H13" s="67"/>
      <c r="I13" s="14"/>
      <c r="J13" s="9"/>
      <c r="K13" s="64"/>
      <c r="L13" s="64"/>
      <c r="M13" s="64"/>
      <c r="N13" s="67"/>
    </row>
    <row r="14" spans="1:19" x14ac:dyDescent="0.75">
      <c r="A14" s="22"/>
      <c r="B14" s="8" t="str">
        <f>'A.5 Results'!B5</f>
        <v>Result</v>
      </c>
      <c r="C14" s="9"/>
      <c r="D14" s="4" t="s">
        <v>406</v>
      </c>
      <c r="E14" s="8"/>
      <c r="F14" s="68"/>
      <c r="G14" s="68"/>
      <c r="I14" s="14"/>
      <c r="J14" s="9"/>
      <c r="K14" s="9"/>
      <c r="L14" s="9"/>
      <c r="M14" s="64"/>
      <c r="N14" s="67"/>
    </row>
    <row r="15" spans="1:19" ht="44.25" x14ac:dyDescent="0.75">
      <c r="A15" s="22"/>
      <c r="B15" s="9" t="str">
        <f>'A.5 Results'!B8</f>
        <v>narrative</v>
      </c>
      <c r="C15" s="9" t="str">
        <f>'A.5 Results'!C8</f>
        <v>A.5.1 Patient Summary narrative</v>
      </c>
      <c r="D15" s="14"/>
      <c r="E15" s="9"/>
      <c r="F15" s="68" t="s">
        <v>399</v>
      </c>
      <c r="G15" s="68"/>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2"/>
      <c r="B16" s="9" t="str">
        <f>'A.5 Results'!B9</f>
        <v>narrative.report</v>
      </c>
      <c r="C16" s="9" t="str">
        <f>'A.5 Results'!C9</f>
        <v>A.5.1.1 Narrative report</v>
      </c>
      <c r="D16" s="14" t="s">
        <v>472</v>
      </c>
      <c r="E16" s="9"/>
      <c r="F16" s="68" t="s">
        <v>399</v>
      </c>
      <c r="G16" s="68"/>
      <c r="H16" s="69"/>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Patient Summary narrative##34#</v>
      </c>
    </row>
    <row r="17" spans="1:19" ht="59" x14ac:dyDescent="0.75">
      <c r="A17" s="22"/>
      <c r="B17" s="9" t="str">
        <f>'A.5 Results'!B10</f>
        <v>narrative.notes</v>
      </c>
      <c r="C17" s="9" t="str">
        <f>'A.5 Results'!C10</f>
        <v>A.5.1.2 Comments, interpretation and recommendations</v>
      </c>
      <c r="D17" s="14" t="s">
        <v>473</v>
      </c>
      <c r="E17" s="9"/>
      <c r="F17" s="68" t="s">
        <v>399</v>
      </c>
      <c r="G17" s="68" t="s">
        <v>477</v>
      </c>
      <c r="H17" s="69"/>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2"/>
      <c r="B18" s="9" t="str">
        <f>'A.5 Results'!B11</f>
        <v>observation</v>
      </c>
      <c r="C18" s="9" t="str">
        <f>'A.5 Results'!C11</f>
        <v>A.5.2 Observation details</v>
      </c>
      <c r="D18" s="14" t="s">
        <v>204</v>
      </c>
      <c r="E18" s="9"/>
      <c r="F18" s="68" t="s">
        <v>399</v>
      </c>
      <c r="G18" s="68" t="s">
        <v>474</v>
      </c>
      <c r="H18" s="69"/>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2"/>
      <c r="B19" s="9" t="str">
        <f>'A.5 Results'!B12</f>
        <v>observation.dateTime</v>
      </c>
      <c r="C19" s="9" t="str">
        <f>'A.5 Results'!C12</f>
        <v>A.5.2.1 Observation date</v>
      </c>
      <c r="D19" s="14" t="s">
        <v>204</v>
      </c>
      <c r="E19" s="9"/>
      <c r="F19" s="68" t="s">
        <v>399</v>
      </c>
      <c r="G19" s="68" t="s">
        <v>474</v>
      </c>
      <c r="H19" s="69"/>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2"/>
      <c r="B20" s="9" t="str">
        <f>'A.5 Results'!B13</f>
        <v>observation.code</v>
      </c>
      <c r="C20" s="9" t="str">
        <f>'A.5 Results'!C13</f>
        <v>A.5.2.3 Observation code</v>
      </c>
      <c r="D20" s="14" t="s">
        <v>204</v>
      </c>
      <c r="E20" s="9"/>
      <c r="F20" s="68" t="s">
        <v>399</v>
      </c>
      <c r="G20" s="68" t="s">
        <v>474</v>
      </c>
      <c r="H20" s="69"/>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2"/>
      <c r="B21" s="9" t="str">
        <f>'A.5 Results'!B14</f>
        <v>observation.code.name</v>
      </c>
      <c r="C21" s="9" t="str">
        <f>'A.5 Results'!C14</f>
        <v>A.5.2.3.1 Observation name</v>
      </c>
      <c r="D21" s="14" t="s">
        <v>204</v>
      </c>
      <c r="E21" s="9"/>
      <c r="F21" s="68" t="s">
        <v>399</v>
      </c>
      <c r="G21" s="68" t="s">
        <v>474</v>
      </c>
      <c r="H21" s="69"/>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2"/>
      <c r="B22" s="9" t="str">
        <f>'A.5 Results'!B15</f>
        <v>observation.code.originalName</v>
      </c>
      <c r="C22" s="9" t="str">
        <f>'A.5 Results'!C15</f>
        <v>A.5.2.3.2 Observation original name</v>
      </c>
      <c r="D22" s="14" t="s">
        <v>204</v>
      </c>
      <c r="E22" s="9"/>
      <c r="F22" s="68" t="s">
        <v>399</v>
      </c>
      <c r="G22" s="68" t="s">
        <v>474</v>
      </c>
      <c r="H22" s="69"/>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2"/>
      <c r="B23" s="9" t="str">
        <f>'A.5 Results'!B16</f>
        <v>observation.code.displayName</v>
      </c>
      <c r="C23" s="9" t="str">
        <f>'A.5 Results'!C16</f>
        <v>A.5.2.3.3 Observation display name</v>
      </c>
      <c r="D23" s="14" t="s">
        <v>204</v>
      </c>
      <c r="E23" s="9"/>
      <c r="F23" s="68" t="s">
        <v>399</v>
      </c>
      <c r="G23" s="68" t="s">
        <v>474</v>
      </c>
      <c r="H23" s="69"/>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2"/>
      <c r="B24" s="9" t="str">
        <f>'A.5 Results'!B17</f>
        <v>observation.method</v>
      </c>
      <c r="C24" s="9" t="str">
        <f>'A.5 Results'!C17</f>
        <v>A.5.2.4 Observation method</v>
      </c>
      <c r="D24" s="14" t="s">
        <v>204</v>
      </c>
      <c r="E24" s="9"/>
      <c r="F24" s="68" t="s">
        <v>399</v>
      </c>
      <c r="G24" s="68" t="s">
        <v>474</v>
      </c>
      <c r="H24" s="69"/>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2"/>
      <c r="B25" s="9" t="str">
        <f>'A.5 Results'!B18</f>
        <v>observation.device</v>
      </c>
      <c r="C25" s="9" t="str">
        <f>'A.5 Results'!C18</f>
        <v>A.5.2.5 Observation device</v>
      </c>
      <c r="D25" s="14" t="s">
        <v>204</v>
      </c>
      <c r="E25" s="14"/>
      <c r="F25" s="68" t="s">
        <v>399</v>
      </c>
      <c r="G25" s="68" t="s">
        <v>474</v>
      </c>
      <c r="H25" s="69"/>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2"/>
      <c r="B26" s="9" t="str">
        <f>'A.5 Results'!B19</f>
        <v>observation.vaccination</v>
      </c>
      <c r="C26" s="9" t="str">
        <f>'A.5 Results'!C19</f>
        <v>A.5.2.8 Vaccination</v>
      </c>
      <c r="D26" s="14" t="s">
        <v>204</v>
      </c>
      <c r="E26" s="14"/>
      <c r="F26" s="68" t="s">
        <v>399</v>
      </c>
      <c r="G26" s="68" t="s">
        <v>474</v>
      </c>
      <c r="H26" s="69"/>
      <c r="I26" s="14" t="str">
        <f t="shared" si="12"/>
        <v>* group[=].element[+].code = #Result.observation.vaccination</v>
      </c>
      <c r="J26" s="14" t="str">
        <f t="shared" si="13"/>
        <v>* group[=].element[=].display = ##34#A.5.2.8 Vaccination##34#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204</v>
      </c>
      <c r="E27" s="14"/>
      <c r="F27" s="68" t="s">
        <v>399</v>
      </c>
      <c r="G27" s="68" t="s">
        <v>474</v>
      </c>
      <c r="H27" s="69"/>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204</v>
      </c>
      <c r="E28" s="14"/>
      <c r="F28" s="68" t="s">
        <v>399</v>
      </c>
      <c r="G28" s="68" t="s">
        <v>474</v>
      </c>
      <c r="H28" s="69"/>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204</v>
      </c>
      <c r="E29" s="14"/>
      <c r="F29" s="68" t="s">
        <v>399</v>
      </c>
      <c r="G29" s="68" t="s">
        <v>474</v>
      </c>
      <c r="H29" s="69"/>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204</v>
      </c>
      <c r="E30" s="14"/>
      <c r="F30" s="68" t="s">
        <v>399</v>
      </c>
      <c r="G30" s="68" t="s">
        <v>474</v>
      </c>
      <c r="H30" s="69"/>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204</v>
      </c>
      <c r="E31" s="14"/>
      <c r="F31" s="68" t="s">
        <v>399</v>
      </c>
      <c r="G31" s="68" t="s">
        <v>474</v>
      </c>
      <c r="H31" s="69"/>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204</v>
      </c>
      <c r="E32" s="14"/>
      <c r="F32" s="68" t="s">
        <v>399</v>
      </c>
      <c r="G32" s="68" t="s">
        <v>474</v>
      </c>
      <c r="H32" s="69"/>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68"/>
      <c r="G33" s="68"/>
      <c r="H33" s="69"/>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68"/>
      <c r="G34" s="68"/>
      <c r="H34" s="69"/>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68"/>
      <c r="G35" s="68"/>
      <c r="H35" s="69"/>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68"/>
      <c r="G36" s="68"/>
      <c r="H36" s="69"/>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68"/>
      <c r="G37" s="68"/>
      <c r="H37" s="69"/>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68"/>
      <c r="G38" s="68"/>
      <c r="H38" s="69"/>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68"/>
      <c r="G39" s="69"/>
      <c r="H39" s="69"/>
      <c r="J39"/>
      <c r="K39" s="69"/>
      <c r="L39" s="69"/>
      <c r="M39" s="67"/>
      <c r="N39" s="67"/>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54"/>
      <c r="F40" s="69"/>
      <c r="G40" s="69"/>
      <c r="H40" s="69"/>
      <c r="J40"/>
      <c r="K40" s="69"/>
      <c r="L40" s="69"/>
      <c r="M40" s="67"/>
      <c r="N40" s="67"/>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69"/>
      <c r="G41" s="69"/>
      <c r="H41" s="69"/>
      <c r="J41"/>
      <c r="K41" s="69"/>
      <c r="L41" s="69"/>
      <c r="M41" s="67"/>
      <c r="N41" s="67"/>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69"/>
      <c r="G42" s="69"/>
      <c r="H42" s="69"/>
      <c r="J42" s="69"/>
      <c r="K42" s="69"/>
      <c r="L42" s="69"/>
      <c r="M42" s="67"/>
      <c r="N42" s="67"/>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69"/>
      <c r="G43" s="69"/>
      <c r="H43" s="69"/>
      <c r="J43" s="69"/>
      <c r="K43" s="69"/>
      <c r="L43" s="69"/>
      <c r="M43" s="67"/>
      <c r="N43" s="67"/>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#Result.observation.vaccination</v>
      </c>
    </row>
    <row r="82" spans="16:19" x14ac:dyDescent="0.75">
      <c r="P82" s="9">
        <v>68</v>
      </c>
      <c r="Q82" s="9">
        <f t="shared" si="20"/>
        <v>11</v>
      </c>
      <c r="R82" s="9">
        <f t="shared" si="21"/>
        <v>2</v>
      </c>
      <c r="S82" s="14" t="str" cm="1">
        <f t="array" ref="S82">INDEX('Results-ConceptMap-1'!$I$15:$N$123,Q82+1,R82)</f>
        <v>* group[=].element[=].display = ##34#A.5.2.8 Vaccination##34#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display="http://hl7.eu/fhir/laboratory/StructureDefinition/DiagnosticReport-eu-lab" xr:uid="{F5F617FA-7567-4B0D-977A-829B1C9A2DE7}"/>
    <hyperlink ref="E4" r:id="rId4" display="http://hl7.eu/fhir/laboratory/StructureDefinition/Bundle-eu-lab" xr:uid="{96AAF509-373B-4E3A-AD2D-50B3EE48A6DC}"/>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78" t="str">
        <f>'Results-ConceptMap-1'!C3</f>
        <v>PatientSummaryResult2FHIR</v>
      </c>
      <c r="D3" s="66" t="s">
        <v>414</v>
      </c>
      <c r="E3" s="79"/>
    </row>
    <row r="4" spans="1:19" ht="15.5" thickBot="1" x14ac:dyDescent="0.9">
      <c r="B4" s="66" t="s">
        <v>19</v>
      </c>
      <c r="C4" s="78" t="str">
        <f>'Results-ConceptMap-1'!C4</f>
        <v>result2FHIR-eu-ps</v>
      </c>
      <c r="D4" s="66" t="s">
        <v>415</v>
      </c>
      <c r="E4" s="80"/>
    </row>
    <row r="5" spans="1:19" ht="15.5" thickBot="1" x14ac:dyDescent="0.9">
      <c r="B5" s="66" t="s">
        <v>13</v>
      </c>
      <c r="C5" s="78" t="str">
        <f>'Results-ConceptMap-1'!C5</f>
        <v>eHN Result to this guide Map</v>
      </c>
      <c r="D5" s="66"/>
      <c r="E5" s="10"/>
    </row>
    <row r="6" spans="1:19" ht="15.5" thickBot="1" x14ac:dyDescent="0.9">
      <c r="B6" s="66" t="s">
        <v>35</v>
      </c>
      <c r="C6" s="78">
        <f>'Results-ConceptMap-1'!C6</f>
        <v>0</v>
      </c>
      <c r="D6" s="66" t="s">
        <v>412</v>
      </c>
      <c r="E6" s="140" t="str">
        <f>'Results-ConceptMap-1'!E6</f>
        <v>http://hl7.eu/fhir/ig/xpandh/ps/StructureDefinition/Result</v>
      </c>
      <c r="F6" s="136"/>
      <c r="G6" s="136"/>
    </row>
    <row r="7" spans="1:19" ht="15.5" thickBot="1" x14ac:dyDescent="0.9">
      <c r="B7" s="66" t="s">
        <v>18</v>
      </c>
      <c r="C7" s="78">
        <f>'Results-ConceptMap-1'!C7</f>
        <v>0</v>
      </c>
      <c r="D7" s="66" t="s">
        <v>413</v>
      </c>
      <c r="E7" s="140" t="s">
        <v>1219</v>
      </c>
      <c r="F7" s="136"/>
      <c r="G7" s="136"/>
    </row>
    <row r="8" spans="1:19" ht="45" thickBot="1" x14ac:dyDescent="0.9">
      <c r="B8" s="66" t="s">
        <v>410</v>
      </c>
      <c r="C8" s="78" t="str">
        <f>'Results-ConceptMap-1'!C8</f>
        <v>eHN Result Model to this guide Map</v>
      </c>
      <c r="D8" s="66"/>
      <c r="E8" s="10"/>
      <c r="I8" s="14" t="s">
        <v>387</v>
      </c>
      <c r="J8" s="14" t="s">
        <v>388</v>
      </c>
      <c r="K8" s="14" t="s">
        <v>389</v>
      </c>
      <c r="L8" s="14" t="s">
        <v>390</v>
      </c>
      <c r="M8" s="9" t="s">
        <v>391</v>
      </c>
      <c r="P8" s="62" t="s">
        <v>392</v>
      </c>
      <c r="Q8" s="62">
        <v>6</v>
      </c>
    </row>
    <row r="9" spans="1:19" ht="30.25" thickBot="1" x14ac:dyDescent="0.9">
      <c r="B9" s="66" t="s">
        <v>411</v>
      </c>
      <c r="C9" s="78" t="str">
        <f>'Results-ConceptMap-1'!C9</f>
        <v>It shows how the Result data set defined by the EU eHN guidelines is mapped into this guide</v>
      </c>
      <c r="D9" s="66"/>
      <c r="E9"/>
      <c r="I9" s="14"/>
      <c r="J9" s="9"/>
      <c r="K9" s="9"/>
      <c r="L9" s="9"/>
      <c r="M9" s="9"/>
    </row>
    <row r="10" spans="1:19" x14ac:dyDescent="0.75">
      <c r="B10" s="66"/>
      <c r="C10" s="78"/>
      <c r="D10" s="66"/>
      <c r="E10"/>
      <c r="I10" s="14"/>
      <c r="J10" s="9"/>
      <c r="K10" s="9"/>
      <c r="L10" s="9"/>
      <c r="M10" s="9"/>
    </row>
    <row r="11" spans="1:19" x14ac:dyDescent="0.75">
      <c r="E11" s="10"/>
      <c r="I11" s="24" t="s">
        <v>393</v>
      </c>
      <c r="J11" s="63" t="s">
        <v>394</v>
      </c>
      <c r="K11" s="24" t="s">
        <v>395</v>
      </c>
      <c r="L11" s="63" t="s">
        <v>396</v>
      </c>
      <c r="M11" s="64" t="s">
        <v>397</v>
      </c>
      <c r="N11" s="67" t="s">
        <v>384</v>
      </c>
    </row>
    <row r="12" spans="1:19" x14ac:dyDescent="0.75">
      <c r="E12" s="65"/>
      <c r="I12" s="14"/>
      <c r="J12" s="9"/>
      <c r="K12" s="9"/>
      <c r="L12" s="9"/>
      <c r="M12" s="9"/>
    </row>
    <row r="13" spans="1:19" x14ac:dyDescent="0.75">
      <c r="D13" s="14"/>
      <c r="E13" s="9"/>
      <c r="F13" s="64" t="s">
        <v>397</v>
      </c>
      <c r="G13" s="67" t="s">
        <v>384</v>
      </c>
      <c r="H13" s="67"/>
      <c r="I13" s="14"/>
      <c r="J13" s="9"/>
      <c r="K13" s="64"/>
      <c r="L13" s="64"/>
      <c r="M13" s="64"/>
      <c r="N13" s="67"/>
    </row>
    <row r="14" spans="1:19" x14ac:dyDescent="0.75">
      <c r="A14" s="22"/>
      <c r="B14" s="8" t="str">
        <f>'A.5 Results'!B5</f>
        <v>Result</v>
      </c>
      <c r="C14" s="9"/>
      <c r="D14" s="4" t="s">
        <v>189</v>
      </c>
      <c r="E14" s="8"/>
      <c r="F14" s="68"/>
      <c r="G14" s="68"/>
      <c r="I14" s="14"/>
      <c r="J14" s="9"/>
      <c r="K14" s="9"/>
      <c r="L14" s="9"/>
      <c r="M14" s="64"/>
      <c r="N14" s="67"/>
    </row>
    <row r="15" spans="1:19" ht="44.25" x14ac:dyDescent="0.75">
      <c r="A15" s="22"/>
      <c r="B15" s="9" t="str">
        <f>'A.5 Results'!B8</f>
        <v>narrative</v>
      </c>
      <c r="C15" s="9" t="str">
        <f>'A.5 Results'!C8</f>
        <v>A.5.1 Patient Summary narrative</v>
      </c>
      <c r="D15" s="14"/>
      <c r="E15" s="9"/>
      <c r="F15" s="68" t="s">
        <v>399</v>
      </c>
      <c r="G15" s="68"/>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2"/>
      <c r="B16" s="9" t="str">
        <f>'A.5 Results'!B9</f>
        <v>narrative.report</v>
      </c>
      <c r="C16" s="9" t="str">
        <f>'A.5 Results'!C9</f>
        <v>A.5.1.1 Narrative report</v>
      </c>
      <c r="D16" s="14" t="s">
        <v>472</v>
      </c>
      <c r="E16" s="9"/>
      <c r="F16" s="68" t="s">
        <v>399</v>
      </c>
      <c r="G16" s="68"/>
      <c r="H16" s="69"/>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Patient Summary narrative##34#</v>
      </c>
    </row>
    <row r="17" spans="1:19" ht="44.25" customHeight="1" x14ac:dyDescent="0.75">
      <c r="A17" s="22"/>
      <c r="B17" s="9" t="str">
        <f>'A.5 Results'!B9</f>
        <v>narrative.report</v>
      </c>
      <c r="C17" s="9" t="str">
        <f>'A.5 Results'!C9</f>
        <v>A.5.1.1 Narrative report</v>
      </c>
      <c r="D17" s="14" t="s">
        <v>738</v>
      </c>
      <c r="E17" s="9"/>
      <c r="F17" s="68" t="s">
        <v>399</v>
      </c>
      <c r="G17" s="68" t="s">
        <v>475</v>
      </c>
      <c r="H17" s="69"/>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#Composition.section:ps-no-subsections.text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2"/>
      <c r="B18" s="9" t="str">
        <f>'A.5 Results'!B9</f>
        <v>narrative.report</v>
      </c>
      <c r="C18" s="9" t="str">
        <f>'A.5 Results'!C9</f>
        <v>A.5.1.1 Narrative report</v>
      </c>
      <c r="D18" s="14" t="s">
        <v>739</v>
      </c>
      <c r="E18" s="9"/>
      <c r="F18" s="68" t="s">
        <v>399</v>
      </c>
      <c r="G18" s="68" t="s">
        <v>476</v>
      </c>
      <c r="H18" s="69"/>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#Composition.section:ps-subsections.section.text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2"/>
      <c r="B19" s="9" t="str">
        <f>'A.5 Results'!B10</f>
        <v>narrative.notes</v>
      </c>
      <c r="C19" s="9" t="str">
        <f>'A.5 Results'!C10</f>
        <v>A.5.1.2 Comments, interpretation and recommendations</v>
      </c>
      <c r="D19" s="14" t="s">
        <v>738</v>
      </c>
      <c r="E19" s="9"/>
      <c r="F19" s="68" t="s">
        <v>399</v>
      </c>
      <c r="G19" s="68" t="s">
        <v>475</v>
      </c>
      <c r="H19" s="69"/>
      <c r="I19" s="14" t="str">
        <f t="shared" si="11"/>
        <v>* group[=].element[+].code = #Result.narrative.notes</v>
      </c>
      <c r="J19" s="14" t="str">
        <f t="shared" si="13"/>
        <v>* group[=].element[=].display = ##34#A.5.1.2 Comments, interpretation and recommendations##34#</v>
      </c>
      <c r="K19" s="14" t="str">
        <f t="shared" si="12"/>
        <v>* group[=].element[=].target.code = #Composition.section:ps-no-subsections.text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2"/>
      <c r="B20" s="9" t="str">
        <f>'A.5 Results'!B10</f>
        <v>narrative.notes</v>
      </c>
      <c r="C20" s="9" t="str">
        <f>'A.5 Results'!C10</f>
        <v>A.5.1.2 Comments, interpretation and recommendations</v>
      </c>
      <c r="D20" s="14" t="s">
        <v>739</v>
      </c>
      <c r="E20" s="9"/>
      <c r="F20" s="68" t="s">
        <v>399</v>
      </c>
      <c r="G20" s="68" t="s">
        <v>476</v>
      </c>
      <c r="H20" s="69"/>
      <c r="I20" s="14" t="str">
        <f t="shared" si="11"/>
        <v>* group[=].element[+].code = #Result.narrative.notes</v>
      </c>
      <c r="J20" s="14" t="str">
        <f t="shared" si="13"/>
        <v>* group[=].element[=].display = ##34#A.5.1.2 Comments, interpretation and recommendations##34#</v>
      </c>
      <c r="K20" s="14" t="str">
        <f t="shared" si="12"/>
        <v>* group[=].element[=].target.code = #Composition.section:ps-subsections.section.text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2"/>
      <c r="B21" s="9" t="str">
        <f>'A.5 Results'!B11</f>
        <v>observation</v>
      </c>
      <c r="C21" s="9" t="str">
        <f>'A.5 Results'!C11</f>
        <v>A.5.2 Observation details</v>
      </c>
      <c r="D21" s="14" t="s">
        <v>727</v>
      </c>
      <c r="E21" s="9"/>
      <c r="F21" s="68" t="s">
        <v>399</v>
      </c>
      <c r="G21" s="68" t="s">
        <v>475</v>
      </c>
      <c r="H21" s="69"/>
      <c r="I21" s="14" t="str">
        <f t="shared" si="11"/>
        <v>* group[=].element[+].code = #Result.observation</v>
      </c>
      <c r="J21" s="14" t="str">
        <f t="shared" si="13"/>
        <v>* group[=].element[=].display = ##34#A.5.2 Observation details##34#</v>
      </c>
      <c r="K21" s="14" t="str">
        <f t="shared" si="12"/>
        <v>* group[=].element[=].target.code = #Composition.section:ps-no-subsections.entry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2"/>
      <c r="B22" s="9" t="str">
        <f>'A.5 Results'!B11</f>
        <v>observation</v>
      </c>
      <c r="C22" s="9" t="str">
        <f>'A.5 Results'!C11</f>
        <v>A.5.2 Observation details</v>
      </c>
      <c r="D22" s="14" t="s">
        <v>729</v>
      </c>
      <c r="E22" s="9"/>
      <c r="F22" s="68" t="s">
        <v>399</v>
      </c>
      <c r="G22" s="68" t="s">
        <v>476</v>
      </c>
      <c r="H22" s="69"/>
      <c r="I22" s="14" t="str">
        <f t="shared" si="11"/>
        <v>* group[=].element[+].code = #Result.observation</v>
      </c>
      <c r="J22" s="14" t="str">
        <f t="shared" si="13"/>
        <v>* group[=].element[=].display = ##34#A.5.2 Observation details##34#</v>
      </c>
      <c r="K22" s="14" t="str">
        <f t="shared" si="12"/>
        <v>* group[=].element[=].target.code = #Composition.section:ps-subsections.section.entry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2"/>
      <c r="B23" s="9" t="str">
        <f>'A.5 Results'!B12</f>
        <v>observation.dateTime</v>
      </c>
      <c r="C23" s="9" t="str">
        <f>'A.5 Results'!C12</f>
        <v>A.5.2.1 Observation date</v>
      </c>
      <c r="D23" s="14" t="s">
        <v>727</v>
      </c>
      <c r="E23" s="9"/>
      <c r="F23" s="68" t="s">
        <v>399</v>
      </c>
      <c r="G23" s="68" t="s">
        <v>474</v>
      </c>
      <c r="H23" s="69"/>
      <c r="I23" s="14" t="str">
        <f t="shared" si="11"/>
        <v>* group[=].element[+].code = #Result.observation.dateTime</v>
      </c>
      <c r="J23" s="14" t="str">
        <f t="shared" si="13"/>
        <v>* group[=].element[=].display = ##34#A.5.2.1 Observation date##34#</v>
      </c>
      <c r="K23" s="14" t="str">
        <f t="shared" si="12"/>
        <v>* group[=].element[=].target.code = #Composition.section:ps-no-subsections.entry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2"/>
      <c r="B24" s="9" t="str">
        <f>'A.5 Results'!B13</f>
        <v>observation.code</v>
      </c>
      <c r="C24" s="9" t="str">
        <f>'A.5 Results'!C13</f>
        <v>A.5.2.3 Observation code</v>
      </c>
      <c r="D24" s="14" t="s">
        <v>727</v>
      </c>
      <c r="E24" s="9"/>
      <c r="F24" s="68" t="s">
        <v>399</v>
      </c>
      <c r="G24" s="68" t="s">
        <v>474</v>
      </c>
      <c r="H24" s="69"/>
      <c r="I24" s="14" t="str">
        <f t="shared" si="11"/>
        <v>* group[=].element[+].code = #Result.observation.code</v>
      </c>
      <c r="J24" s="14" t="str">
        <f t="shared" si="13"/>
        <v>* group[=].element[=].display = ##34#A.5.2.3 Observation code##34#</v>
      </c>
      <c r="K24" s="14" t="str">
        <f t="shared" si="12"/>
        <v>* group[=].element[=].target.code = #Composition.section:ps-no-subsections.entry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2"/>
      <c r="B25" s="9" t="str">
        <f>'A.5 Results'!B14</f>
        <v>observation.code.name</v>
      </c>
      <c r="C25" s="9" t="str">
        <f>'A.5 Results'!C14</f>
        <v>A.5.2.3.1 Observation name</v>
      </c>
      <c r="D25" s="14" t="s">
        <v>727</v>
      </c>
      <c r="E25" s="9"/>
      <c r="F25" s="68" t="s">
        <v>399</v>
      </c>
      <c r="G25" s="68" t="s">
        <v>474</v>
      </c>
      <c r="H25" s="69"/>
      <c r="I25" s="14" t="str">
        <f t="shared" si="11"/>
        <v>* group[=].element[+].code = #Result.observation.code.name</v>
      </c>
      <c r="J25" s="14" t="str">
        <f t="shared" si="13"/>
        <v>* group[=].element[=].display = ##34#A.5.2.3.1 Observation name##34#</v>
      </c>
      <c r="K25" s="14" t="str">
        <f t="shared" si="12"/>
        <v>* group[=].element[=].target.code = #Composition.section:ps-no-subsections.entry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2"/>
      <c r="B26" s="9" t="str">
        <f>'A.5 Results'!B15</f>
        <v>observation.code.originalName</v>
      </c>
      <c r="C26" s="9" t="str">
        <f>'A.5 Results'!C15</f>
        <v>A.5.2.3.2 Observation original name</v>
      </c>
      <c r="D26" s="14" t="s">
        <v>727</v>
      </c>
      <c r="E26" s="9"/>
      <c r="F26" s="68" t="s">
        <v>399</v>
      </c>
      <c r="G26" s="68" t="s">
        <v>474</v>
      </c>
      <c r="H26" s="69"/>
      <c r="I26" s="14" t="str">
        <f t="shared" si="11"/>
        <v>* group[=].element[+].code = #Result.observation.code.originalName</v>
      </c>
      <c r="J26" s="14" t="str">
        <f t="shared" si="13"/>
        <v>* group[=].element[=].display = ##34#A.5.2.3.2 Observation original name##34#</v>
      </c>
      <c r="K26" s="14" t="str">
        <f t="shared" si="12"/>
        <v>* group[=].element[=].target.code = #Composition.section:ps-no-subsections.entry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2"/>
      <c r="B27" s="9" t="str">
        <f>'A.5 Results'!B16</f>
        <v>observation.code.displayName</v>
      </c>
      <c r="C27" s="9" t="str">
        <f>'A.5 Results'!C16</f>
        <v>A.5.2.3.3 Observation display name</v>
      </c>
      <c r="D27" s="14" t="s">
        <v>727</v>
      </c>
      <c r="E27" s="9"/>
      <c r="F27" s="68" t="s">
        <v>399</v>
      </c>
      <c r="G27" s="68" t="s">
        <v>474</v>
      </c>
      <c r="H27" s="69"/>
      <c r="I27" s="14" t="str">
        <f t="shared" si="11"/>
        <v>* group[=].element[+].code = #Result.observation.code.displayName</v>
      </c>
      <c r="J27" s="14" t="str">
        <f t="shared" si="13"/>
        <v>* group[=].element[=].display = ##34#A.5.2.3.3 Observation display name##34#</v>
      </c>
      <c r="K27" s="14" t="str">
        <f t="shared" si="12"/>
        <v>* group[=].element[=].target.code = #Composition.section:ps-no-subsections.entry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2"/>
      <c r="B28" s="9" t="str">
        <f>'A.5 Results'!B17</f>
        <v>observation.method</v>
      </c>
      <c r="C28" s="9" t="str">
        <f>'A.5 Results'!C17</f>
        <v>A.5.2.4 Observation method</v>
      </c>
      <c r="D28" s="14" t="s">
        <v>727</v>
      </c>
      <c r="E28" s="9"/>
      <c r="F28" s="68" t="s">
        <v>399</v>
      </c>
      <c r="G28" s="68" t="s">
        <v>474</v>
      </c>
      <c r="H28" s="69"/>
      <c r="I28" s="14" t="str">
        <f t="shared" si="11"/>
        <v>* group[=].element[+].code = #Result.observation.method</v>
      </c>
      <c r="J28" s="14" t="str">
        <f t="shared" si="13"/>
        <v>* group[=].element[=].display = ##34#A.5.2.4 Observation method##34#</v>
      </c>
      <c r="K28" s="14" t="str">
        <f t="shared" si="12"/>
        <v>* group[=].element[=].target.code = #Composition.section:ps-no-subsections.entry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2"/>
      <c r="B29" s="9" t="str">
        <f>'A.5 Results'!B18</f>
        <v>observation.device</v>
      </c>
      <c r="C29" s="9" t="str">
        <f>'A.5 Results'!C18</f>
        <v>A.5.2.5 Observation device</v>
      </c>
      <c r="D29" s="14" t="s">
        <v>727</v>
      </c>
      <c r="E29" s="14"/>
      <c r="F29" s="68" t="s">
        <v>399</v>
      </c>
      <c r="G29" s="68" t="s">
        <v>474</v>
      </c>
      <c r="H29" s="69"/>
      <c r="I29" s="14" t="str">
        <f t="shared" si="11"/>
        <v>* group[=].element[+].code = #Result.observation.device</v>
      </c>
      <c r="J29" s="14" t="str">
        <f t="shared" si="13"/>
        <v>* group[=].element[=].display = ##34#A.5.2.5 Observation device##34#</v>
      </c>
      <c r="K29" s="14" t="str">
        <f t="shared" si="12"/>
        <v>* group[=].element[=].target.code = #Composition.section:ps-no-subsections.entry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#Composition.section:ps-no-subsections.text</v>
      </c>
    </row>
    <row r="30" spans="1:19" ht="59" x14ac:dyDescent="0.75">
      <c r="A30" s="22"/>
      <c r="B30" s="9" t="str">
        <f>'A.5 Results'!B19</f>
        <v>observation.vaccination</v>
      </c>
      <c r="C30" s="9" t="str">
        <f>'A.5 Results'!C19</f>
        <v>A.5.2.8 Vaccination</v>
      </c>
      <c r="D30" s="14" t="s">
        <v>727</v>
      </c>
      <c r="E30" s="14"/>
      <c r="F30" s="68" t="s">
        <v>399</v>
      </c>
      <c r="G30" s="68" t="s">
        <v>474</v>
      </c>
      <c r="H30" s="69"/>
      <c r="I30" s="14" t="str">
        <f t="shared" ref="I30:I36" si="17">"* group[=].element[+].code = #"&amp;$B$14&amp;"."&amp;B30</f>
        <v>* group[=].element[+].code = #Result.observation.vaccination</v>
      </c>
      <c r="J30" s="14" t="str">
        <f t="shared" si="13"/>
        <v>* group[=].element[=].display = ##34#A.5.2.8 Vaccination##34#</v>
      </c>
      <c r="K30" s="14" t="str">
        <f t="shared" ref="K30:K36" si="18">IF(F30="unmatched","//-- unmatched",IF(D30="","* group[=].element[=].target.code = #"&amp;$D$14,"* group[=].element[=].target.code = #"&amp;$D$14&amp;"."&amp;D30))</f>
        <v>* group[=].element[=].target.code = #Composition.section:ps-no-subsections.entry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727</v>
      </c>
      <c r="E31" s="14"/>
      <c r="F31" s="68" t="s">
        <v>399</v>
      </c>
      <c r="G31" s="68" t="s">
        <v>474</v>
      </c>
      <c r="H31" s="69"/>
      <c r="I31" s="14" t="str">
        <f t="shared" si="17"/>
        <v>* group[=].element[+].code = #Result.observation.performer</v>
      </c>
      <c r="J31" s="14" t="str">
        <f t="shared" ref="J31:J36" si="19">"* group[=].element[=].display = ##34#"&amp;C31&amp;"##34#"</f>
        <v>* group[=].element[=].display = ##34#A.5.2.9 Performer##34#</v>
      </c>
      <c r="K31" s="14" t="str">
        <f t="shared" si="18"/>
        <v>* group[=].element[=].target.code = #Composition.section:ps-no-subsections.entry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727</v>
      </c>
      <c r="E32" s="14"/>
      <c r="F32" s="68" t="s">
        <v>399</v>
      </c>
      <c r="G32" s="68" t="s">
        <v>474</v>
      </c>
      <c r="H32" s="69"/>
      <c r="I32" s="14" t="str">
        <f t="shared" si="17"/>
        <v>* group[=].element[+].code = #Result.observation.reporter</v>
      </c>
      <c r="J32" s="14" t="str">
        <f t="shared" si="19"/>
        <v>* group[=].element[=].display = ##34#A.5.2.10 Reporter##34#</v>
      </c>
      <c r="K32" s="14" t="str">
        <f t="shared" si="18"/>
        <v>* group[=].element[=].target.code = #Composition.section:ps-no-subsections.entry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727</v>
      </c>
      <c r="E33" s="14"/>
      <c r="F33" s="68" t="s">
        <v>399</v>
      </c>
      <c r="G33" s="68" t="s">
        <v>474</v>
      </c>
      <c r="H33" s="69"/>
      <c r="I33" s="14" t="str">
        <f t="shared" si="17"/>
        <v>* group[=].element[+].code = #Result.observation.result</v>
      </c>
      <c r="J33" s="14" t="str">
        <f t="shared" si="19"/>
        <v>* group[=].element[=].display = ##34#A.5.2.11 Observation result##34#</v>
      </c>
      <c r="K33" s="14" t="str">
        <f t="shared" si="18"/>
        <v>* group[=].element[=].target.code = #Composition.section:ps-no-subsections.entry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727</v>
      </c>
      <c r="E34" s="14"/>
      <c r="F34" s="68" t="s">
        <v>399</v>
      </c>
      <c r="G34" s="68" t="s">
        <v>474</v>
      </c>
      <c r="H34" s="69"/>
      <c r="I34" s="14" t="str">
        <f t="shared" si="17"/>
        <v>* group[=].element[+].code = #Result.observation.interpretation</v>
      </c>
      <c r="J34" s="14" t="str">
        <f t="shared" si="19"/>
        <v>* group[=].element[=].display = ##34#A.5.2.12 Observation interpretation##34#</v>
      </c>
      <c r="K34" s="14" t="str">
        <f t="shared" si="18"/>
        <v>* group[=].element[=].target.code = #Composition.section:ps-no-subsections.entry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727</v>
      </c>
      <c r="E35" s="14"/>
      <c r="F35" s="68" t="s">
        <v>399</v>
      </c>
      <c r="G35" s="68" t="s">
        <v>474</v>
      </c>
      <c r="H35" s="69"/>
      <c r="I35" s="14" t="str">
        <f t="shared" si="17"/>
        <v>* group[=].element[+].code = #Result.observation.description</v>
      </c>
      <c r="J35" s="14" t="str">
        <f t="shared" si="19"/>
        <v>* group[=].element[=].display = ##34#A.5.2.13 Result description##34#</v>
      </c>
      <c r="K35" s="14" t="str">
        <f t="shared" si="18"/>
        <v>* group[=].element[=].target.code = #Composition.section:ps-no-subsections.entry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#Composition.section:ps-subsections.section.text</v>
      </c>
    </row>
    <row r="36" spans="1:19" ht="59" x14ac:dyDescent="0.75">
      <c r="B36" s="9" t="str">
        <f>'A.5 Results'!B25</f>
        <v>observation.accreditationStatus</v>
      </c>
      <c r="C36" s="9" t="str">
        <f>'A.5 Results'!C25</f>
        <v>A.5.2.14 Accreditation status</v>
      </c>
      <c r="D36" s="14" t="s">
        <v>727</v>
      </c>
      <c r="E36" s="14"/>
      <c r="F36" s="68" t="s">
        <v>399</v>
      </c>
      <c r="G36" s="68" t="s">
        <v>474</v>
      </c>
      <c r="H36" s="69"/>
      <c r="I36" s="14" t="str">
        <f t="shared" si="17"/>
        <v>* group[=].element[+].code = #Result.observation.accreditationStatus</v>
      </c>
      <c r="J36" s="14" t="str">
        <f t="shared" si="19"/>
        <v>* group[=].element[=].display = ##34#A.5.2.14 Accreditation status##34#</v>
      </c>
      <c r="K36" s="14" t="str">
        <f t="shared" si="18"/>
        <v>* group[=].element[=].target.code = #Composition.section:ps-no-subsections.entry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68"/>
      <c r="G37" s="68"/>
      <c r="H37" s="69"/>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68"/>
      <c r="G38" s="68"/>
      <c r="H38" s="69"/>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68"/>
      <c r="G39" s="68"/>
      <c r="H39" s="69"/>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68"/>
      <c r="G40" s="68"/>
      <c r="H40" s="69"/>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68"/>
      <c r="G41" s="68"/>
      <c r="H41" s="69"/>
      <c r="I41" s="14"/>
      <c r="J41" s="14"/>
      <c r="K41" s="14"/>
      <c r="L41" s="14"/>
      <c r="M41" s="14"/>
      <c r="N41" s="14"/>
      <c r="P41">
        <v>27</v>
      </c>
      <c r="Q41" s="9">
        <f t="shared" si="9"/>
        <v>4</v>
      </c>
      <c r="R41" s="9">
        <f t="shared" si="10"/>
        <v>3</v>
      </c>
      <c r="S41" s="14" t="str" cm="1">
        <f t="array" ref="S41">INDEX('Results-ConceptMap-2'!$I$15:$N$125,Q41+1,R41)</f>
        <v>* group[=].element[=].target.code = #Composition.section:ps-no-subsections.text</v>
      </c>
    </row>
    <row r="42" spans="1:19" x14ac:dyDescent="0.75">
      <c r="B42" s="9"/>
      <c r="C42" s="9"/>
      <c r="D42" s="14"/>
      <c r="E42" s="14"/>
      <c r="F42" s="68"/>
      <c r="G42" s="68"/>
      <c r="H42" s="69"/>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68"/>
      <c r="G43" s="69"/>
      <c r="H43" s="69"/>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54"/>
      <c r="F44" s="69"/>
      <c r="G44" s="69"/>
      <c r="H44" s="69"/>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69"/>
      <c r="G45" s="69"/>
      <c r="H45" s="69"/>
      <c r="J45"/>
      <c r="K45" s="69"/>
      <c r="L45" s="69"/>
      <c r="M45" s="67"/>
      <c r="N45" s="67"/>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#Composition.section:ps-subsections.section.text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#Composition.section:ps-no-subsections.entry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#Composition.section:ps-subsections.section.entry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#Composition.section:ps-no-subsections.entry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#Composition.section:ps-no-subsections.entry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#Composition.section:ps-no-subsections.entry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#Composition.section:ps-no-subsections.entry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#Composition.section:ps-no-subsections.entry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#Composition.section:ps-no-subsections.entry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#Composition.section:ps-no-subsections.entry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#Result.observation.vaccination</v>
      </c>
    </row>
    <row r="106" spans="16:19" x14ac:dyDescent="0.75">
      <c r="P106" s="9">
        <v>92</v>
      </c>
      <c r="Q106" s="9">
        <f t="shared" si="23"/>
        <v>15</v>
      </c>
      <c r="R106" s="9">
        <f t="shared" si="24"/>
        <v>2</v>
      </c>
      <c r="S106" s="14" t="str" cm="1">
        <f t="array" ref="S106">INDEX('Results-ConceptMap-2'!$I$15:$N$125,Q106+1,R106)</f>
        <v>* group[=].element[=].display = ##34#A.5.2.8 Vaccination##34#</v>
      </c>
    </row>
    <row r="107" spans="16:19" x14ac:dyDescent="0.75">
      <c r="P107">
        <v>93</v>
      </c>
      <c r="Q107" s="9">
        <f t="shared" si="23"/>
        <v>15</v>
      </c>
      <c r="R107" s="9">
        <f t="shared" si="24"/>
        <v>3</v>
      </c>
      <c r="S107" s="14" t="str" cm="1">
        <f t="array" ref="S107">INDEX('Results-ConceptMap-2'!$I$15:$N$125,Q107+1,R107)</f>
        <v>* group[=].element[=].target.code = #Composition.section:ps-no-subsections.entry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#Composition.section:ps-no-subsections.entry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#Composition.section:ps-no-subsections.entry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#Composition.section:ps-no-subsections.entry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#Composition.section:ps-no-subsections.entry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#Composition.section:ps-no-subsections.entry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#Composition.section:ps-no-subsections.entry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display="http://hl7.eu/fhir/laboratory/StructureDefinition/Composition-eu-lab" xr:uid="{4E460196-C19D-493D-B9BF-CCC4FF323F26}"/>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78" t="str">
        <f>'Results-ConceptMap-1'!C3</f>
        <v>PatientSummaryResult2FHIR</v>
      </c>
      <c r="D3" s="66" t="s">
        <v>414</v>
      </c>
      <c r="E3" s="77"/>
    </row>
    <row r="4" spans="1:19" ht="15.5" thickBot="1" x14ac:dyDescent="0.9">
      <c r="B4" s="66" t="s">
        <v>19</v>
      </c>
      <c r="C4" s="78" t="str">
        <f>'Results-ConceptMap-1'!C4</f>
        <v>result2FHIR-eu-ps</v>
      </c>
      <c r="D4" s="66" t="s">
        <v>415</v>
      </c>
      <c r="E4"/>
    </row>
    <row r="5" spans="1:19" ht="15.5" thickBot="1" x14ac:dyDescent="0.9">
      <c r="B5" s="66" t="s">
        <v>13</v>
      </c>
      <c r="C5" s="78" t="str">
        <f>'Results-ConceptMap-1'!C5</f>
        <v>eHN Result to this guide Map</v>
      </c>
      <c r="D5" s="66"/>
      <c r="E5" s="10"/>
    </row>
    <row r="6" spans="1:19" ht="15.5" thickBot="1" x14ac:dyDescent="0.9">
      <c r="B6" s="66" t="s">
        <v>35</v>
      </c>
      <c r="C6" s="78">
        <f>'Results-ConceptMap-1'!C6</f>
        <v>0</v>
      </c>
      <c r="D6" s="66" t="s">
        <v>412</v>
      </c>
      <c r="E6" s="140" t="str">
        <f>'Results-ConceptMap-1'!E6</f>
        <v>http://hl7.eu/fhir/ig/xpandh/ps/StructureDefinition/Result</v>
      </c>
      <c r="F6" s="136"/>
      <c r="G6" s="136"/>
    </row>
    <row r="7" spans="1:19" ht="15.5" thickBot="1" x14ac:dyDescent="0.9">
      <c r="B7" s="66" t="s">
        <v>18</v>
      </c>
      <c r="C7" s="78">
        <f>'Results-ConceptMap-1'!C7</f>
        <v>0</v>
      </c>
      <c r="D7" s="66" t="s">
        <v>413</v>
      </c>
      <c r="E7" s="140" t="s">
        <v>1229</v>
      </c>
      <c r="F7" s="136"/>
      <c r="G7" s="136"/>
    </row>
    <row r="8" spans="1:19" ht="45" thickBot="1" x14ac:dyDescent="0.9">
      <c r="B8" s="66" t="s">
        <v>410</v>
      </c>
      <c r="C8" s="78" t="str">
        <f>'Results-ConceptMap-1'!C8</f>
        <v>eHN Result Model to this guide Map</v>
      </c>
      <c r="D8" s="66"/>
      <c r="E8" s="10"/>
      <c r="I8" s="14" t="s">
        <v>387</v>
      </c>
      <c r="J8" s="14" t="s">
        <v>388</v>
      </c>
      <c r="K8" s="14" t="s">
        <v>389</v>
      </c>
      <c r="L8" s="14" t="s">
        <v>390</v>
      </c>
      <c r="M8" s="9" t="s">
        <v>391</v>
      </c>
      <c r="P8" s="62" t="s">
        <v>392</v>
      </c>
      <c r="Q8" s="62">
        <v>6</v>
      </c>
    </row>
    <row r="9" spans="1:19" ht="30.25" thickBot="1" x14ac:dyDescent="0.9">
      <c r="B9" s="66" t="s">
        <v>411</v>
      </c>
      <c r="C9" s="78" t="str">
        <f>'Results-ConceptMap-1'!C9</f>
        <v>It shows how the Result data set defined by the EU eHN guidelines is mapped into this guide</v>
      </c>
      <c r="D9" s="66"/>
      <c r="E9"/>
      <c r="I9" s="14"/>
      <c r="J9" s="9"/>
      <c r="K9" s="9"/>
      <c r="L9" s="9"/>
      <c r="M9" s="9"/>
    </row>
    <row r="10" spans="1:19" x14ac:dyDescent="0.75">
      <c r="B10" s="66"/>
      <c r="C10" s="78"/>
      <c r="D10" s="66"/>
      <c r="E10"/>
      <c r="I10" s="14"/>
      <c r="J10" s="9"/>
      <c r="K10" s="9"/>
      <c r="L10" s="9"/>
      <c r="M10" s="9"/>
    </row>
    <row r="11" spans="1:19" x14ac:dyDescent="0.75">
      <c r="E11" s="10"/>
      <c r="I11" s="24" t="s">
        <v>393</v>
      </c>
      <c r="J11" s="63" t="s">
        <v>394</v>
      </c>
      <c r="K11" s="24" t="s">
        <v>395</v>
      </c>
      <c r="L11" s="63" t="s">
        <v>396</v>
      </c>
      <c r="M11" s="64" t="s">
        <v>397</v>
      </c>
      <c r="N11" s="67" t="s">
        <v>384</v>
      </c>
    </row>
    <row r="12" spans="1:19" x14ac:dyDescent="0.75">
      <c r="E12" s="65"/>
      <c r="I12" s="14"/>
      <c r="J12" s="9"/>
      <c r="K12" s="9"/>
      <c r="L12" s="9"/>
      <c r="M12" s="9"/>
    </row>
    <row r="13" spans="1:19" x14ac:dyDescent="0.75">
      <c r="D13" s="14"/>
      <c r="E13" s="9"/>
      <c r="F13" s="64" t="s">
        <v>397</v>
      </c>
      <c r="G13" s="67" t="s">
        <v>384</v>
      </c>
      <c r="H13" s="67"/>
      <c r="I13" s="14"/>
      <c r="J13" s="9"/>
      <c r="K13" s="64"/>
      <c r="L13" s="64"/>
      <c r="M13" s="64"/>
      <c r="N13" s="67"/>
    </row>
    <row r="14" spans="1:19" x14ac:dyDescent="0.75">
      <c r="A14" s="22"/>
      <c r="B14" s="8" t="str">
        <f>'A.5 Results'!B5</f>
        <v>Result</v>
      </c>
      <c r="C14" s="9"/>
      <c r="D14" s="4" t="s">
        <v>478</v>
      </c>
      <c r="E14" s="8"/>
      <c r="F14" s="68"/>
      <c r="G14" s="68"/>
      <c r="I14" s="14"/>
      <c r="J14" s="9"/>
      <c r="K14" s="9"/>
      <c r="L14" s="9"/>
      <c r="M14" s="64"/>
      <c r="N14" s="67"/>
    </row>
    <row r="15" spans="1:19" ht="44.25" customHeight="1" x14ac:dyDescent="0.75">
      <c r="A15" s="22"/>
      <c r="B15" s="9" t="str">
        <f>'A.5 Results'!B8</f>
        <v>narrative</v>
      </c>
      <c r="C15" s="9" t="str">
        <f>'A.5 Results'!C8</f>
        <v>A.5.1 Patient Summary narrative</v>
      </c>
      <c r="D15" s="14"/>
      <c r="E15" s="9"/>
      <c r="F15" s="68" t="s">
        <v>400</v>
      </c>
      <c r="G15" s="68"/>
      <c r="H15" s="69"/>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2"/>
      <c r="B16" s="9" t="str">
        <f>'A.5 Results'!B9</f>
        <v>narrative.report</v>
      </c>
      <c r="C16" s="9" t="str">
        <f>'A.5 Results'!C9</f>
        <v>A.5.1.1 Narrative report</v>
      </c>
      <c r="D16" s="14"/>
      <c r="E16" s="9"/>
      <c r="F16" s="68" t="s">
        <v>400</v>
      </c>
      <c r="G16" s="68"/>
      <c r="H16" s="69"/>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Patient Summary narrative##34#</v>
      </c>
    </row>
    <row r="17" spans="1:19" ht="44.25" x14ac:dyDescent="0.75">
      <c r="A17" s="22"/>
      <c r="B17" s="9" t="str">
        <f>'A.5 Results'!B10</f>
        <v>narrative.notes</v>
      </c>
      <c r="C17" s="9" t="str">
        <f>'A.5 Results'!C10</f>
        <v>A.5.1.2 Comments, interpretation and recommendations</v>
      </c>
      <c r="D17" s="14"/>
      <c r="E17" s="9"/>
      <c r="F17" s="68" t="s">
        <v>400</v>
      </c>
      <c r="G17" s="68"/>
      <c r="H17" s="69"/>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2"/>
      <c r="B18" s="9" t="str">
        <f>'A.5 Results'!B11</f>
        <v>observation</v>
      </c>
      <c r="C18" s="9" t="str">
        <f>'A.5 Results'!C11</f>
        <v>A.5.2 Observation details</v>
      </c>
      <c r="D18" s="14"/>
      <c r="E18" s="9"/>
      <c r="F18" s="68" t="s">
        <v>398</v>
      </c>
      <c r="G18" s="68"/>
      <c r="H18" s="69"/>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2"/>
      <c r="B19" s="9" t="str">
        <f>'A.5 Results'!B12</f>
        <v>observation.dateTime</v>
      </c>
      <c r="C19" s="9" t="str">
        <f>'A.5 Results'!C12</f>
        <v>A.5.2.1 Observation date</v>
      </c>
      <c r="D19" s="14" t="s">
        <v>479</v>
      </c>
      <c r="E19" s="9"/>
      <c r="F19" s="68" t="s">
        <v>398</v>
      </c>
      <c r="G19" s="68"/>
      <c r="H19" s="69"/>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2"/>
      <c r="B20" s="9" t="str">
        <f>'A.5 Results'!B13</f>
        <v>observation.code</v>
      </c>
      <c r="C20" s="9" t="str">
        <f>'A.5 Results'!C13</f>
        <v>A.5.2.3 Observation code</v>
      </c>
      <c r="D20" s="14" t="s">
        <v>395</v>
      </c>
      <c r="E20" s="9"/>
      <c r="F20" s="68" t="s">
        <v>399</v>
      </c>
      <c r="G20" s="68" t="s">
        <v>488</v>
      </c>
      <c r="H20" s="69"/>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2"/>
      <c r="B21" s="9" t="str">
        <f>'A.5 Results'!B13</f>
        <v>observation.code</v>
      </c>
      <c r="C21" s="9" t="str">
        <f>'A.5 Results'!C13</f>
        <v>A.5.2.3 Observation code</v>
      </c>
      <c r="D21" s="14" t="s">
        <v>521</v>
      </c>
      <c r="E21" s="9"/>
      <c r="F21" s="68" t="s">
        <v>399</v>
      </c>
      <c r="G21" s="68" t="s">
        <v>488</v>
      </c>
      <c r="H21" s="69"/>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2"/>
      <c r="B22" s="9" t="str">
        <f>'A.5 Results'!B13</f>
        <v>observation.code</v>
      </c>
      <c r="C22" s="9" t="str">
        <f>'A.5 Results'!C13</f>
        <v>A.5.2.3 Observation code</v>
      </c>
      <c r="D22" s="14" t="s">
        <v>520</v>
      </c>
      <c r="E22" s="9"/>
      <c r="F22" s="68" t="s">
        <v>399</v>
      </c>
      <c r="G22" s="68" t="s">
        <v>488</v>
      </c>
      <c r="H22" s="69"/>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2"/>
      <c r="B23" s="9" t="str">
        <f>'A.5 Results'!B14</f>
        <v>observation.code.name</v>
      </c>
      <c r="C23" s="9" t="str">
        <f>'A.5 Results'!C14</f>
        <v>A.5.2.3.1 Observation name</v>
      </c>
      <c r="D23" s="14" t="s">
        <v>485</v>
      </c>
      <c r="E23" s="9"/>
      <c r="F23" s="68" t="s">
        <v>398</v>
      </c>
      <c r="G23" s="75" t="s">
        <v>523</v>
      </c>
      <c r="H23" s="69"/>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2"/>
      <c r="B24" s="9" t="str">
        <f>'A.5 Results'!B15</f>
        <v>observation.code.originalName</v>
      </c>
      <c r="C24" s="9" t="str">
        <f>'A.5 Results'!C15</f>
        <v>A.5.2.3.2 Observation original name</v>
      </c>
      <c r="D24" s="14" t="s">
        <v>484</v>
      </c>
      <c r="E24" s="9"/>
      <c r="F24" s="68" t="s">
        <v>398</v>
      </c>
      <c r="G24" s="75" t="s">
        <v>523</v>
      </c>
      <c r="H24" s="69"/>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2"/>
      <c r="B25" s="9" t="str">
        <f>'A.5 Results'!B16</f>
        <v>observation.code.displayName</v>
      </c>
      <c r="C25" s="9" t="str">
        <f>'A.5 Results'!C16</f>
        <v>A.5.2.3.3 Observation display name</v>
      </c>
      <c r="D25" s="14" t="s">
        <v>485</v>
      </c>
      <c r="E25" s="9"/>
      <c r="F25" s="68" t="s">
        <v>398</v>
      </c>
      <c r="G25" s="75" t="s">
        <v>524</v>
      </c>
      <c r="H25" s="69"/>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2"/>
      <c r="B26" s="9" t="str">
        <f>'A.5 Results'!B16</f>
        <v>observation.code.displayName</v>
      </c>
      <c r="C26" s="9" t="str">
        <f>'A.5 Results'!C16</f>
        <v>A.5.2.3.3 Observation display name</v>
      </c>
      <c r="D26" s="14" t="s">
        <v>522</v>
      </c>
      <c r="E26" s="9"/>
      <c r="F26" s="68" t="s">
        <v>398</v>
      </c>
      <c r="G26" s="75" t="s">
        <v>525</v>
      </c>
      <c r="H26" s="69"/>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2"/>
      <c r="B27" s="9" t="str">
        <f>'A.5 Results'!B17</f>
        <v>observation.method</v>
      </c>
      <c r="C27" s="9" t="str">
        <f>'A.5 Results'!C17</f>
        <v>A.5.2.4 Observation method</v>
      </c>
      <c r="D27" s="14" t="s">
        <v>480</v>
      </c>
      <c r="E27" s="14"/>
      <c r="F27" s="68" t="s">
        <v>398</v>
      </c>
      <c r="G27" s="68"/>
      <c r="H27" s="69"/>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2"/>
      <c r="B28" s="9" t="str">
        <f>'A.5 Results'!B18</f>
        <v>observation.device</v>
      </c>
      <c r="C28" s="9" t="str">
        <f>'A.5 Results'!C18</f>
        <v>A.5.2.5 Observation device</v>
      </c>
      <c r="D28" s="14" t="s">
        <v>481</v>
      </c>
      <c r="E28" s="14"/>
      <c r="F28" s="68" t="s">
        <v>399</v>
      </c>
      <c r="G28" s="75" t="s">
        <v>563</v>
      </c>
      <c r="H28" s="69"/>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560</v>
      </c>
      <c r="E29" s="14"/>
      <c r="F29" s="68" t="s">
        <v>399</v>
      </c>
      <c r="G29" s="75" t="s">
        <v>564</v>
      </c>
      <c r="H29" s="69"/>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481</v>
      </c>
      <c r="E30" s="14"/>
      <c r="F30" s="68" t="s">
        <v>399</v>
      </c>
      <c r="G30" s="88" t="s">
        <v>561</v>
      </c>
      <c r="H30" s="69"/>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562</v>
      </c>
      <c r="E31" s="14"/>
      <c r="F31" s="68" t="s">
        <v>399</v>
      </c>
      <c r="G31" s="88" t="s">
        <v>565</v>
      </c>
      <c r="H31" s="69"/>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observation.vaccination</v>
      </c>
      <c r="C32" s="9" t="str">
        <f>'A.5 Results'!C19</f>
        <v>A.5.2.8 Vaccination</v>
      </c>
      <c r="D32" s="14" t="s">
        <v>491</v>
      </c>
      <c r="E32" s="14"/>
      <c r="F32" s="68" t="s">
        <v>398</v>
      </c>
      <c r="G32" s="76"/>
      <c r="H32" s="69"/>
      <c r="I32" s="14" t="str">
        <f t="shared" si="12"/>
        <v>* group[=].element[+].code = #Result.observation.vaccination</v>
      </c>
      <c r="J32" s="14" t="str">
        <f t="shared" si="13"/>
        <v>* group[=].element[=].display = ##34#A.5.2.8 Vaccination##34#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482</v>
      </c>
      <c r="E33" s="14"/>
      <c r="F33" s="68" t="s">
        <v>398</v>
      </c>
      <c r="G33" s="68"/>
      <c r="H33" s="69"/>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482</v>
      </c>
      <c r="E34" s="14"/>
      <c r="F34" s="68" t="s">
        <v>399</v>
      </c>
      <c r="G34" s="75" t="s">
        <v>526</v>
      </c>
      <c r="H34" s="69"/>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486</v>
      </c>
      <c r="E35" s="14"/>
      <c r="F35" s="68" t="s">
        <v>398</v>
      </c>
      <c r="G35" s="68" t="s">
        <v>488</v>
      </c>
      <c r="H35" s="69"/>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487</v>
      </c>
      <c r="E36" s="14"/>
      <c r="F36" s="68" t="s">
        <v>398</v>
      </c>
      <c r="G36" s="68" t="s">
        <v>488</v>
      </c>
      <c r="H36" s="69"/>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483</v>
      </c>
      <c r="E37" s="14"/>
      <c r="F37" s="68" t="s">
        <v>398</v>
      </c>
      <c r="G37" s="76" t="s">
        <v>488</v>
      </c>
      <c r="H37" s="69"/>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489</v>
      </c>
      <c r="E38" s="14"/>
      <c r="F38" s="68" t="s">
        <v>398</v>
      </c>
      <c r="G38" s="76" t="s">
        <v>488</v>
      </c>
      <c r="H38" s="69"/>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472</v>
      </c>
      <c r="E39" s="14"/>
      <c r="F39" s="68" t="s">
        <v>399</v>
      </c>
      <c r="G39" s="81" t="s">
        <v>462</v>
      </c>
      <c r="H39" s="69"/>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492</v>
      </c>
      <c r="E40" s="14"/>
      <c r="F40" s="68" t="s">
        <v>399</v>
      </c>
      <c r="G40" s="76" t="s">
        <v>586</v>
      </c>
      <c r="H40" s="69"/>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493</v>
      </c>
      <c r="E41" s="14"/>
      <c r="F41" s="68" t="s">
        <v>399</v>
      </c>
      <c r="G41" s="76" t="s">
        <v>527</v>
      </c>
      <c r="H41" s="69"/>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68"/>
      <c r="G42" s="68"/>
      <c r="H42" s="69"/>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68"/>
      <c r="G43" s="68"/>
      <c r="H43" s="69"/>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68"/>
      <c r="G44" s="68"/>
      <c r="H44" s="69"/>
      <c r="K44" s="69"/>
      <c r="L44" s="69"/>
      <c r="M44" s="67"/>
      <c r="N44" s="67"/>
      <c r="P44" s="9">
        <v>30</v>
      </c>
      <c r="Q44" s="9">
        <f t="shared" si="10"/>
        <v>4</v>
      </c>
      <c r="R44" s="9">
        <f t="shared" si="18"/>
        <v>6</v>
      </c>
      <c r="S44" s="14" t="str" cm="1">
        <f t="array" ref="S44">INDEX('Results-ConceptMap-3'!$I$15:$N$127,Q44+1,R44)</f>
        <v/>
      </c>
    </row>
    <row r="45" spans="1:19" x14ac:dyDescent="0.75">
      <c r="B45" s="9"/>
      <c r="C45" s="9"/>
      <c r="D45" s="14"/>
      <c r="E45" s="14"/>
      <c r="F45" s="68"/>
      <c r="G45" s="68"/>
      <c r="H45" s="69"/>
      <c r="K45" s="69"/>
      <c r="L45" s="69"/>
      <c r="M45" s="67"/>
      <c r="N45" s="67"/>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68"/>
      <c r="G46" s="69"/>
      <c r="H46" s="69"/>
      <c r="J46"/>
      <c r="K46" s="69"/>
      <c r="L46" s="69"/>
      <c r="M46" s="67"/>
      <c r="N46" s="67"/>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54"/>
      <c r="F47" s="69"/>
      <c r="G47" s="69"/>
      <c r="H47" s="69"/>
      <c r="J47"/>
      <c r="K47" s="69"/>
      <c r="L47" s="69"/>
      <c r="M47" s="67"/>
      <c r="N47" s="67"/>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#Result.observation.vaccination</v>
      </c>
    </row>
    <row r="118" spans="16:19" x14ac:dyDescent="0.75">
      <c r="P118" s="9">
        <v>104</v>
      </c>
      <c r="Q118" s="9">
        <f t="shared" si="10"/>
        <v>17</v>
      </c>
      <c r="R118" s="9">
        <f t="shared" si="19"/>
        <v>2</v>
      </c>
      <c r="S118" s="14" t="str" cm="1">
        <f t="array" ref="S118">INDEX('Results-ConceptMap-3'!$I$15:$N$127,Q118+1,R118)</f>
        <v>* group[=].element[=].display = ##34#A.5.2.8 Vaccination##34#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display="http://hl7.eu/fhir/laboratory/StructureDefinition/Observation-resultslab-eu-lab" xr:uid="{9EEA9774-80B8-4A0C-B1C0-8B36FCED142F}"/>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401</v>
      </c>
      <c r="G2" s="50" t="s">
        <v>490</v>
      </c>
    </row>
    <row r="3" spans="2:7" x14ac:dyDescent="0.75">
      <c r="B3" s="32" t="s">
        <v>37</v>
      </c>
    </row>
    <row r="4" spans="2:7" x14ac:dyDescent="0.75">
      <c r="B4" s="70" t="str">
        <f>"Instance: "&amp;'Results-ConceptMap-1'!C4</f>
        <v>Instance: result2FHIR-eu-ps</v>
      </c>
    </row>
    <row r="5" spans="2:7" x14ac:dyDescent="0.75">
      <c r="B5" s="70" t="s">
        <v>402</v>
      </c>
    </row>
    <row r="6" spans="2:7" x14ac:dyDescent="0.75">
      <c r="B6" s="70" t="s">
        <v>403</v>
      </c>
    </row>
    <row r="7" spans="2:7" x14ac:dyDescent="0.75">
      <c r="B7" s="70" t="s">
        <v>409</v>
      </c>
    </row>
    <row r="8" spans="2:7" x14ac:dyDescent="0.75">
      <c r="B8" s="70" t="str">
        <f>"* name = ##34#"&amp;'Results-ConceptMap-1'!C3&amp;"##34#"</f>
        <v>* name = ##34#PatientSummaryResult2FHIR##34#</v>
      </c>
    </row>
    <row r="9" spans="2:7" x14ac:dyDescent="0.75">
      <c r="B9" s="70" t="str">
        <f>"* title = ##34#"&amp;'Results-ConceptMap-1'!C5&amp;"##34#"</f>
        <v>* title = ##34#eHN Result to this guide Map##34#</v>
      </c>
    </row>
    <row r="10" spans="2:7" x14ac:dyDescent="0.75">
      <c r="B10" s="70" t="s">
        <v>404</v>
      </c>
    </row>
    <row r="11" spans="2:7" x14ac:dyDescent="0.75">
      <c r="B11" s="70" t="s">
        <v>405</v>
      </c>
    </row>
    <row r="12" spans="2:7" x14ac:dyDescent="0.75">
      <c r="B12" s="70" t="str">
        <f>"* description = ##34#"&amp;'Results-ConceptMap-1'!C8&amp;"##34#"</f>
        <v>* description = ##34#eHN Result Model to this guide Map##34#</v>
      </c>
    </row>
    <row r="13" spans="2:7" x14ac:dyDescent="0.75">
      <c r="B13" s="70" t="str">
        <f>"* purpose = ##34#"&amp;'Results-ConceptMap-1'!C9&amp;"##34#"</f>
        <v>* purpose = ##34#It shows how the Result data set defined by the EU eHN guidelines is mapped into this guide##34#</v>
      </c>
    </row>
    <row r="14" spans="2:7" x14ac:dyDescent="0.75">
      <c r="B14" s="71" t="str">
        <f>"* sourceUri = ##34#"&amp;'Results-ConceptMap-1'!E3&amp;"##34#"</f>
        <v>* sourceUri = ##34#http://hl7.eu/fhir/ig/xpandh/ps/StructureDefinition/Result##34#</v>
      </c>
    </row>
    <row r="15" spans="2:7" x14ac:dyDescent="0.75">
      <c r="B15" s="71" t="str">
        <f>"* targetUri = ##34#"&amp;'Results-ConceptMap-1'!E4&amp;"##34#"</f>
        <v>* targetUri = ##34#http://hl7.eu/fhir/ig/xpandh/ps/StructureDefinition/Bundle-eu-ps##34#</v>
      </c>
    </row>
    <row r="16" spans="2:7" x14ac:dyDescent="0.75">
      <c r="B16" s="70"/>
    </row>
    <row r="17" spans="2:2" x14ac:dyDescent="0.75">
      <c r="B17" s="70"/>
    </row>
    <row r="18" spans="2:2" x14ac:dyDescent="0.75">
      <c r="B18" s="72" t="str">
        <f>"* group[+].source = ##34#"&amp;'Results-ConceptMap-3'!E6&amp;"##34#"</f>
        <v>* group[+].source = ##34#http://hl7.eu/fhir/ig/xpandh/ps/StructureDefinition/Result##34#</v>
      </c>
    </row>
    <row r="19" spans="2:2" x14ac:dyDescent="0.75">
      <c r="B19" s="72" t="str">
        <f>"* group[=].target = ##34#"&amp;'Results-ConceptMap-3'!E7&amp;"##34#"</f>
        <v>* group[=].target = ##34#http://hl7.eu/fhir/ig/xpandh/ps/StructureDefinition/Observation-resultsps-eu-ps##34#</v>
      </c>
    </row>
    <row r="20" spans="2:2" x14ac:dyDescent="0.75">
      <c r="B20" s="74"/>
    </row>
    <row r="21" spans="2:2" x14ac:dyDescent="0.75">
      <c r="B21" s="14" t="str">
        <f>IF('Results-ConceptMap-3'!S15=0,"//---END",'Results-ConceptMap-3'!S15)</f>
        <v>* group[=].element[+].code = #Result.narrative</v>
      </c>
    </row>
    <row r="22" spans="2:2" x14ac:dyDescent="0.75">
      <c r="B22" s="14" t="str">
        <f>IF('Results-ConceptMap-3'!S16=0,"//---END",'Results-ConceptMap-3'!S16)</f>
        <v>* group[=].element[=].display = ##34#A.5.1 Patient Summary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#Result.observation.vaccination</v>
      </c>
    </row>
    <row r="124" spans="2:2" x14ac:dyDescent="0.75">
      <c r="B124" s="14" t="str">
        <f>IF('Results-ConceptMap-3'!S118=0,"//---END",'Results-ConceptMap-3'!S118)</f>
        <v>* group[=].element[=].display = ##34#A.5.2.8 Vaccination##34#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2" t="str">
        <f>"* group[+].source = ##34#"&amp;'Results-ConceptMap-1'!E6&amp;"##34#"</f>
        <v>* group[+].source = ##34#http://hl7.eu/fhir/ig/xpandh/ps/StructureDefinition/Result##34#</v>
      </c>
    </row>
    <row r="188" spans="2:2" x14ac:dyDescent="0.75">
      <c r="B188" s="72" t="str">
        <f>"* group[=].target = ##34#"&amp;'Results-ConceptMap-1'!E7&amp;"##34#"</f>
        <v>* group[=].target = ##34#http://hl7.eu/fhir/ig/xpandh/ps/StructureDefinition/DiagnosticReport-eu-ps##34#</v>
      </c>
    </row>
    <row r="189" spans="2:2" x14ac:dyDescent="0.75">
      <c r="B189" s="74"/>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Patient Summary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#Result.observation.vaccination</v>
      </c>
    </row>
    <row r="257" spans="2:2" x14ac:dyDescent="0.75">
      <c r="B257" s="14" t="str">
        <f>IF('Results-ConceptMap-1'!S82=0,"//---END",'Results-ConceptMap-1'!S82)</f>
        <v>* group[=].element[=].display = ##34#A.5.2.8 Vaccination##34#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0"/>
    </row>
    <row r="305" spans="2:2" x14ac:dyDescent="0.75">
      <c r="B305" s="72" t="str">
        <f>"* group[+].source = ##34#"&amp;'Results-ConceptMap-2'!E6&amp;"##34#"</f>
        <v>* group[+].source = ##34#http://hl7.eu/fhir/ig/xpandh/ps/StructureDefinition/Result##34#</v>
      </c>
    </row>
    <row r="306" spans="2:2" x14ac:dyDescent="0.75">
      <c r="B306" s="72" t="str">
        <f>"* group[=].target = ##34#"&amp;'Results-ConceptMap-2'!E7&amp;"##34#"</f>
        <v>* group[=].target = ##34#http://hl7.eu/fhir/ig/xpandh/ps/StructureDefinition/Composition-eu-ps##34#</v>
      </c>
    </row>
    <row r="307" spans="2:2" x14ac:dyDescent="0.75">
      <c r="B307" s="74"/>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Patient Summary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#Composition.section:ps-no-subsections.text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#Composition.section:ps-subsections.section.text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#Composition.section:ps-no-subsections.text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#Composition.section:ps-subsections.section.text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#Composition.section:ps-no-subsections.entry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#Composition.section:ps-subsections.section.entry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#Composition.section:ps-no-subsections.entry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#Composition.section:ps-no-subsections.entry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#Composition.section:ps-no-subsections.entry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#Composition.section:ps-no-subsections.entry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#Composition.section:ps-no-subsections.entry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#Composition.section:ps-no-subsections.entry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#Composition.section:ps-no-subsections.entry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#Result.observation.vaccination</v>
      </c>
    </row>
    <row r="399" spans="2:2" x14ac:dyDescent="0.75">
      <c r="B399" s="14" t="str">
        <f>IF('Results-ConceptMap-2'!S106=0,"//---END",'Results-ConceptMap-2'!S106)</f>
        <v>* group[=].element[=].display = ##34#A.5.2.8 Vaccination##34#</v>
      </c>
    </row>
    <row r="400" spans="2:2" x14ac:dyDescent="0.75">
      <c r="B400" s="14" t="str">
        <f>IF('Results-ConceptMap-2'!S107=0,"//---END",'Results-ConceptMap-2'!S107)</f>
        <v>* group[=].element[=].target.code = #Composition.section:ps-no-subsections.entry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#Composition.section:ps-no-subsections.entry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#Composition.section:ps-no-subsections.entry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#Composition.section:ps-no-subsections.entry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#Composition.section:ps-no-subsections.entry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#Composition.section:ps-no-subsections.entry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#Composition.section:ps-no-subsections.entry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56</vt:i4>
      </vt:variant>
      <vt:variant>
        <vt:lpstr>Intervalli denominati</vt:lpstr>
      </vt:variant>
      <vt:variant>
        <vt:i4>1</vt:i4>
      </vt:variant>
    </vt:vector>
  </HeadingPairs>
  <TitlesOfParts>
    <vt:vector size="57" baseType="lpstr">
      <vt:lpstr>Header</vt:lpstr>
      <vt:lpstr>Body</vt:lpstr>
      <vt:lpstr>PS</vt:lpstr>
      <vt:lpstr>PS-fsh</vt:lpstr>
      <vt:lpstr>PS-ConceptMap-1</vt:lpstr>
      <vt:lpstr>PS-ConceptMap-2</vt:lpstr>
      <vt:lpstr>PS-CM-fsh</vt:lpstr>
      <vt:lpstr>A.2.2.1 Vaccination</vt:lpstr>
      <vt:lpstr>Vaccination-fsh</vt:lpstr>
      <vt:lpstr>Vaccination-ConceptMap-1</vt:lpstr>
      <vt:lpstr>Vaccination-CM-fsh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2024-01-29T15:04:03Z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