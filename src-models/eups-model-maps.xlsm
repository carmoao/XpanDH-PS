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83C53F37-95F1-4B96-82B4-16A2ACDD2F1E}" xr6:coauthVersionLast="47" xr6:coauthVersionMax="47" xr10:uidLastSave="{00000000-0000-0000-0000-000000000000}"/>
  <bookViews>
    <workbookView xWindow="-90" yWindow="-21710" windowWidth="38620" windowHeight="21100" activeTab="10"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A.2.4.1  Medicine" sheetId="118" r:id="rId8"/>
    <sheet name="Medicine-fsh" sheetId="120" r:id="rId9"/>
    <sheet name="Medicine-ConceptMap-1" sheetId="157" r:id="rId10"/>
    <sheet name="Medicine-CM-fsh" sheetId="158" r:id="rId11"/>
    <sheet name="A.2.2.1 Vaccination" sheetId="128" r:id="rId12"/>
    <sheet name="Vaccination-fsh" sheetId="130" r:id="rId13"/>
    <sheet name="Vaccination-ConceptMap-1" sheetId="159" r:id="rId14"/>
    <sheet name="Vaccination-CM-fsh" sheetId="161" r:id="rId15"/>
    <sheet name="Subj" sheetId="12" r:id="rId16"/>
    <sheet name="Subj-fsh" sheetId="73" r:id="rId17"/>
    <sheet name="Subj-ConceptMap-1" sheetId="141" r:id="rId18"/>
    <sheet name="Subj-CM-fsh" sheetId="143" r:id="rId19"/>
    <sheet name="A1.3 Payer" sheetId="111" r:id="rId20"/>
    <sheet name="Payer-Map-1" sheetId="112" r:id="rId21"/>
    <sheet name="Payer-fsh" sheetId="113" r:id="rId22"/>
    <sheet name="Payer-ConceptMap-1" sheetId="144" r:id="rId23"/>
    <sheet name="Payer-ConceptMap-2" sheetId="173" r:id="rId24"/>
    <sheet name="Payer-ConceptMap-3" sheetId="172" r:id="rId25"/>
    <sheet name="Payer-CM-fsh" sheetId="145" r:id="rId26"/>
    <sheet name="A.2.1.1 Allergy" sheetId="115" r:id="rId27"/>
    <sheet name="Allergy-fsh" sheetId="117" r:id="rId28"/>
    <sheet name="Allergy-ConceptMap-1" sheetId="146" r:id="rId29"/>
    <sheet name="Allergy-CM-fsh" sheetId="147" r:id="rId30"/>
    <sheet name="A1.5 Author" sheetId="124" r:id="rId31"/>
    <sheet name="Author-Map-1" sheetId="125" r:id="rId32"/>
    <sheet name="Author-fsh" sheetId="126" r:id="rId33"/>
    <sheet name="Author-ConceptMap-1" sheetId="153" r:id="rId34"/>
    <sheet name="Author-ConceptMap-2" sheetId="148" r:id="rId35"/>
    <sheet name="Author-ConceptMap-2-delete" sheetId="151" r:id="rId36"/>
    <sheet name="Author-CM-fsh" sheetId="156" r:id="rId37"/>
    <sheet name="A1.6 LegalAuth" sheetId="121" r:id="rId38"/>
    <sheet name="LegalAuth-Map-1" sheetId="122" r:id="rId39"/>
    <sheet name="LegalAuth-fsh" sheetId="123" r:id="rId40"/>
    <sheet name="LegalAuth-ConceptMap-1" sheetId="154" r:id="rId41"/>
    <sheet name="LegalAuth-CM-fsh" sheetId="155" r:id="rId42"/>
    <sheet name="A.4 Specimen" sheetId="131" r:id="rId43"/>
    <sheet name="Specimen-Map-1" sheetId="132" r:id="rId44"/>
    <sheet name="Specimen-fsh" sheetId="133" r:id="rId45"/>
    <sheet name="Specimen-ConceptMap-1" sheetId="162" r:id="rId46"/>
    <sheet name="Specimen-ConceptMap-2" sheetId="174" r:id="rId47"/>
    <sheet name="Specimen-CM-fsh" sheetId="165" r:id="rId48"/>
    <sheet name="A.5 Results" sheetId="134" r:id="rId49"/>
    <sheet name="Results-Map-1" sheetId="135" r:id="rId50"/>
    <sheet name="Results-fsh" sheetId="136" r:id="rId51"/>
    <sheet name="Results-ConceptMap-1" sheetId="168" r:id="rId52"/>
    <sheet name="Results-ConceptMap-2" sheetId="169" r:id="rId53"/>
    <sheet name="Results-ConceptMap-3" sheetId="170" r:id="rId54"/>
    <sheet name="Results-CM-fsh" sheetId="171" r:id="rId55"/>
  </sheets>
  <externalReferences>
    <externalReference r:id="rId56"/>
  </externalReferences>
  <definedNames>
    <definedName name="AllergyIntolerance.verificationStatus" localSheetId="28">'Allergy-ConceptMap-1'!$D$24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1" i="158" l="1"/>
  <c r="B72" i="158"/>
  <c r="B73" i="158"/>
  <c r="B74" i="158"/>
  <c r="B75" i="158"/>
  <c r="B76" i="158"/>
  <c r="B77" i="158"/>
  <c r="B78" i="158"/>
  <c r="B79" i="158"/>
  <c r="B80" i="158"/>
  <c r="B81" i="158"/>
  <c r="B82" i="158"/>
  <c r="B83" i="158"/>
  <c r="B56" i="158"/>
  <c r="B57" i="158"/>
  <c r="B58" i="158"/>
  <c r="B59" i="158"/>
  <c r="B60" i="158"/>
  <c r="B61" i="158"/>
  <c r="B62" i="158"/>
  <c r="B63" i="158"/>
  <c r="B64" i="158"/>
  <c r="B65" i="158"/>
  <c r="B66" i="158"/>
  <c r="B67" i="158"/>
  <c r="B68" i="158"/>
  <c r="B69" i="158"/>
  <c r="B70" i="158"/>
  <c r="B21" i="158"/>
  <c r="B22" i="158"/>
  <c r="B23" i="158"/>
  <c r="B24" i="158"/>
  <c r="B25" i="158"/>
  <c r="B26" i="158"/>
  <c r="B27" i="158"/>
  <c r="B28" i="158"/>
  <c r="B29" i="158"/>
  <c r="B30" i="158"/>
  <c r="B31" i="158"/>
  <c r="B32" i="158"/>
  <c r="B33" i="158"/>
  <c r="B34" i="158"/>
  <c r="B35" i="158"/>
  <c r="B36" i="158"/>
  <c r="B37" i="158"/>
  <c r="B38" i="158"/>
  <c r="B39" i="158"/>
  <c r="B40" i="158"/>
  <c r="B41" i="158"/>
  <c r="B42" i="158"/>
  <c r="B43" i="158"/>
  <c r="B44" i="158"/>
  <c r="B45" i="158"/>
  <c r="B46" i="158"/>
  <c r="B47" i="158"/>
  <c r="B48" i="158"/>
  <c r="B49" i="158"/>
  <c r="B50" i="158"/>
  <c r="B51" i="158"/>
  <c r="B52" i="158"/>
  <c r="B53" i="158"/>
  <c r="B54" i="158"/>
  <c r="B55" i="158"/>
  <c r="Q64" i="157"/>
  <c r="S64" i="157" s="1" a="1"/>
  <c r="S64" i="157" s="1"/>
  <c r="R64" i="157"/>
  <c r="Q65" i="157"/>
  <c r="S65" i="157" s="1" a="1"/>
  <c r="S65" i="157" s="1"/>
  <c r="R65" i="157"/>
  <c r="Q66" i="157"/>
  <c r="S66" i="157" s="1" a="1"/>
  <c r="S66" i="157" s="1"/>
  <c r="R66" i="157"/>
  <c r="Q67" i="157"/>
  <c r="S67" i="157" s="1" a="1"/>
  <c r="S67" i="157" s="1"/>
  <c r="R67" i="157"/>
  <c r="Q68" i="157"/>
  <c r="S68" i="157" s="1" a="1"/>
  <c r="S68" i="157" s="1"/>
  <c r="R68" i="157"/>
  <c r="Q69" i="157"/>
  <c r="S69" i="157" s="1" a="1"/>
  <c r="S69" i="157" s="1"/>
  <c r="R69" i="157"/>
  <c r="Q70" i="157"/>
  <c r="S70" i="157" s="1" a="1"/>
  <c r="S70" i="157" s="1"/>
  <c r="R70" i="157"/>
  <c r="Q71" i="157"/>
  <c r="S71" i="157" s="1" a="1"/>
  <c r="S71" i="157" s="1"/>
  <c r="R71" i="157"/>
  <c r="Q72" i="157"/>
  <c r="S72" i="157" s="1" a="1"/>
  <c r="S72" i="157" s="1"/>
  <c r="R72" i="157"/>
  <c r="Q73" i="157"/>
  <c r="S73" i="157" s="1" a="1"/>
  <c r="S73" i="157" s="1"/>
  <c r="R73" i="157"/>
  <c r="Q74" i="157"/>
  <c r="S74" i="157" s="1" a="1"/>
  <c r="S74" i="157" s="1"/>
  <c r="R74" i="157"/>
  <c r="Q75" i="157"/>
  <c r="S75" i="157" s="1" a="1"/>
  <c r="S75" i="157" s="1"/>
  <c r="R75" i="157"/>
  <c r="Q76" i="157"/>
  <c r="S76" i="157" s="1" a="1"/>
  <c r="S76" i="157" s="1"/>
  <c r="R76" i="157"/>
  <c r="Q77" i="157"/>
  <c r="S77" i="157" s="1" a="1"/>
  <c r="S77" i="157" s="1"/>
  <c r="R77" i="157"/>
  <c r="Q78" i="157"/>
  <c r="S78" i="157" s="1" a="1"/>
  <c r="S78" i="157"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R48" i="157"/>
  <c r="Q49" i="157"/>
  <c r="R49" i="157"/>
  <c r="S49" i="157" a="1"/>
  <c r="S49" i="157"/>
  <c r="Q50" i="157"/>
  <c r="S50" i="157" s="1" a="1"/>
  <c r="S50" i="157" s="1"/>
  <c r="R50" i="157"/>
  <c r="Q51" i="157"/>
  <c r="R51" i="157"/>
  <c r="S51" i="157" a="1"/>
  <c r="S51" i="157"/>
  <c r="Q52" i="157"/>
  <c r="S52" i="157" s="1" a="1"/>
  <c r="S52" i="157" s="1"/>
  <c r="R52" i="157"/>
  <c r="Q53" i="157"/>
  <c r="R53" i="157"/>
  <c r="S53" i="157" a="1"/>
  <c r="S53" i="157"/>
  <c r="Q54" i="157"/>
  <c r="S54" i="157" s="1" a="1"/>
  <c r="S54" i="157" s="1"/>
  <c r="R54" i="157"/>
  <c r="Q55" i="157"/>
  <c r="R55" i="157"/>
  <c r="S55" i="157" a="1"/>
  <c r="S55" i="157"/>
  <c r="Q56" i="157"/>
  <c r="S56" i="157" s="1" a="1"/>
  <c r="S56" i="157" s="1"/>
  <c r="R56" i="157"/>
  <c r="Q57" i="157"/>
  <c r="R57" i="157"/>
  <c r="S57" i="157" a="1"/>
  <c r="S57" i="157"/>
  <c r="Q58" i="157"/>
  <c r="S58" i="157" s="1" a="1"/>
  <c r="S58" i="157" s="1"/>
  <c r="R58" i="157"/>
  <c r="Q59" i="157"/>
  <c r="R59" i="157"/>
  <c r="S59" i="157" a="1"/>
  <c r="S59" i="157"/>
  <c r="Q60" i="157"/>
  <c r="S60" i="157" s="1" a="1"/>
  <c r="S60" i="157" s="1"/>
  <c r="R60" i="157"/>
  <c r="Q61" i="157"/>
  <c r="R61" i="157"/>
  <c r="S61" i="157" a="1"/>
  <c r="S61" i="157"/>
  <c r="Q62" i="157"/>
  <c r="S62" i="157" s="1" a="1"/>
  <c r="S62" i="157" s="1"/>
  <c r="R62" i="157"/>
  <c r="Q63" i="157"/>
  <c r="R63" i="157"/>
  <c r="S63" i="157" a="1"/>
  <c r="S63" i="157"/>
  <c r="Q18" i="157"/>
  <c r="S18" i="157" s="1" a="1"/>
  <c r="S18" i="157" s="1"/>
  <c r="R18" i="157"/>
  <c r="Q19" i="157"/>
  <c r="R19" i="157"/>
  <c r="S19" i="157" a="1"/>
  <c r="S19" i="157"/>
  <c r="Q20" i="157"/>
  <c r="S20" i="157" s="1" a="1"/>
  <c r="S20" i="157" s="1"/>
  <c r="R20" i="157"/>
  <c r="Q21" i="157"/>
  <c r="R21" i="157"/>
  <c r="S21" i="157" a="1"/>
  <c r="S21" i="157"/>
  <c r="Q22" i="157"/>
  <c r="S22" i="157" s="1" a="1"/>
  <c r="S22" i="157" s="1"/>
  <c r="R22" i="157"/>
  <c r="Q23" i="157"/>
  <c r="R23" i="157"/>
  <c r="S23" i="157" a="1"/>
  <c r="S23" i="157"/>
  <c r="Q24" i="157"/>
  <c r="S24" i="157" s="1" a="1"/>
  <c r="S24" i="157" s="1"/>
  <c r="R24" i="157"/>
  <c r="Q25" i="157"/>
  <c r="R25" i="157"/>
  <c r="S25" i="157" a="1"/>
  <c r="S25" i="157"/>
  <c r="Q26" i="157"/>
  <c r="S26" i="157" s="1" a="1"/>
  <c r="S26" i="157" s="1"/>
  <c r="R26" i="157"/>
  <c r="Q27" i="157"/>
  <c r="R27" i="157"/>
  <c r="S27" i="157" a="1"/>
  <c r="S27" i="157"/>
  <c r="Q28" i="157"/>
  <c r="S28" i="157" s="1" a="1"/>
  <c r="S28" i="157" s="1"/>
  <c r="R28" i="157"/>
  <c r="Q29" i="157"/>
  <c r="R29" i="157"/>
  <c r="S29" i="157" a="1"/>
  <c r="S29" i="157"/>
  <c r="Q30" i="157"/>
  <c r="S30" i="157" s="1" a="1"/>
  <c r="S30" i="157" s="1"/>
  <c r="R30" i="157"/>
  <c r="Q31" i="157"/>
  <c r="R31" i="157"/>
  <c r="S31" i="157" a="1"/>
  <c r="S31" i="157"/>
  <c r="Q32" i="157"/>
  <c r="S32" i="157" s="1" a="1"/>
  <c r="S32" i="157" s="1"/>
  <c r="R32" i="157"/>
  <c r="Q33" i="157"/>
  <c r="R33" i="157"/>
  <c r="S33" i="157" a="1"/>
  <c r="S33" i="157"/>
  <c r="Q34" i="157"/>
  <c r="S34" i="157" s="1" a="1"/>
  <c r="S34" i="157" s="1"/>
  <c r="R34" i="157"/>
  <c r="Q35" i="157"/>
  <c r="R35" i="157"/>
  <c r="S35" i="157" a="1"/>
  <c r="S35" i="157"/>
  <c r="Q36" i="157"/>
  <c r="S36" i="157" s="1" a="1"/>
  <c r="S36" i="157" s="1"/>
  <c r="R36" i="157"/>
  <c r="Q37" i="157"/>
  <c r="R37" i="157"/>
  <c r="S37" i="157" a="1"/>
  <c r="S37" i="157"/>
  <c r="Q38" i="157"/>
  <c r="S38" i="157" s="1" a="1"/>
  <c r="S38" i="157" s="1"/>
  <c r="R38" i="157"/>
  <c r="Q39" i="157"/>
  <c r="R39" i="157"/>
  <c r="S39" i="157" a="1"/>
  <c r="S39" i="157"/>
  <c r="Q40" i="157"/>
  <c r="S40" i="157" s="1" a="1"/>
  <c r="S40" i="157" s="1"/>
  <c r="R40" i="157"/>
  <c r="Q41" i="157"/>
  <c r="R41" i="157"/>
  <c r="S41" i="157" a="1"/>
  <c r="S41" i="157"/>
  <c r="Q42" i="157"/>
  <c r="S42" i="157" s="1" a="1"/>
  <c r="S42" i="157" s="1"/>
  <c r="R42" i="157"/>
  <c r="Q43" i="157"/>
  <c r="R43" i="157"/>
  <c r="S43" i="157" a="1"/>
  <c r="S43" i="157"/>
  <c r="Q44" i="157"/>
  <c r="S44" i="157" s="1" a="1"/>
  <c r="S44" i="157" s="1"/>
  <c r="R44" i="157"/>
  <c r="Q45" i="157"/>
  <c r="R45" i="157"/>
  <c r="S45" i="157" a="1"/>
  <c r="S45" i="157"/>
  <c r="Q46" i="157"/>
  <c r="S46" i="157" s="1" a="1"/>
  <c r="S46" i="157" s="1"/>
  <c r="R46" i="157"/>
  <c r="Q47" i="157"/>
  <c r="R47" i="157"/>
  <c r="S47" i="157" a="1"/>
  <c r="S47" i="157"/>
  <c r="Q16" i="157"/>
  <c r="S16" i="157" s="1" a="1"/>
  <c r="S16" i="157" s="1"/>
  <c r="R16" i="157"/>
  <c r="Q17" i="157"/>
  <c r="R17" i="157"/>
  <c r="S17" i="157" a="1"/>
  <c r="S1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I20" i="157"/>
  <c r="J20" i="157"/>
  <c r="K20" i="157"/>
  <c r="L20" i="157"/>
  <c r="M20" i="157"/>
  <c r="N20" i="157"/>
  <c r="I21" i="157"/>
  <c r="J21" i="157"/>
  <c r="K21" i="157"/>
  <c r="L21" i="157"/>
  <c r="M21" i="157"/>
  <c r="N21" i="157"/>
  <c r="I22" i="157"/>
  <c r="J22" i="157"/>
  <c r="K22" i="157"/>
  <c r="L22" i="157"/>
  <c r="M22" i="157"/>
  <c r="N22" i="157"/>
  <c r="I23" i="157"/>
  <c r="J23" i="157"/>
  <c r="K23" i="157"/>
  <c r="L23" i="157"/>
  <c r="M23" i="157"/>
  <c r="N23" i="157"/>
  <c r="I24" i="157"/>
  <c r="J24" i="157"/>
  <c r="K24" i="157"/>
  <c r="L24" i="157"/>
  <c r="M24" i="157"/>
  <c r="N24" i="157"/>
  <c r="B24" i="157"/>
  <c r="C24" i="157"/>
  <c r="B22" i="157"/>
  <c r="C22" i="157"/>
  <c r="B23" i="157"/>
  <c r="C23" i="157"/>
  <c r="B18" i="157"/>
  <c r="C18" i="157"/>
  <c r="B19" i="157"/>
  <c r="C19" i="157"/>
  <c r="B20" i="157"/>
  <c r="C20" i="157"/>
  <c r="B21" i="157"/>
  <c r="C21" i="157"/>
  <c r="B16" i="157"/>
  <c r="C16" i="157"/>
  <c r="B122" i="138"/>
  <c r="B186" i="138"/>
  <c r="Q224" i="137"/>
  <c r="S224" i="137" s="1" a="1"/>
  <c r="S224" i="137" s="1"/>
  <c r="B229" i="138" s="1"/>
  <c r="R224" i="137"/>
  <c r="Q225" i="137"/>
  <c r="S225" i="137" s="1" a="1"/>
  <c r="S225" i="137" s="1"/>
  <c r="B230" i="138" s="1"/>
  <c r="R225" i="137"/>
  <c r="Q226" i="137"/>
  <c r="S226" i="137" s="1" a="1"/>
  <c r="S226" i="137" s="1"/>
  <c r="B231" i="138" s="1"/>
  <c r="R226" i="137"/>
  <c r="Q227" i="137"/>
  <c r="S227" i="137" s="1" a="1"/>
  <c r="S227" i="137" s="1"/>
  <c r="B232" i="138" s="1"/>
  <c r="R227" i="137"/>
  <c r="Q228" i="137"/>
  <c r="S228" i="137" s="1" a="1"/>
  <c r="S228" i="137" s="1"/>
  <c r="B233" i="138" s="1"/>
  <c r="R228" i="137"/>
  <c r="Q229" i="137"/>
  <c r="S229" i="137" s="1" a="1"/>
  <c r="S229" i="137" s="1"/>
  <c r="B234" i="138" s="1"/>
  <c r="R229" i="137"/>
  <c r="Q230" i="137"/>
  <c r="S230" i="137" s="1" a="1"/>
  <c r="S230" i="137" s="1"/>
  <c r="B235" i="138" s="1"/>
  <c r="R230" i="137"/>
  <c r="Q231" i="137"/>
  <c r="S231" i="137" s="1" a="1"/>
  <c r="S231" i="137" s="1"/>
  <c r="B236" i="138" s="1"/>
  <c r="R231" i="137"/>
  <c r="Q44" i="137"/>
  <c r="S44" i="137" s="1" a="1"/>
  <c r="S44" i="137" s="1"/>
  <c r="B49" i="138" s="1"/>
  <c r="R44" i="137"/>
  <c r="Q45" i="137"/>
  <c r="R45" i="137"/>
  <c r="S45" i="137" s="1" a="1"/>
  <c r="S45" i="137" s="1"/>
  <c r="B50" i="138" s="1"/>
  <c r="Q46" i="137"/>
  <c r="S46" i="137" s="1" a="1"/>
  <c r="S46" i="137" s="1"/>
  <c r="B51" i="138" s="1"/>
  <c r="R46" i="137"/>
  <c r="Q47" i="137"/>
  <c r="R47" i="137"/>
  <c r="S47" i="137" s="1" a="1"/>
  <c r="S47" i="137" s="1"/>
  <c r="B52" i="138" s="1"/>
  <c r="Q48" i="137"/>
  <c r="S48" i="137" s="1" a="1"/>
  <c r="S48" i="137" s="1"/>
  <c r="B53" i="138" s="1"/>
  <c r="R48" i="137"/>
  <c r="Q49" i="137"/>
  <c r="R49" i="137"/>
  <c r="S49" i="137" s="1" a="1"/>
  <c r="S49" i="137" s="1"/>
  <c r="B54" i="138" s="1"/>
  <c r="Q50" i="137"/>
  <c r="S50" i="137" s="1" a="1"/>
  <c r="S50" i="137" s="1"/>
  <c r="B55" i="138" s="1"/>
  <c r="R50" i="137"/>
  <c r="Q51" i="137"/>
  <c r="R51" i="137"/>
  <c r="S51" i="137" s="1" a="1"/>
  <c r="S51" i="137" s="1"/>
  <c r="B56" i="138" s="1"/>
  <c r="Q52" i="137"/>
  <c r="S52" i="137" s="1" a="1"/>
  <c r="S52" i="137" s="1"/>
  <c r="B57" i="138" s="1"/>
  <c r="R52" i="137"/>
  <c r="Q53" i="137"/>
  <c r="R53" i="137"/>
  <c r="S53" i="137" s="1" a="1"/>
  <c r="S53" i="137" s="1"/>
  <c r="B58" i="138" s="1"/>
  <c r="Q54" i="137"/>
  <c r="S54" i="137" s="1" a="1"/>
  <c r="S54" i="137" s="1"/>
  <c r="B59" i="138" s="1"/>
  <c r="R54" i="137"/>
  <c r="Q55" i="137"/>
  <c r="R55" i="137"/>
  <c r="S55" i="137" s="1" a="1"/>
  <c r="S55" i="137" s="1"/>
  <c r="B60" i="138" s="1"/>
  <c r="Q56" i="137"/>
  <c r="S56" i="137" s="1" a="1"/>
  <c r="S56" i="137" s="1"/>
  <c r="B61" i="138" s="1"/>
  <c r="R56" i="137"/>
  <c r="Q57" i="137"/>
  <c r="R57" i="137"/>
  <c r="S57" i="137" s="1" a="1"/>
  <c r="S57" i="137" s="1"/>
  <c r="B62" i="138" s="1"/>
  <c r="Q58" i="137"/>
  <c r="S58" i="137" s="1" a="1"/>
  <c r="S58" i="137" s="1"/>
  <c r="B63" i="138" s="1"/>
  <c r="R58" i="137"/>
  <c r="Q59" i="137"/>
  <c r="R59" i="137"/>
  <c r="S59" i="137" s="1" a="1"/>
  <c r="S59" i="137" s="1"/>
  <c r="B64" i="138" s="1"/>
  <c r="Q60" i="137"/>
  <c r="S60" i="137" s="1" a="1"/>
  <c r="S60" i="137" s="1"/>
  <c r="B65" i="138" s="1"/>
  <c r="R60" i="137"/>
  <c r="Q61" i="137"/>
  <c r="R61" i="137"/>
  <c r="S61" i="137" s="1" a="1"/>
  <c r="S61" i="137" s="1"/>
  <c r="B66" i="138" s="1"/>
  <c r="Q62" i="137"/>
  <c r="S62" i="137" s="1" a="1"/>
  <c r="S62" i="137" s="1"/>
  <c r="B67" i="138" s="1"/>
  <c r="R62" i="137"/>
  <c r="Q63" i="137"/>
  <c r="R63" i="137"/>
  <c r="S63" i="137" s="1" a="1"/>
  <c r="S63" i="137" s="1"/>
  <c r="B68" i="138" s="1"/>
  <c r="Q64" i="137"/>
  <c r="S64" i="137" s="1" a="1"/>
  <c r="S64" i="137" s="1"/>
  <c r="B69" i="138" s="1"/>
  <c r="R64" i="137"/>
  <c r="Q65" i="137"/>
  <c r="R65" i="137"/>
  <c r="S65" i="137" s="1" a="1"/>
  <c r="S65" i="137" s="1"/>
  <c r="B70" i="138" s="1"/>
  <c r="Q66" i="137"/>
  <c r="S66" i="137" s="1" a="1"/>
  <c r="S66" i="137" s="1"/>
  <c r="B71" i="138" s="1"/>
  <c r="R66" i="137"/>
  <c r="Q67" i="137"/>
  <c r="R67" i="137"/>
  <c r="S67" i="137" s="1" a="1"/>
  <c r="S67" i="137" s="1"/>
  <c r="B72" i="138" s="1"/>
  <c r="Q68" i="137"/>
  <c r="S68" i="137" s="1" a="1"/>
  <c r="S68" i="137" s="1"/>
  <c r="B73" i="138" s="1"/>
  <c r="R68" i="137"/>
  <c r="Q69" i="137"/>
  <c r="R69" i="137"/>
  <c r="S69" i="137" s="1" a="1"/>
  <c r="S69" i="137" s="1"/>
  <c r="B74" i="138" s="1"/>
  <c r="Q70" i="137"/>
  <c r="S70" i="137" s="1" a="1"/>
  <c r="S70" i="137" s="1"/>
  <c r="B75" i="138" s="1"/>
  <c r="R70" i="137"/>
  <c r="Q71" i="137"/>
  <c r="R71" i="137"/>
  <c r="S71" i="137" s="1" a="1"/>
  <c r="S71" i="137" s="1"/>
  <c r="B76" i="138" s="1"/>
  <c r="Q72" i="137"/>
  <c r="S72" i="137" s="1" a="1"/>
  <c r="S72" i="137" s="1"/>
  <c r="B77" i="138" s="1"/>
  <c r="R72" i="137"/>
  <c r="Q73" i="137"/>
  <c r="R73" i="137"/>
  <c r="S73" i="137" s="1" a="1"/>
  <c r="S73" i="137" s="1"/>
  <c r="B78" i="138" s="1"/>
  <c r="Q74" i="137"/>
  <c r="S74" i="137" s="1" a="1"/>
  <c r="S74" i="137" s="1"/>
  <c r="B79" i="138" s="1"/>
  <c r="R74" i="137"/>
  <c r="Q75" i="137"/>
  <c r="R75" i="137"/>
  <c r="S75" i="137" s="1" a="1"/>
  <c r="S75" i="137" s="1"/>
  <c r="B80" i="138" s="1"/>
  <c r="Q76" i="137"/>
  <c r="S76" i="137" s="1" a="1"/>
  <c r="S76" i="137" s="1"/>
  <c r="B81" i="138" s="1"/>
  <c r="R76" i="137"/>
  <c r="Q77" i="137"/>
  <c r="R77" i="137"/>
  <c r="S77" i="137" s="1" a="1"/>
  <c r="S77" i="137" s="1"/>
  <c r="B82" i="138" s="1"/>
  <c r="Q78" i="137"/>
  <c r="S78" i="137" s="1" a="1"/>
  <c r="S78" i="137" s="1"/>
  <c r="B83" i="138" s="1"/>
  <c r="R78" i="137"/>
  <c r="Q79" i="137"/>
  <c r="R79" i="137"/>
  <c r="S79" i="137" s="1" a="1"/>
  <c r="S79" i="137" s="1"/>
  <c r="B84" i="138" s="1"/>
  <c r="Q80" i="137"/>
  <c r="S80" i="137" s="1" a="1"/>
  <c r="S80" i="137" s="1"/>
  <c r="B85" i="138" s="1"/>
  <c r="R80" i="137"/>
  <c r="Q81" i="137"/>
  <c r="R81" i="137"/>
  <c r="S81" i="137" s="1" a="1"/>
  <c r="S81" i="137" s="1"/>
  <c r="B86" i="138" s="1"/>
  <c r="Q82" i="137"/>
  <c r="S82" i="137" s="1" a="1"/>
  <c r="S82" i="137" s="1"/>
  <c r="B87" i="138" s="1"/>
  <c r="R82" i="137"/>
  <c r="Q83" i="137"/>
  <c r="R83" i="137"/>
  <c r="S83" i="137" s="1" a="1"/>
  <c r="S83" i="137" s="1"/>
  <c r="B88" i="138" s="1"/>
  <c r="Q84" i="137"/>
  <c r="S84" i="137" s="1" a="1"/>
  <c r="S84" i="137" s="1"/>
  <c r="B89" i="138" s="1"/>
  <c r="R84" i="137"/>
  <c r="Q85" i="137"/>
  <c r="R85" i="137"/>
  <c r="Q86" i="137"/>
  <c r="S86" i="137" s="1" a="1"/>
  <c r="S86" i="137" s="1"/>
  <c r="B91" i="138" s="1"/>
  <c r="R86" i="137"/>
  <c r="Q87" i="137"/>
  <c r="R87" i="137"/>
  <c r="Q88" i="137"/>
  <c r="S88" i="137" s="1" a="1"/>
  <c r="S88" i="137" s="1"/>
  <c r="B93" i="138" s="1"/>
  <c r="R88" i="137"/>
  <c r="Q89" i="137"/>
  <c r="R89" i="137"/>
  <c r="S89" i="137" s="1" a="1"/>
  <c r="S89" i="137" s="1"/>
  <c r="B94" i="138" s="1"/>
  <c r="Q90" i="137"/>
  <c r="S90" i="137" s="1" a="1"/>
  <c r="S90" i="137" s="1"/>
  <c r="B95" i="138" s="1"/>
  <c r="R90" i="137"/>
  <c r="Q91" i="137"/>
  <c r="S91" i="137" s="1" a="1"/>
  <c r="S91" i="137" s="1"/>
  <c r="B96" i="138" s="1"/>
  <c r="R91" i="137"/>
  <c r="Q92" i="137"/>
  <c r="R92" i="137"/>
  <c r="Q93" i="137"/>
  <c r="S93" i="137" s="1" a="1"/>
  <c r="S93" i="137" s="1"/>
  <c r="B98" i="138" s="1"/>
  <c r="R93" i="137"/>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R105" i="137"/>
  <c r="S105" i="137" s="1" a="1"/>
  <c r="S105" i="137" s="1"/>
  <c r="B110" i="138" s="1"/>
  <c r="Q106" i="137"/>
  <c r="S106" i="137" s="1" a="1"/>
  <c r="S106" i="137" s="1"/>
  <c r="B111" i="138" s="1"/>
  <c r="R106" i="137"/>
  <c r="Q107" i="137"/>
  <c r="S107" i="137" s="1" a="1"/>
  <c r="S107" i="137" s="1"/>
  <c r="B112" i="138" s="1"/>
  <c r="R107" i="137"/>
  <c r="Q108" i="137"/>
  <c r="R108" i="137"/>
  <c r="Q109" i="137"/>
  <c r="S109" i="137" s="1" a="1"/>
  <c r="S109" i="137" s="1"/>
  <c r="B114" i="138" s="1"/>
  <c r="R109" i="137"/>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S117" i="137" s="1" a="1"/>
  <c r="S117" i="137" s="1"/>
  <c r="R117" i="137"/>
  <c r="Q118" i="137"/>
  <c r="S118" i="137" s="1" a="1"/>
  <c r="S118" i="137" s="1"/>
  <c r="B123" i="138" s="1"/>
  <c r="R118" i="137"/>
  <c r="Q119" i="137"/>
  <c r="S119" i="137" s="1" a="1"/>
  <c r="S119" i="137" s="1"/>
  <c r="B124" i="138" s="1"/>
  <c r="R119" i="137"/>
  <c r="Q120" i="137"/>
  <c r="S120" i="137" s="1" a="1"/>
  <c r="S120" i="137" s="1"/>
  <c r="B125" i="138" s="1"/>
  <c r="R120" i="137"/>
  <c r="Q121" i="137"/>
  <c r="R121" i="137"/>
  <c r="S121" i="137" s="1" a="1"/>
  <c r="S121" i="137" s="1"/>
  <c r="B126" i="138" s="1"/>
  <c r="Q122" i="137"/>
  <c r="S122" i="137" s="1" a="1"/>
  <c r="S122" i="137" s="1"/>
  <c r="B127" i="138" s="1"/>
  <c r="R122" i="137"/>
  <c r="Q123" i="137"/>
  <c r="S123" i="137" s="1" a="1"/>
  <c r="S123" i="137" s="1"/>
  <c r="B128" i="138" s="1"/>
  <c r="R123" i="137"/>
  <c r="Q124" i="137"/>
  <c r="R124" i="137"/>
  <c r="Q125" i="137"/>
  <c r="S125" i="137" s="1" a="1"/>
  <c r="S125" i="137" s="1"/>
  <c r="B130" i="138" s="1"/>
  <c r="R125" i="137"/>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R137" i="137"/>
  <c r="S137" i="137" s="1" a="1"/>
  <c r="S137" i="137" s="1"/>
  <c r="B142" i="138" s="1"/>
  <c r="Q138" i="137"/>
  <c r="S138" i="137" s="1" a="1"/>
  <c r="S138" i="137" s="1"/>
  <c r="B143" i="138" s="1"/>
  <c r="R138" i="137"/>
  <c r="Q139" i="137"/>
  <c r="S139" i="137" s="1" a="1"/>
  <c r="S139" i="137" s="1"/>
  <c r="B144" i="138" s="1"/>
  <c r="R139" i="137"/>
  <c r="Q140" i="137"/>
  <c r="R140" i="137"/>
  <c r="Q141" i="137"/>
  <c r="S141" i="137" s="1" a="1"/>
  <c r="S141" i="137" s="1"/>
  <c r="B146" i="138" s="1"/>
  <c r="R141" i="137"/>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S149" i="137" s="1" a="1"/>
  <c r="S149" i="137" s="1"/>
  <c r="B154" i="138" s="1"/>
  <c r="R149" i="137"/>
  <c r="Q150" i="137"/>
  <c r="S150" i="137" s="1" a="1"/>
  <c r="S150" i="137" s="1"/>
  <c r="B155" i="138" s="1"/>
  <c r="R150" i="137"/>
  <c r="Q151" i="137"/>
  <c r="S151" i="137" s="1" a="1"/>
  <c r="S151" i="137" s="1"/>
  <c r="B156" i="138" s="1"/>
  <c r="R151" i="137"/>
  <c r="Q152" i="137"/>
  <c r="S152" i="137" s="1" a="1"/>
  <c r="S152" i="137" s="1"/>
  <c r="B157" i="138" s="1"/>
  <c r="R152" i="137"/>
  <c r="Q153" i="137"/>
  <c r="R153" i="137"/>
  <c r="S153" i="137" s="1" a="1"/>
  <c r="S153" i="137" s="1"/>
  <c r="B158" i="138" s="1"/>
  <c r="Q154" i="137"/>
  <c r="S154" i="137" s="1" a="1"/>
  <c r="S154" i="137" s="1"/>
  <c r="B159" i="138" s="1"/>
  <c r="R154" i="137"/>
  <c r="Q155" i="137"/>
  <c r="S155" i="137" s="1" a="1"/>
  <c r="S155" i="137" s="1"/>
  <c r="B160" i="138" s="1"/>
  <c r="R155" i="137"/>
  <c r="Q156" i="137"/>
  <c r="R156" i="137"/>
  <c r="Q157" i="137"/>
  <c r="S157" i="137" s="1" a="1"/>
  <c r="S157" i="137" s="1"/>
  <c r="B162" i="138" s="1"/>
  <c r="R157" i="137"/>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B168" i="138" s="1"/>
  <c r="Q164" i="137"/>
  <c r="R164" i="137"/>
  <c r="Q165" i="137"/>
  <c r="S165" i="137" s="1" a="1"/>
  <c r="S165" i="137" s="1"/>
  <c r="B170" i="138" s="1"/>
  <c r="R165" i="137"/>
  <c r="Q166" i="137"/>
  <c r="S166" i="137" s="1" a="1"/>
  <c r="S166" i="137" s="1"/>
  <c r="B171" i="138" s="1"/>
  <c r="R166" i="137"/>
  <c r="Q167" i="137"/>
  <c r="S167" i="137" s="1" a="1"/>
  <c r="S167" i="137" s="1"/>
  <c r="B172" i="138" s="1"/>
  <c r="R167" i="137"/>
  <c r="Q168" i="137"/>
  <c r="S168" i="137" s="1" a="1"/>
  <c r="S168" i="137" s="1"/>
  <c r="B173" i="138" s="1"/>
  <c r="R168" i="137"/>
  <c r="Q169" i="137"/>
  <c r="R169" i="137"/>
  <c r="S169" i="137" s="1" a="1"/>
  <c r="S169" i="137" s="1"/>
  <c r="B174" i="138" s="1"/>
  <c r="Q170" i="137"/>
  <c r="S170" i="137" s="1" a="1"/>
  <c r="S170" i="137" s="1"/>
  <c r="B175" i="138" s="1"/>
  <c r="R170" i="137"/>
  <c r="Q171" i="137"/>
  <c r="S171" i="137" s="1" a="1"/>
  <c r="S171" i="137" s="1"/>
  <c r="B176" i="138" s="1"/>
  <c r="R171" i="137"/>
  <c r="Q172" i="137"/>
  <c r="R172" i="137"/>
  <c r="Q173" i="137"/>
  <c r="S173" i="137" s="1" a="1"/>
  <c r="S173" i="137" s="1"/>
  <c r="B178" i="138" s="1"/>
  <c r="R173" i="137"/>
  <c r="Q174" i="137"/>
  <c r="R174" i="137"/>
  <c r="Q175" i="137"/>
  <c r="R175" i="137"/>
  <c r="S175" i="137" a="1"/>
  <c r="S175" i="137" s="1"/>
  <c r="B180" i="138" s="1"/>
  <c r="Q176" i="137"/>
  <c r="S176" i="137" s="1" a="1"/>
  <c r="S176" i="137" s="1"/>
  <c r="B181" i="138" s="1"/>
  <c r="R176" i="137"/>
  <c r="Q177" i="137"/>
  <c r="R177" i="137"/>
  <c r="Q178" i="137"/>
  <c r="R178" i="137"/>
  <c r="S178" i="137" s="1" a="1"/>
  <c r="S178" i="137" s="1"/>
  <c r="B183" i="138" s="1"/>
  <c r="Q179" i="137"/>
  <c r="S179" i="137" s="1" a="1"/>
  <c r="S179" i="137" s="1"/>
  <c r="B184" i="138" s="1"/>
  <c r="R179" i="137"/>
  <c r="Q180" i="137"/>
  <c r="S180" i="137" s="1" a="1"/>
  <c r="S180" i="137" s="1"/>
  <c r="B185" i="138" s="1"/>
  <c r="R180" i="137"/>
  <c r="Q181" i="137"/>
  <c r="R181" i="137"/>
  <c r="S181" i="137" a="1"/>
  <c r="S181" i="137" s="1"/>
  <c r="Q182" i="137"/>
  <c r="R182" i="137"/>
  <c r="S182" i="137" a="1"/>
  <c r="S182" i="137" s="1"/>
  <c r="B187" i="138" s="1"/>
  <c r="Q183" i="137"/>
  <c r="R183" i="137"/>
  <c r="S183" i="137" a="1"/>
  <c r="S183" i="137" s="1"/>
  <c r="B188" i="138" s="1"/>
  <c r="Q184" i="137"/>
  <c r="S184" i="137" s="1" a="1"/>
  <c r="S184" i="137" s="1"/>
  <c r="B189" i="138" s="1"/>
  <c r="R184" i="137"/>
  <c r="Q185" i="137"/>
  <c r="S185" i="137" s="1" a="1"/>
  <c r="S185" i="137" s="1"/>
  <c r="B190" i="138" s="1"/>
  <c r="R185" i="137"/>
  <c r="Q186" i="137"/>
  <c r="R186" i="137"/>
  <c r="S186" i="137" s="1" a="1"/>
  <c r="S186" i="137" s="1"/>
  <c r="B191" i="138" s="1"/>
  <c r="Q187" i="137"/>
  <c r="S187" i="137" s="1" a="1"/>
  <c r="S187" i="137" s="1"/>
  <c r="B192" i="138" s="1"/>
  <c r="R187" i="137"/>
  <c r="Q188" i="137"/>
  <c r="S188" i="137" s="1" a="1"/>
  <c r="S188" i="137" s="1"/>
  <c r="B193" i="138" s="1"/>
  <c r="R188" i="137"/>
  <c r="Q189" i="137"/>
  <c r="R189" i="137"/>
  <c r="S189" i="137" a="1"/>
  <c r="S189" i="137" s="1"/>
  <c r="B194" i="138" s="1"/>
  <c r="Q190" i="137"/>
  <c r="R190" i="137"/>
  <c r="S190" i="137" a="1"/>
  <c r="S190" i="137" s="1"/>
  <c r="B195" i="138" s="1"/>
  <c r="Q191" i="137"/>
  <c r="R191" i="137"/>
  <c r="S191" i="137" a="1"/>
  <c r="S191" i="137" s="1"/>
  <c r="B196" i="138" s="1"/>
  <c r="Q192" i="137"/>
  <c r="S192" i="137" s="1" a="1"/>
  <c r="S192" i="137" s="1"/>
  <c r="B197" i="138" s="1"/>
  <c r="R192" i="137"/>
  <c r="Q193" i="137"/>
  <c r="S193" i="137" s="1" a="1"/>
  <c r="S193" i="137" s="1"/>
  <c r="B198" i="138" s="1"/>
  <c r="R193" i="137"/>
  <c r="Q194" i="137"/>
  <c r="R194" i="137"/>
  <c r="S194" i="137" s="1" a="1"/>
  <c r="S194" i="137" s="1"/>
  <c r="B199" i="138" s="1"/>
  <c r="Q195" i="137"/>
  <c r="S195" i="137" s="1" a="1"/>
  <c r="S195" i="137" s="1"/>
  <c r="B200" i="138" s="1"/>
  <c r="R195" i="137"/>
  <c r="Q196" i="137"/>
  <c r="S196" i="137" s="1" a="1"/>
  <c r="S196" i="137" s="1"/>
  <c r="B201" i="138" s="1"/>
  <c r="R196" i="137"/>
  <c r="Q197" i="137"/>
  <c r="R197" i="137"/>
  <c r="S197" i="137" a="1"/>
  <c r="S197" i="137" s="1"/>
  <c r="B202" i="138" s="1"/>
  <c r="Q198" i="137"/>
  <c r="R198" i="137"/>
  <c r="S198" i="137" a="1"/>
  <c r="S198" i="137" s="1"/>
  <c r="B203" i="138" s="1"/>
  <c r="Q199" i="137"/>
  <c r="R199" i="137"/>
  <c r="S199" i="137" a="1"/>
  <c r="S199" i="137" s="1"/>
  <c r="B204" i="138" s="1"/>
  <c r="Q200" i="137"/>
  <c r="S200" i="137" s="1" a="1"/>
  <c r="S200" i="137" s="1"/>
  <c r="B205" i="138" s="1"/>
  <c r="R200" i="137"/>
  <c r="Q201" i="137"/>
  <c r="S201" i="137" s="1" a="1"/>
  <c r="S201" i="137" s="1"/>
  <c r="B206" i="138" s="1"/>
  <c r="R201" i="137"/>
  <c r="Q202" i="137"/>
  <c r="R202" i="137"/>
  <c r="S202" i="137" s="1" a="1"/>
  <c r="S202" i="137" s="1"/>
  <c r="B207" i="138" s="1"/>
  <c r="Q203" i="137"/>
  <c r="S203" i="137" s="1" a="1"/>
  <c r="S203" i="137" s="1"/>
  <c r="B208" i="138" s="1"/>
  <c r="R203" i="137"/>
  <c r="Q204" i="137"/>
  <c r="S204" i="137" s="1" a="1"/>
  <c r="S204" i="137" s="1"/>
  <c r="B209" i="138" s="1"/>
  <c r="R204" i="137"/>
  <c r="Q205" i="137"/>
  <c r="R205" i="137"/>
  <c r="S205" i="137" a="1"/>
  <c r="S205" i="137" s="1"/>
  <c r="B210" i="138" s="1"/>
  <c r="Q206" i="137"/>
  <c r="R206" i="137"/>
  <c r="S206" i="137" a="1"/>
  <c r="S206" i="137" s="1"/>
  <c r="B211" i="138" s="1"/>
  <c r="Q207" i="137"/>
  <c r="R207" i="137"/>
  <c r="S207" i="137" a="1"/>
  <c r="S207" i="137" s="1"/>
  <c r="B212" i="138" s="1"/>
  <c r="Q208" i="137"/>
  <c r="S208" i="137" s="1" a="1"/>
  <c r="S208" i="137" s="1"/>
  <c r="B213" i="138" s="1"/>
  <c r="R208" i="137"/>
  <c r="Q209" i="137"/>
  <c r="S209" i="137" s="1" a="1"/>
  <c r="S209" i="137" s="1"/>
  <c r="B214" i="138" s="1"/>
  <c r="R209" i="137"/>
  <c r="Q210" i="137"/>
  <c r="R210" i="137"/>
  <c r="S210" i="137" s="1" a="1"/>
  <c r="S210" i="137" s="1"/>
  <c r="B215" i="138" s="1"/>
  <c r="Q211" i="137"/>
  <c r="S211" i="137" s="1" a="1"/>
  <c r="S211" i="137" s="1"/>
  <c r="B216" i="138" s="1"/>
  <c r="R211" i="137"/>
  <c r="Q212" i="137"/>
  <c r="S212" i="137" s="1" a="1"/>
  <c r="S212" i="137" s="1"/>
  <c r="B217" i="138" s="1"/>
  <c r="R212" i="137"/>
  <c r="Q213" i="137"/>
  <c r="R213" i="137"/>
  <c r="S213" i="137" a="1"/>
  <c r="S213" i="137" s="1"/>
  <c r="B218" i="138" s="1"/>
  <c r="Q214" i="137"/>
  <c r="R214" i="137"/>
  <c r="S214" i="137" a="1"/>
  <c r="S214" i="137" s="1"/>
  <c r="B219" i="138" s="1"/>
  <c r="Q215" i="137"/>
  <c r="R215" i="137"/>
  <c r="S215" i="137" s="1" a="1"/>
  <c r="S215" i="137" s="1"/>
  <c r="B220" i="138" s="1"/>
  <c r="Q216" i="137"/>
  <c r="R216" i="137"/>
  <c r="S216" i="137" a="1"/>
  <c r="S216" i="137" s="1"/>
  <c r="B221" i="138" s="1"/>
  <c r="Q217" i="137"/>
  <c r="R217" i="137"/>
  <c r="S217" i="137" s="1" a="1"/>
  <c r="S217" i="137" s="1"/>
  <c r="B222" i="138" s="1"/>
  <c r="Q218" i="137"/>
  <c r="R218" i="137"/>
  <c r="S218" i="137" a="1"/>
  <c r="S218" i="137" s="1"/>
  <c r="B223" i="138" s="1"/>
  <c r="Q219" i="137"/>
  <c r="R219" i="137"/>
  <c r="S219" i="137" s="1" a="1"/>
  <c r="S219" i="137" s="1"/>
  <c r="B224" i="138" s="1"/>
  <c r="Q220" i="137"/>
  <c r="R220" i="137"/>
  <c r="S220" i="137" a="1"/>
  <c r="S220" i="137" s="1"/>
  <c r="B225" i="138" s="1"/>
  <c r="Q221" i="137"/>
  <c r="R221" i="137"/>
  <c r="S221" i="137" s="1" a="1"/>
  <c r="S221" i="137" s="1"/>
  <c r="B226" i="138" s="1"/>
  <c r="Q222" i="137"/>
  <c r="R222" i="137"/>
  <c r="S222" i="137" a="1"/>
  <c r="S222" i="137" s="1"/>
  <c r="B227" i="138" s="1"/>
  <c r="Q223" i="137"/>
  <c r="R223" i="137"/>
  <c r="S223" i="137" s="1" a="1"/>
  <c r="S223" i="137" s="1"/>
  <c r="B228" i="138" s="1"/>
  <c r="Q42" i="137"/>
  <c r="S42" i="137" s="1" a="1"/>
  <c r="S42" i="137" s="1"/>
  <c r="B47" i="138" s="1"/>
  <c r="R42" i="137"/>
  <c r="Q43" i="137"/>
  <c r="S43" i="137" s="1" a="1"/>
  <c r="S43" i="137" s="1"/>
  <c r="B48" i="138" s="1"/>
  <c r="R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42" i="137"/>
  <c r="J42" i="137"/>
  <c r="K42" i="137"/>
  <c r="L42" i="137"/>
  <c r="M42" i="137"/>
  <c r="N42" i="137"/>
  <c r="I43" i="137"/>
  <c r="J43" i="137"/>
  <c r="K43" i="137"/>
  <c r="L43" i="137"/>
  <c r="M43" i="137"/>
  <c r="N43" i="137"/>
  <c r="B42" i="137"/>
  <c r="C42" i="137"/>
  <c r="C57" i="110"/>
  <c r="C58" i="110"/>
  <c r="C59" i="110"/>
  <c r="C60" i="110"/>
  <c r="C61" i="110"/>
  <c r="C62" i="110"/>
  <c r="C63" i="110"/>
  <c r="C64" i="110"/>
  <c r="C65" i="110"/>
  <c r="C66" i="110"/>
  <c r="C67" i="110"/>
  <c r="C68" i="110"/>
  <c r="C69" i="110"/>
  <c r="C70" i="110"/>
  <c r="C71" i="110"/>
  <c r="C72" i="110"/>
  <c r="C73" i="110"/>
  <c r="C74" i="110"/>
  <c r="C75" i="110"/>
  <c r="C76" i="110"/>
  <c r="C77" i="110"/>
  <c r="C78" i="110"/>
  <c r="C79" i="110"/>
  <c r="C80" i="110"/>
  <c r="C43" i="110"/>
  <c r="C44" i="110"/>
  <c r="C45" i="110"/>
  <c r="C46"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5" i="110"/>
  <c r="C36" i="110"/>
  <c r="C37" i="110"/>
  <c r="C38" i="110"/>
  <c r="C39" i="110"/>
  <c r="C40" i="110"/>
  <c r="C41" i="110"/>
  <c r="C42" i="110"/>
  <c r="J36" i="108"/>
  <c r="J37" i="108"/>
  <c r="J38" i="108"/>
  <c r="J39" i="108"/>
  <c r="J40" i="108"/>
  <c r="J41" i="108"/>
  <c r="J42" i="108"/>
  <c r="J43" i="108"/>
  <c r="J44" i="108"/>
  <c r="J45" i="108"/>
  <c r="J46" i="108"/>
  <c r="J47" i="108"/>
  <c r="J48" i="108"/>
  <c r="J34" i="108"/>
  <c r="C34" i="110" s="1"/>
  <c r="J35" i="108"/>
  <c r="J27" i="108"/>
  <c r="J28" i="108"/>
  <c r="J29" i="108"/>
  <c r="J30" i="108"/>
  <c r="J31" i="108"/>
  <c r="J32" i="108"/>
  <c r="J33" i="108"/>
  <c r="C9" i="120"/>
  <c r="C10" i="120"/>
  <c r="C11" i="120"/>
  <c r="C12" i="120"/>
  <c r="C13" i="120"/>
  <c r="C14" i="120"/>
  <c r="C15" i="120"/>
  <c r="C16" i="120"/>
  <c r="C17" i="120"/>
  <c r="C18" i="120"/>
  <c r="C19" i="120"/>
  <c r="C20" i="120"/>
  <c r="G34"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Q36" i="137"/>
  <c r="R36" i="137"/>
  <c r="Q37" i="137"/>
  <c r="R37" i="137"/>
  <c r="Q38" i="137"/>
  <c r="R38" i="137"/>
  <c r="Q39" i="137"/>
  <c r="R39" i="137"/>
  <c r="Q40" i="137"/>
  <c r="R40" i="137"/>
  <c r="Q41" i="137"/>
  <c r="R41" i="137"/>
  <c r="Q32" i="137"/>
  <c r="R32" i="137"/>
  <c r="Q33" i="137"/>
  <c r="R33" i="137"/>
  <c r="Q34" i="137"/>
  <c r="R34" i="137"/>
  <c r="Q35" i="137"/>
  <c r="R35" i="137"/>
  <c r="Q16" i="137"/>
  <c r="R16" i="137"/>
  <c r="Q17" i="137"/>
  <c r="R17" i="137"/>
  <c r="Q18" i="137"/>
  <c r="R18" i="137"/>
  <c r="Q19" i="137"/>
  <c r="R19" i="137"/>
  <c r="Q20" i="137"/>
  <c r="R20" i="137"/>
  <c r="Q21" i="137"/>
  <c r="R21" i="137"/>
  <c r="Q22" i="137"/>
  <c r="R22" i="137"/>
  <c r="Q23" i="137"/>
  <c r="R23" i="137"/>
  <c r="Q24" i="137"/>
  <c r="R24" i="137"/>
  <c r="Q25" i="137"/>
  <c r="R25" i="137"/>
  <c r="Q26" i="137"/>
  <c r="R26" i="137"/>
  <c r="Q27" i="137"/>
  <c r="R27" i="137"/>
  <c r="Q28" i="137"/>
  <c r="R28" i="137"/>
  <c r="Q29" i="137"/>
  <c r="S29" i="137" s="1" a="1"/>
  <c r="S29" i="137" s="1"/>
  <c r="B34" i="138" s="1"/>
  <c r="R29" i="137"/>
  <c r="Q30" i="137"/>
  <c r="R30" i="137"/>
  <c r="Q31" i="137"/>
  <c r="R31" i="137"/>
  <c r="K36" i="137"/>
  <c r="L36" i="137"/>
  <c r="M36" i="137"/>
  <c r="N36" i="137"/>
  <c r="K37" i="137"/>
  <c r="L37" i="137"/>
  <c r="M37" i="137"/>
  <c r="N37" i="137"/>
  <c r="K38" i="137"/>
  <c r="L38" i="137"/>
  <c r="M38" i="137"/>
  <c r="N38" i="137"/>
  <c r="K39" i="137"/>
  <c r="L39" i="137"/>
  <c r="M39" i="137"/>
  <c r="N39" i="137"/>
  <c r="K40" i="137"/>
  <c r="L40" i="137"/>
  <c r="M40" i="137"/>
  <c r="N40" i="137"/>
  <c r="K41" i="137"/>
  <c r="L41" i="137"/>
  <c r="M41" i="137"/>
  <c r="N41" i="137"/>
  <c r="K32" i="137"/>
  <c r="L32" i="137"/>
  <c r="M32" i="137"/>
  <c r="N32" i="137"/>
  <c r="I33" i="137"/>
  <c r="K33" i="137"/>
  <c r="L33" i="137"/>
  <c r="M33" i="137"/>
  <c r="N33" i="137"/>
  <c r="K34" i="137"/>
  <c r="L34" i="137"/>
  <c r="M34" i="137"/>
  <c r="N34" i="137"/>
  <c r="K35" i="137"/>
  <c r="L35" i="137"/>
  <c r="M35" i="137"/>
  <c r="N35" i="137"/>
  <c r="K16" i="137"/>
  <c r="L16" i="137"/>
  <c r="M16" i="137"/>
  <c r="N16" i="137"/>
  <c r="K17" i="137"/>
  <c r="L17" i="137"/>
  <c r="M17" i="137"/>
  <c r="N17" i="137"/>
  <c r="K18" i="137"/>
  <c r="S35" i="137" s="1" a="1"/>
  <c r="S35" i="137" s="1"/>
  <c r="B40" i="138" s="1"/>
  <c r="L18" i="137"/>
  <c r="M18" i="137"/>
  <c r="N18" i="137"/>
  <c r="K19" i="137"/>
  <c r="L19" i="137"/>
  <c r="M19" i="137"/>
  <c r="N19"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B33" i="137"/>
  <c r="C33" i="137"/>
  <c r="J33" i="137" s="1"/>
  <c r="B32" i="137"/>
  <c r="I32" i="137" s="1"/>
  <c r="C32" i="137"/>
  <c r="J32" i="137" s="1"/>
  <c r="J10" i="108"/>
  <c r="J11" i="108"/>
  <c r="J12" i="108"/>
  <c r="J13" i="108"/>
  <c r="J14" i="108"/>
  <c r="J15" i="108"/>
  <c r="J16" i="108"/>
  <c r="J17" i="108"/>
  <c r="J18" i="108"/>
  <c r="J19" i="108"/>
  <c r="J20" i="108"/>
  <c r="J21" i="108"/>
  <c r="J22" i="108"/>
  <c r="J23" i="108"/>
  <c r="J24" i="108"/>
  <c r="J25" i="108"/>
  <c r="L25" i="108" s="1"/>
  <c r="J26" i="108"/>
  <c r="L28" i="108"/>
  <c r="L31"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74"/>
  <c r="E3" i="162"/>
  <c r="E3" i="159"/>
  <c r="E3" i="157"/>
  <c r="E3" i="154"/>
  <c r="B7" i="115"/>
  <c r="B6" i="115"/>
  <c r="A8" i="107"/>
  <c r="A9" i="107"/>
  <c r="A10" i="107"/>
  <c r="A11" i="107"/>
  <c r="A12" i="107"/>
  <c r="A13" i="107"/>
  <c r="A14" i="107"/>
  <c r="A15" i="107"/>
  <c r="A16" i="107"/>
  <c r="A17" i="107"/>
  <c r="B47" i="137"/>
  <c r="C47" i="137"/>
  <c r="B48" i="137"/>
  <c r="C48" i="137"/>
  <c r="B49" i="137"/>
  <c r="C49" i="137"/>
  <c r="B16" i="137"/>
  <c r="I16" i="137" s="1"/>
  <c r="C16" i="137"/>
  <c r="J16" i="137" s="1"/>
  <c r="B17" i="137"/>
  <c r="I17" i="137" s="1"/>
  <c r="C17" i="137"/>
  <c r="J17" i="137" s="1"/>
  <c r="B18" i="137"/>
  <c r="I18" i="137" s="1"/>
  <c r="C18" i="137"/>
  <c r="J18" i="137" s="1"/>
  <c r="B19" i="137"/>
  <c r="I19" i="137" s="1"/>
  <c r="C19" i="137"/>
  <c r="J19" i="137" s="1"/>
  <c r="B20" i="137"/>
  <c r="I20" i="137" s="1"/>
  <c r="C20" i="137"/>
  <c r="J20" i="137" s="1"/>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I34" i="137" s="1"/>
  <c r="C34" i="137"/>
  <c r="J34" i="137" s="1"/>
  <c r="B35" i="137"/>
  <c r="I35" i="137" s="1"/>
  <c r="C35" i="137"/>
  <c r="J35" i="137" s="1"/>
  <c r="B36" i="137"/>
  <c r="I36" i="137" s="1"/>
  <c r="C36" i="137"/>
  <c r="J36" i="137" s="1"/>
  <c r="B37" i="137"/>
  <c r="I37" i="137" s="1"/>
  <c r="C37" i="137"/>
  <c r="J37" i="137" s="1"/>
  <c r="B38" i="137"/>
  <c r="I38" i="137" s="1"/>
  <c r="C38" i="137"/>
  <c r="J38" i="137" s="1"/>
  <c r="B39" i="137"/>
  <c r="I39" i="137" s="1"/>
  <c r="C39" i="137"/>
  <c r="J39" i="137" s="1"/>
  <c r="B40" i="137"/>
  <c r="I40" i="137" s="1"/>
  <c r="C40" i="137"/>
  <c r="J40" i="137" s="1"/>
  <c r="B41" i="137"/>
  <c r="I41" i="137" s="1"/>
  <c r="C41" i="137"/>
  <c r="J41" i="137" s="1"/>
  <c r="B43" i="137"/>
  <c r="C43" i="137"/>
  <c r="B44" i="137"/>
  <c r="C44" i="137"/>
  <c r="B45" i="137"/>
  <c r="C45" i="137"/>
  <c r="B46" i="137"/>
  <c r="C46" i="137"/>
  <c r="C15" i="137"/>
  <c r="A90" i="107"/>
  <c r="A87" i="107"/>
  <c r="A86" i="107"/>
  <c r="L10" i="108"/>
  <c r="L11" i="108"/>
  <c r="L18" i="108"/>
  <c r="L19" i="108"/>
  <c r="L33" i="108"/>
  <c r="A101" i="107"/>
  <c r="A92" i="107"/>
  <c r="A75" i="107"/>
  <c r="A72" i="107"/>
  <c r="A61" i="107"/>
  <c r="A55" i="107"/>
  <c r="A51" i="107"/>
  <c r="A46" i="107"/>
  <c r="A39" i="107"/>
  <c r="A34" i="107"/>
  <c r="A21" i="107"/>
  <c r="A20" i="107"/>
  <c r="A7" i="107"/>
  <c r="A6" i="107"/>
  <c r="B55" i="108"/>
  <c r="G55" i="108" s="1"/>
  <c r="B56" i="108"/>
  <c r="G56" i="108" s="1"/>
  <c r="B57" i="108"/>
  <c r="G57" i="108" s="1"/>
  <c r="B58" i="108"/>
  <c r="G58" i="108" s="1"/>
  <c r="B59" i="108"/>
  <c r="G59" i="108" s="1"/>
  <c r="B60" i="108"/>
  <c r="G60" i="108" s="1"/>
  <c r="B61" i="108"/>
  <c r="G61" i="108" s="1"/>
  <c r="B62" i="108"/>
  <c r="G62" i="108" s="1"/>
  <c r="B63" i="108"/>
  <c r="G63" i="108" s="1"/>
  <c r="B54"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77" i="137" l="1" a="1"/>
  <c r="S177" i="137" s="1"/>
  <c r="B182" i="138" s="1"/>
  <c r="S174" i="137" a="1"/>
  <c r="S174" i="137" s="1"/>
  <c r="B179" i="138" s="1"/>
  <c r="S158" i="137" a="1"/>
  <c r="S158" i="137" s="1"/>
  <c r="B163" i="138" s="1"/>
  <c r="S142" i="137" a="1"/>
  <c r="S142" i="137" s="1"/>
  <c r="B147" i="138" s="1"/>
  <c r="S126" i="137" a="1"/>
  <c r="S126" i="137" s="1"/>
  <c r="B131" i="138" s="1"/>
  <c r="S110" i="137" a="1"/>
  <c r="S110" i="137" s="1"/>
  <c r="B115" i="138" s="1"/>
  <c r="S94" i="137" a="1"/>
  <c r="S94" i="137" s="1"/>
  <c r="B99" i="138" s="1"/>
  <c r="S164" i="137" a="1"/>
  <c r="S164" i="137" s="1"/>
  <c r="B169" i="138" s="1"/>
  <c r="S148" i="137" a="1"/>
  <c r="S148" i="137" s="1"/>
  <c r="B153" i="138" s="1"/>
  <c r="S132" i="137" a="1"/>
  <c r="S132" i="137" s="1"/>
  <c r="B137" i="138" s="1"/>
  <c r="S116" i="137" a="1"/>
  <c r="S116" i="137" s="1"/>
  <c r="B121" i="138" s="1"/>
  <c r="S100" i="137" a="1"/>
  <c r="S100" i="137" s="1"/>
  <c r="B105" i="138" s="1"/>
  <c r="S87" i="137" a="1"/>
  <c r="S87" i="137" s="1"/>
  <c r="B92" i="138" s="1"/>
  <c r="S160" i="137" a="1"/>
  <c r="S160" i="137" s="1"/>
  <c r="B165" i="138" s="1"/>
  <c r="S144" i="137" a="1"/>
  <c r="S144" i="137" s="1"/>
  <c r="B149" i="138" s="1"/>
  <c r="S128" i="137" a="1"/>
  <c r="S128" i="137" s="1"/>
  <c r="B133" i="138" s="1"/>
  <c r="S112" i="137" a="1"/>
  <c r="S112" i="137" s="1"/>
  <c r="B117" i="138" s="1"/>
  <c r="S96" i="137" a="1"/>
  <c r="S96" i="137" s="1"/>
  <c r="B101" i="138" s="1"/>
  <c r="S172" i="137" a="1"/>
  <c r="S172" i="137" s="1"/>
  <c r="B177" i="138" s="1"/>
  <c r="S156" i="137" a="1"/>
  <c r="S156" i="137" s="1"/>
  <c r="B161" i="138" s="1"/>
  <c r="S140" i="137" a="1"/>
  <c r="S140" i="137" s="1"/>
  <c r="B145" i="138" s="1"/>
  <c r="S124" i="137" a="1"/>
  <c r="S124" i="137" s="1"/>
  <c r="B129" i="138" s="1"/>
  <c r="S108" i="137" a="1"/>
  <c r="S108" i="137" s="1"/>
  <c r="B113" i="138" s="1"/>
  <c r="S92" i="137" a="1"/>
  <c r="S92" i="137" s="1"/>
  <c r="B97" i="138" s="1"/>
  <c r="S85" i="137" a="1"/>
  <c r="S85" i="137" s="1"/>
  <c r="B90" i="138" s="1"/>
  <c r="S162" i="137" a="1"/>
  <c r="S162" i="137" s="1"/>
  <c r="B167" i="138" s="1"/>
  <c r="S146" i="137" a="1"/>
  <c r="S146" i="137" s="1"/>
  <c r="B151" i="138" s="1"/>
  <c r="S130" i="137" a="1"/>
  <c r="S130" i="137" s="1"/>
  <c r="B135" i="138" s="1"/>
  <c r="S114" i="137" a="1"/>
  <c r="S114" i="137" s="1"/>
  <c r="B119" i="138" s="1"/>
  <c r="S98" i="137" a="1"/>
  <c r="S98" i="137" s="1"/>
  <c r="B103" i="138" s="1"/>
  <c r="S25" i="137" a="1"/>
  <c r="S25" i="137" s="1"/>
  <c r="B30" i="138" s="1"/>
  <c r="S24" i="137" a="1"/>
  <c r="S24" i="137" s="1"/>
  <c r="B29" i="138" s="1"/>
  <c r="S36" i="137" a="1"/>
  <c r="S36" i="137" s="1"/>
  <c r="B41" i="138" s="1"/>
  <c r="S33" i="137" a="1"/>
  <c r="S33" i="137" s="1"/>
  <c r="B38" i="138" s="1"/>
  <c r="S31" i="137" a="1"/>
  <c r="S31" i="137" s="1"/>
  <c r="B36" i="138" s="1"/>
  <c r="S23" i="137" a="1"/>
  <c r="S23" i="137" s="1"/>
  <c r="B28" i="138" s="1"/>
  <c r="S32" i="137" a="1"/>
  <c r="S32" i="137" s="1"/>
  <c r="B37" i="138" s="1"/>
  <c r="S17" i="137" a="1"/>
  <c r="S17" i="137" s="1"/>
  <c r="B22" i="138" s="1"/>
  <c r="S30" i="137" a="1"/>
  <c r="S30" i="137" s="1"/>
  <c r="B35" i="138" s="1"/>
  <c r="S26" i="137" a="1"/>
  <c r="S26" i="137" s="1"/>
  <c r="B31" i="138" s="1"/>
  <c r="S38" i="137" a="1"/>
  <c r="S38" i="137" s="1"/>
  <c r="B43" i="138" s="1"/>
  <c r="S27" i="137" a="1"/>
  <c r="S27" i="137" s="1"/>
  <c r="B32" i="138" s="1"/>
  <c r="S39" i="137" a="1"/>
  <c r="S39" i="137" s="1"/>
  <c r="B44" i="138" s="1"/>
  <c r="S22" i="137" a="1"/>
  <c r="S22" i="137" s="1"/>
  <c r="B27" i="138" s="1"/>
  <c r="S21" i="137" a="1"/>
  <c r="S21" i="137" s="1"/>
  <c r="B26" i="138" s="1"/>
  <c r="S34" i="137" a="1"/>
  <c r="S34" i="137" s="1"/>
  <c r="B39" i="138" s="1"/>
  <c r="S28" i="137" a="1"/>
  <c r="S28" i="137" s="1"/>
  <c r="B33" i="138" s="1"/>
  <c r="S40" i="137" a="1"/>
  <c r="S40" i="137" s="1"/>
  <c r="B45" i="138" s="1"/>
  <c r="S29" i="159" a="1"/>
  <c r="S29" i="159" s="1"/>
  <c r="B34" i="161" s="1"/>
  <c r="S35" i="159" a="1"/>
  <c r="S35" i="159" s="1"/>
  <c r="B40" i="161" s="1"/>
  <c r="S69" i="159" a="1"/>
  <c r="S69" i="159" s="1"/>
  <c r="B74" i="161" s="1"/>
  <c r="S75" i="159" a="1"/>
  <c r="S75" i="159" s="1"/>
  <c r="B80" i="161" s="1"/>
  <c r="S41" i="137" a="1"/>
  <c r="S41" i="137" s="1"/>
  <c r="B46" i="138" s="1"/>
  <c r="S37" i="137" a="1"/>
  <c r="S37" i="137" s="1"/>
  <c r="B42" i="138" s="1"/>
  <c r="L32" i="108"/>
  <c r="L40" i="108"/>
  <c r="L35" i="108"/>
  <c r="L36"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L26" i="108"/>
  <c r="L17" i="108"/>
  <c r="L15" i="108"/>
  <c r="L30" i="108"/>
  <c r="L16" i="108"/>
  <c r="L41" i="108"/>
  <c r="L14" i="108"/>
  <c r="L21" i="108"/>
  <c r="L13" i="108"/>
  <c r="L29"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S125" i="140" s="1" a="1"/>
  <c r="S125" i="140" s="1"/>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B20" i="162"/>
  <c r="C20" i="162"/>
  <c r="N15" i="162"/>
  <c r="Q173" i="170"/>
  <c r="S173" i="170" s="1" a="1"/>
  <c r="S173" i="170" s="1"/>
  <c r="B179" i="171" s="1"/>
  <c r="R173" i="170"/>
  <c r="Q174" i="170"/>
  <c r="S174" i="170" s="1" a="1"/>
  <c r="S174" i="170" s="1"/>
  <c r="B180" i="171" s="1"/>
  <c r="R174" i="170"/>
  <c r="Q175" i="170"/>
  <c r="S175" i="170" s="1" a="1"/>
  <c r="S175" i="170" s="1"/>
  <c r="B181" i="171"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B174" i="171"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B41" i="171" s="1"/>
  <c r="R35" i="170"/>
  <c r="Q36" i="170"/>
  <c r="S36" i="170" s="1" a="1"/>
  <c r="S36" i="170" s="1"/>
  <c r="B42" i="171"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B65" i="171"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B82" i="171" s="1"/>
  <c r="R76" i="170"/>
  <c r="Q77" i="170"/>
  <c r="S77" i="170" s="1" a="1"/>
  <c r="S77" i="170" s="1"/>
  <c r="B83" i="171" s="1"/>
  <c r="R77" i="170"/>
  <c r="Q78" i="170"/>
  <c r="S78" i="170" s="1" a="1"/>
  <c r="S78" i="170" s="1"/>
  <c r="B84" i="171"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R117" i="170"/>
  <c r="Q118" i="170"/>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B129" i="171"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B146" i="171" s="1"/>
  <c r="R140" i="170"/>
  <c r="Q141" i="170"/>
  <c r="S141" i="170" s="1" a="1"/>
  <c r="S141" i="170" s="1"/>
  <c r="B147" i="171" s="1"/>
  <c r="R141" i="170"/>
  <c r="Q142" i="170"/>
  <c r="S142" i="170" s="1" a="1"/>
  <c r="S142" i="170" s="1"/>
  <c r="B148" i="171"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B165" i="171" s="1"/>
  <c r="R159" i="170"/>
  <c r="Q160" i="170"/>
  <c r="S160" i="170" s="1" a="1"/>
  <c r="S160" i="170" s="1"/>
  <c r="B166" i="171" s="1"/>
  <c r="R160" i="170"/>
  <c r="Q161" i="170"/>
  <c r="S161" i="170" s="1" a="1"/>
  <c r="S161" i="170" s="1"/>
  <c r="B167" i="171"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51"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I32" i="170" s="1"/>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25" i="171"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B432" i="171" s="1"/>
  <c r="R139" i="169"/>
  <c r="Q140" i="169"/>
  <c r="R140" i="169"/>
  <c r="S140" i="169" s="1" a="1"/>
  <c r="S140" i="169" s="1"/>
  <c r="B433" i="171"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B413" i="171"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B313" i="171"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B375" i="171"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B392" i="171" s="1"/>
  <c r="S100" i="169" a="1"/>
  <c r="S100" i="169" s="1"/>
  <c r="B393" i="171" s="1"/>
  <c r="S102" i="169" a="1"/>
  <c r="S102" i="169" s="1"/>
  <c r="B395" i="171" s="1"/>
  <c r="S103" i="169" a="1"/>
  <c r="S103" i="169" s="1"/>
  <c r="B396" i="171" s="1"/>
  <c r="S104" i="169" a="1"/>
  <c r="S104" i="169" s="1"/>
  <c r="B397" i="171" s="1"/>
  <c r="S107" i="169" a="1"/>
  <c r="S107" i="169" s="1"/>
  <c r="B400" i="171" s="1"/>
  <c r="S108" i="169" a="1"/>
  <c r="S108" i="169" s="1"/>
  <c r="B401" i="171"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B352" i="171"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s="1"/>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B277" i="171"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B281" i="171" s="1"/>
  <c r="R106" i="168"/>
  <c r="Q107" i="168"/>
  <c r="R107" i="168"/>
  <c r="Q108" i="168"/>
  <c r="S108" i="168" s="1" a="1"/>
  <c r="S108" i="168" s="1"/>
  <c r="B283" i="171" s="1"/>
  <c r="R108" i="168"/>
  <c r="Q109" i="168"/>
  <c r="S109" i="168" s="1" a="1"/>
  <c r="S109" i="168" s="1"/>
  <c r="B284" i="171" s="1"/>
  <c r="R109" i="168"/>
  <c r="Q110" i="168"/>
  <c r="S110" i="168" s="1" a="1"/>
  <c r="S110" i="168" s="1"/>
  <c r="B285" i="171" s="1"/>
  <c r="R110" i="168"/>
  <c r="Q111" i="168"/>
  <c r="S111" i="168" s="1" a="1"/>
  <c r="S111" i="168" s="1"/>
  <c r="B286" i="171" s="1"/>
  <c r="R111" i="168"/>
  <c r="Q112" i="168"/>
  <c r="S112" i="168" s="1" a="1"/>
  <c r="S112" i="168" s="1"/>
  <c r="B287" i="171" s="1"/>
  <c r="R112" i="168"/>
  <c r="Q113" i="168"/>
  <c r="R113" i="168"/>
  <c r="Q114" i="168"/>
  <c r="S114" i="168" s="1" a="1"/>
  <c r="S114" i="168" s="1"/>
  <c r="B289" i="171" s="1"/>
  <c r="R114" i="168"/>
  <c r="Q115" i="168"/>
  <c r="S115" i="168" s="1" a="1"/>
  <c r="S115" i="168" s="1"/>
  <c r="B290" i="171" s="1"/>
  <c r="R115" i="168"/>
  <c r="Q116" i="168"/>
  <c r="S116" i="168" s="1" a="1"/>
  <c r="S116" i="168" s="1"/>
  <c r="B291" i="171" s="1"/>
  <c r="R116" i="168"/>
  <c r="Q117" i="168"/>
  <c r="S117" i="168" s="1" a="1"/>
  <c r="S117" i="168" s="1"/>
  <c r="B292" i="171" s="1"/>
  <c r="R117" i="168"/>
  <c r="Q118" i="168"/>
  <c r="S118" i="168" s="1" a="1"/>
  <c r="S118" i="168" s="1"/>
  <c r="B293" i="171"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B244" i="171"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B253" i="171" s="1"/>
  <c r="R78" i="168"/>
  <c r="Q79" i="168"/>
  <c r="S79" i="168" s="1" a="1"/>
  <c r="S79" i="168" s="1"/>
  <c r="B254" i="171" s="1"/>
  <c r="R79" i="168"/>
  <c r="Q80" i="168"/>
  <c r="S80" i="168" s="1" a="1"/>
  <c r="S80" i="168" s="1"/>
  <c r="B255" i="171" s="1"/>
  <c r="R80" i="168"/>
  <c r="Q81" i="168"/>
  <c r="R81" i="168"/>
  <c r="Q82" i="168"/>
  <c r="S82" i="168" s="1" a="1"/>
  <c r="S82" i="168" s="1"/>
  <c r="B257" i="171"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B231" i="171" s="1"/>
  <c r="Q57" i="168"/>
  <c r="R57" i="168"/>
  <c r="S57" i="168" a="1"/>
  <c r="S57" i="168" s="1"/>
  <c r="B232" i="171" s="1"/>
  <c r="Q58" i="168"/>
  <c r="R58" i="168"/>
  <c r="S58" i="168" a="1"/>
  <c r="S58" i="168" s="1"/>
  <c r="B233" i="171"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B239" i="171"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B193" i="171" s="1"/>
  <c r="S19" i="168" a="1"/>
  <c r="S19" i="168" s="1"/>
  <c r="B194" i="171" s="1"/>
  <c r="S20" i="168" a="1"/>
  <c r="S20" i="168" s="1"/>
  <c r="B195" i="171" s="1"/>
  <c r="S21" i="168" a="1"/>
  <c r="S21" i="168" s="1"/>
  <c r="B196" i="171" s="1"/>
  <c r="S22" i="168" a="1"/>
  <c r="S22" i="168" s="1"/>
  <c r="B197" i="171" s="1"/>
  <c r="S23" i="168" a="1"/>
  <c r="S23" i="168" s="1"/>
  <c r="B198" i="171" s="1"/>
  <c r="S24" i="168" a="1"/>
  <c r="S24" i="168" s="1"/>
  <c r="B199" i="171" s="1"/>
  <c r="S25" i="168" a="1"/>
  <c r="S25" i="168" s="1"/>
  <c r="B200" i="171" s="1"/>
  <c r="S26" i="168" a="1"/>
  <c r="S26" i="168" s="1"/>
  <c r="B201" i="171" s="1"/>
  <c r="S27" i="168" a="1"/>
  <c r="S27" i="168" s="1"/>
  <c r="B202" i="171" s="1"/>
  <c r="S28" i="168" a="1"/>
  <c r="S28" i="168" s="1"/>
  <c r="B203" i="171" s="1"/>
  <c r="S29" i="168" a="1"/>
  <c r="S29" i="168" s="1"/>
  <c r="B204" i="171" s="1"/>
  <c r="S30" i="168" a="1"/>
  <c r="S30" i="168" s="1"/>
  <c r="B205" i="171" s="1"/>
  <c r="S31" i="168" a="1"/>
  <c r="S31" i="168" s="1"/>
  <c r="B206" i="171" s="1"/>
  <c r="S32" i="168" a="1"/>
  <c r="S32" i="168" s="1"/>
  <c r="B207" i="171" s="1"/>
  <c r="S33" i="168" a="1"/>
  <c r="S33" i="168" s="1"/>
  <c r="B208" i="171" s="1"/>
  <c r="S34" i="168" a="1"/>
  <c r="S34" i="168" s="1"/>
  <c r="B209" i="171" s="1"/>
  <c r="S36" i="168" a="1"/>
  <c r="S36" i="168" s="1"/>
  <c r="B211" i="171" s="1"/>
  <c r="S37" i="168" a="1"/>
  <c r="S37" i="168" s="1"/>
  <c r="B212" i="171"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B220" i="171" s="1"/>
  <c r="S46" i="168" a="1"/>
  <c r="S46" i="168" s="1"/>
  <c r="B221" i="171" s="1"/>
  <c r="S48" i="168" a="1"/>
  <c r="S48" i="168" s="1"/>
  <c r="B223" i="171" s="1"/>
  <c r="S49" i="168" a="1"/>
  <c r="S49" i="168" s="1"/>
  <c r="B224" i="171" s="1"/>
  <c r="S50" i="168" a="1"/>
  <c r="S50" i="168" s="1"/>
  <c r="B225" i="171" s="1"/>
  <c r="S51" i="168" a="1"/>
  <c r="S51" i="168" s="1"/>
  <c r="B226" i="171" s="1"/>
  <c r="S52" i="168" a="1"/>
  <c r="S52" i="168" s="1"/>
  <c r="B227" i="171"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J30" i="169" s="1"/>
  <c r="S106" i="169" s="1" a="1"/>
  <c r="S106" i="169" s="1"/>
  <c r="B399" i="171" s="1"/>
  <c r="B30" i="169"/>
  <c r="I30" i="169" s="1"/>
  <c r="S105" i="169" s="1" a="1"/>
  <c r="S105" i="169" s="1"/>
  <c r="B398" i="171" s="1"/>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I26" i="168" s="1"/>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S18" i="137" s="1" a="1"/>
  <c r="S18" i="137" s="1"/>
  <c r="B23" i="138" s="1"/>
  <c r="M15" i="137"/>
  <c r="S19" i="137" s="1" a="1"/>
  <c r="S19" i="137" s="1"/>
  <c r="B24" i="138" s="1"/>
  <c r="B18" i="138"/>
  <c r="B17" i="138"/>
  <c r="B14" i="138"/>
  <c r="B15" i="138"/>
  <c r="B4" i="138"/>
  <c r="B8" i="138"/>
  <c r="N15" i="137"/>
  <c r="S20" i="137" s="1" a="1"/>
  <c r="S20" i="137" s="1"/>
  <c r="B25" i="138" s="1"/>
  <c r="J15" i="137"/>
  <c r="S16" i="137" s="1" a="1"/>
  <c r="S16" i="137" s="1"/>
  <c r="B21" i="138" s="1"/>
  <c r="B15" i="137"/>
  <c r="I15" i="137" s="1"/>
  <c r="J9" i="108" l="1"/>
  <c r="I16" i="159"/>
  <c r="S117" i="170" a="1"/>
  <c r="S117" i="170" s="1"/>
  <c r="B123" i="171" s="1"/>
  <c r="S81" i="168" a="1"/>
  <c r="S81" i="168" s="1"/>
  <c r="B256" i="171" s="1"/>
  <c r="S29" i="140" a="1"/>
  <c r="S29" i="140" s="1"/>
  <c r="S118" i="170" a="1"/>
  <c r="S118" i="170" s="1"/>
  <c r="B124" i="171" s="1"/>
  <c r="S157" i="146"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L23" i="108"/>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B22" i="171"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70" i="170" a="1"/>
  <c r="S170" i="170" s="1"/>
  <c r="B176" i="171" s="1"/>
  <c r="I16" i="170"/>
  <c r="S15" i="172" a="1"/>
  <c r="S15" i="172" s="1"/>
  <c r="I15" i="172"/>
  <c r="I16" i="172"/>
  <c r="I15" i="170"/>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C19" i="136" s="1"/>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20" i="161" l="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<sst xmlns="http://schemas.openxmlformats.org/spreadsheetml/2006/main" count="3005" uniqueCount="1369">
  <si>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</si>
  <si>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</si>
  <si>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</si>
  <si>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</si>
  <si>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</si>
  <si>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</si>
  <si>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</si>
  <si>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</si>
  <si>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</si>
  <si>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</si>
  <si>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</si>
  <si>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</si>
  <si>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</si>
  <si>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</si>
  <si>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</si>
  <si>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</si>
  <si>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</si>
  <si>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</si>
  <si>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</si>
  <si>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</si>
  <si>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</si>
  <si>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</si>
  <si>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</si>
  <si>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</si>
  <si>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</si>
  <si>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</si>
  <si>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</si>
  <si>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</si>
  <si>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</si>
  <si>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</si>
  <si>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</si>
  <si>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</si>
  <si>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</si>
  <si>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</si>
  <si>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</si>
  <si>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</si>
  <si>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</si>
  <si>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</si>
  <si>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</si>
  <si>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</si>
  <si>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</si>
  <si>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</si>
  <si>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</si>
  <si>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</si>
  <si>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</si>
  <si>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</si>
  <si>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</si>
  <si>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</si>
  <si>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</si>
  <si>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</si>
  <si>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</si>
  <si>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</si>
  <si>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</si>
  <si>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</si>
  <si>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</si>
  <si>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</si>
  <si>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</si>
  <si>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</si>
  <si>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</si>
  <si>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</si>
  <si>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</si>
  <si>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</si>
  <si>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</si>
  <si>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</si>
  <si>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</si>
  <si>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</si>
  <si>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</si>
  <si>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</si>
  <si>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</si>
  <si>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</si>
  <si>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</si>
  <si>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</si>
  <si>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</si>
  <si>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</si>
  <si>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</si>
  <si>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</si>
  <si>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</si>
  <si>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</si>
  <si>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</si>
  <si>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</si>
  <si>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</si>
  <si>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</si>
  <si>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</si>
  <si>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</si>
  <si>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</si>
  <si>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</si>
  <si>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</si>
  <si>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</si>
  <si>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</si>
  <si>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</si>
  <si>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</si>
  <si>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</si>
  <si>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</si>
  <si>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</si>
  <si>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</si>
  <si>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LOINC</t>
  </si>
  <si>
    <t>A.2.1</t>
  </si>
  <si>
    <t>A.2.2</t>
  </si>
  <si>
    <t>A.2.3</t>
  </si>
  <si>
    <t>A.2.4</t>
  </si>
  <si>
    <t>A.2.5</t>
  </si>
  <si>
    <t>SNOMED CT</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</si>
  <si>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</si>
  <si>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</si>
  <si>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</si>
  <si>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</si>
  <si>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</si>
  <si>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</si>
  <si>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</si>
  <si>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</si>
  <si>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</si>
  <si>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</si>
  <si>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</si>
  <si>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</si>
  <si>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</si>
  <si>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</si>
  <si>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</si>
  <si>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</si>
  <si>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</si>
  <si>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</si>
  <si>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</si>
  <si>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</si>
  <si>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</si>
  <si>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</si>
  <si>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</si>
  <si>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</si>
  <si>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</si>
  <si>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</si>
  <si>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</si>
  <si>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</si>
  <si>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</si>
  <si>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</si>
  <si>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</si>
  <si>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</si>
  <si>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</si>
  <si>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</si>
  <si>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</si>
  <si>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</si>
  <si>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</si>
  <si>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</si>
  <si>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</si>
  <si>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</si>
  <si>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</si>
  <si>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</si>
  <si>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</si>
  <si>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</si>
  <si>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</si>
  <si>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</si>
  <si>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</si>
  <si>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</si>
  <si>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</si>
  <si>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</si>
  <si>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</si>
  <si>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</si>
  <si>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</si>
  <si>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</si>
  <si>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</si>
  <si>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</si>
  <si>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</si>
  <si>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</si>
  <si>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</si>
  <si>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</si>
  <si>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</si>
  <si>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</si>
  <si>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</si>
  <si>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</si>
  <si>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</si>
  <si>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</si>
  <si>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</si>
  <si>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</si>
  <si>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</si>
  <si>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</si>
  <si>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</si>
  <si>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</si>
  <si>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</si>
  <si>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</si>
  <si>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</si>
  <si>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</si>
  <si>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</si>
  <si>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</si>
  <si>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</si>
  <si>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</si>
  <si>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</si>
  <si>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</si>
  <si>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</si>
  <si>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</si>
  <si>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</si>
  <si>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</si>
  <si>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</si>
  <si>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</si>
  <si>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</si>
  <si>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</si>
  <si>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</si>
  <si>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</si>
  <si>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specimen</t>
  </si>
  <si>
    <t>result</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</si>
  <si>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</si>
  <si>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</si>
  <si>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</si>
  <si>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</si>
  <si>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</si>
  <si>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</si>
  <si>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</si>
  <si>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</si>
  <si>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</si>
  <si>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</si>
  <si>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</si>
  <si>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</si>
  <si>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</si>
  <si>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</si>
  <si>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</si>
  <si>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</si>
  <si>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</si>
  <si>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</si>
  <si>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</si>
  <si>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</si>
  <si>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</si>
  <si>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</si>
  <si>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</si>
  <si>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</si>
  <si>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</si>
  <si>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</si>
  <si>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</si>
  <si>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</si>
  <si>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</si>
  <si>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</si>
  <si>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</si>
  <si>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</si>
  <si>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</si>
  <si>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</si>
  <si>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</si>
  <si>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</si>
  <si>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</si>
  <si>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</si>
  <si>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</si>
  <si>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</si>
  <si>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</si>
  <si>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</si>
  <si>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</si>
  <si>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</si>
  <si>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</si>
  <si>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</si>
  <si>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</si>
  <si>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</si>
  <si>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</si>
  <si>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</si>
  <si>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</si>
  <si>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</si>
  <si>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</si>
  <si>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</si>
  <si>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</si>
  <si>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</si>
  <si>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</si>
  <si>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</si>
  <si>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</si>
  <si>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</si>
  <si>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</si>
  <si>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</si>
  <si>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</si>
  <si>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</si>
  <si>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</si>
  <si>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</si>
  <si>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</si>
  <si>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</si>
  <si>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</si>
  <si>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</si>
  <si>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</si>
  <si>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</si>
  <si>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</si>
  <si>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</si>
  <si>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</si>
  <si>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</si>
  <si>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</si>
  <si>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</si>
  <si>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</si>
  <si>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</si>
  <si>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</si>
  <si>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</si>
  <si>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</si>
  <si>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</si>
  <si>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</si>
  <si>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</si>
  <si>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</si>
  <si>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</si>
  <si>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</si>
  <si>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</si>
  <si>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</si>
  <si>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</si>
  <si>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</si>
  <si>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</si>
  <si>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</si>
  <si>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</si>
  <si>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</si>
  <si>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</si>
  <si>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</si>
  <si>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</si>
  <si>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</si>
  <si>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</si>
  <si>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observation.performer</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</si>
  <si>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</si>
  <si>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</si>
  <si>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</si>
  <si>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</si>
  <si>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</si>
  <si>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</si>
  <si>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</si>
  <si>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</si>
  <si>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</si>
  <si>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</si>
  <si>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</si>
  <si>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</si>
  <si>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</si>
  <si>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</si>
  <si>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</si>
  <si>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</si>
  <si>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</si>
  <si>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</si>
  <si>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</si>
  <si>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</si>
  <si>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</si>
  <si>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</si>
  <si>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</si>
  <si>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</si>
  <si>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</si>
  <si>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</si>
  <si>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</si>
  <si>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</si>
  <si>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</si>
  <si>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</si>
  <si>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</si>
  <si>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</si>
  <si>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</si>
  <si>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</si>
  <si>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</si>
  <si>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</si>
  <si>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</si>
  <si>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</si>
  <si>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</si>
  <si>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</si>
  <si>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</si>
  <si>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</si>
  <si>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</si>
  <si>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</si>
  <si>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</si>
  <si>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</si>
  <si>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</si>
  <si>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</si>
  <si>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</si>
  <si>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</si>
  <si>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</si>
  <si>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</si>
  <si>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</si>
  <si>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</si>
  <si>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</si>
  <si>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</si>
  <si>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</si>
  <si>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</si>
  <si>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</si>
  <si>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</si>
  <si>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</si>
  <si>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</si>
  <si>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</si>
  <si>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</si>
  <si>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</si>
  <si>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</si>
  <si>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</si>
  <si>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</si>
  <si>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</si>
  <si>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</si>
  <si>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</si>
  <si>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</si>
  <si>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</si>
  <si>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</si>
  <si>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</si>
  <si>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</si>
  <si>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</si>
  <si>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</si>
  <si>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</si>
  <si>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</si>
  <si>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</si>
  <si>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</si>
  <si>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</si>
  <si>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</si>
  <si>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</si>
  <si>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</si>
  <si>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</si>
  <si>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</si>
  <si>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</si>
  <si>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</si>
  <si>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</si>
  <si>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</si>
  <si>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</si>
  <si>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</si>
  <si>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</si>
  <si>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</si>
  <si>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</si>
  <si>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</si>
  <si>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</si>
  <si>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</si>
  <si>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</si>
  <si>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</si>
  <si>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</si>
  <si>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</si>
  <si>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</si>
  <si>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</si>
  <si>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</si>
  <si>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</si>
  <si>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</si>
  <si>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</si>
  <si>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</si>
  <si>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</si>
  <si>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</si>
  <si>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</si>
  <si>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</si>
  <si>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</si>
  <si>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</si>
  <si>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</si>
  <si>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</si>
  <si>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</si>
  <si>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</si>
  <si>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</si>
  <si>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</si>
  <si>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</si>
  <si>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</si>
  <si>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</si>
  <si>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</si>
  <si>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</si>
  <si>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</si>
  <si>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</si>
  <si>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</si>
  <si>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</si>
  <si>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</si>
  <si>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</si>
  <si>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</si>
  <si>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</si>
  <si>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</si>
  <si>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</si>
  <si>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</si>
  <si>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</si>
  <si>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</si>
  <si>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</si>
  <si>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</si>
  <si>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</si>
  <si>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</si>
  <si>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</si>
  <si>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</si>
  <si>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</si>
  <si>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</si>
  <si>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</si>
  <si>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</si>
  <si>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</si>
  <si>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</si>
  <si>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</si>
  <si>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</si>
  <si>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</si>
  <si>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</si>
  <si>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</si>
  <si>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</si>
  <si>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</si>
  <si>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</si>
  <si>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</si>
  <si>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</si>
  <si>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</si>
  <si>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</si>
  <si>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</si>
  <si>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</si>
  <si>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</si>
  <si>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</si>
  <si>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</si>
  <si>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</si>
  <si>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</si>
  <si>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</si>
  <si>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</si>
  <si>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</si>
  <si>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</si>
  <si>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</si>
  <si>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</si>
  <si>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</si>
  <si>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</si>
  <si>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</si>
  <si>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</si>
  <si>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</si>
  <si>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</si>
  <si>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</si>
  <si>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</si>
  <si>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</si>
  <si>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</si>
  <si>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</si>
  <si>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</si>
  <si>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</si>
  <si>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</si>
  <si>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</si>
  <si>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</si>
  <si>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</si>
  <si>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</si>
  <si>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</si>
  <si>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</si>
  <si>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</si>
  <si>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</si>
  <si>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</si>
  <si>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</si>
  <si>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</si>
  <si>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</si>
  <si>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</si>
  <si>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</si>
  <si>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</si>
  <si>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</si>
  <si>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</si>
  <si>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</si>
  <si>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</si>
  <si>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</si>
  <si>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</si>
  <si>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</si>
  <si>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</si>
  <si>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</si>
  <si>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</si>
  <si>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</si>
  <si>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</si>
  <si>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</si>
  <si>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Specimen information. Section A4 of the eHN guideline.</t>
  </si>
  <si>
    <t>Results data elements. Section A5 of the eHN guideline.</t>
  </si>
  <si>
    <t>A.1.5 - Author</t>
  </si>
  <si>
    <t>A.1.3 - Health insurance and payment information</t>
  </si>
  <si>
    <t>A.1.6 - Legal authenticator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</si>
  <si>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</si>
  <si>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</si>
  <si>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</si>
  <si>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</si>
  <si>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</si>
  <si>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</si>
  <si>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</si>
  <si>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</si>
  <si>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</si>
  <si>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</si>
  <si>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</si>
  <si>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</si>
  <si>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</si>
  <si>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</si>
  <si>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</si>
  <si>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</si>
  <si>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</si>
  <si>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</si>
  <si>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</si>
  <si>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</si>
  <si>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</si>
  <si>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</si>
  <si>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</si>
  <si>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</si>
  <si>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</si>
  <si>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</si>
  <si>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</si>
  <si>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</si>
  <si>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</si>
  <si>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</si>
  <si>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</si>
  <si>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</si>
  <si>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</si>
  <si>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</si>
  <si>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</si>
  <si>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</si>
  <si>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</si>
  <si>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</si>
  <si>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</si>
  <si>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</si>
  <si>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</si>
  <si>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</si>
  <si>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</si>
  <si>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</si>
  <si>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</si>
  <si>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</si>
  <si>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</si>
  <si>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</si>
  <si>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</si>
  <si>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</si>
  <si>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</si>
  <si>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</si>
  <si>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</si>
  <si>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</si>
  <si>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</si>
  <si>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</si>
  <si>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</si>
  <si>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</si>
  <si>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</si>
  <si>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</si>
  <si>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</si>
  <si>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</si>
  <si>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</si>
  <si>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</si>
  <si>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</si>
  <si>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</si>
  <si>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</si>
  <si>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</si>
  <si>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</si>
  <si>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</si>
  <si>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</si>
  <si>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</si>
  <si>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</si>
  <si>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</si>
  <si>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</si>
  <si>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</si>
  <si>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</si>
  <si>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</si>
  <si>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</si>
  <si>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</si>
  <si>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</si>
  <si>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</si>
  <si>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</si>
  <si>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</si>
  <si>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</si>
  <si>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</si>
  <si>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</si>
  <si>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</si>
  <si>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</si>
  <si>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</si>
  <si>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</si>
  <si>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</si>
  <si>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</si>
  <si>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</si>
  <si>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</si>
  <si>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</si>
  <si>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</si>
  <si>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</si>
  <si>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</si>
  <si>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</si>
  <si>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</si>
  <si>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</si>
  <si>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</si>
  <si>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</si>
  <si>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</si>
  <si>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</si>
  <si>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</si>
  <si>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</si>
  <si>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</si>
  <si>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</si>
  <si>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</si>
  <si>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</si>
  <si>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</si>
  <si>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</si>
  <si>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</si>
  <si>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</si>
  <si>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</si>
  <si>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</si>
  <si>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</si>
  <si>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</si>
  <si>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</si>
  <si>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</si>
  <si>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</si>
  <si>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</si>
  <si>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</si>
  <si>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</si>
  <si>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</si>
  <si>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</si>
  <si>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</si>
  <si>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</si>
  <si>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</si>
  <si>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</si>
  <si>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</si>
  <si>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</si>
  <si>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</si>
  <si>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</si>
  <si>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</si>
  <si>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</si>
  <si>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</si>
  <si>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</si>
  <si>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</si>
  <si>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</si>
  <si>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</si>
  <si>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</si>
  <si>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</si>
  <si>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</si>
  <si>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</si>
  <si>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</si>
  <si>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</si>
  <si>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</si>
  <si>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</si>
  <si>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</si>
  <si>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</si>
  <si>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</si>
  <si>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</si>
  <si>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</si>
  <si>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</si>
  <si>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</si>
  <si>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</si>
  <si>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</si>
  <si>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</si>
  <si>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</si>
  <si>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</si>
  <si>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</si>
  <si>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</si>
  <si>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</si>
  <si>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</si>
  <si>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</si>
  <si>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</si>
  <si>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</si>
  <si>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</si>
  <si>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</si>
  <si>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</si>
  <si>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</si>
  <si>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</si>
  <si>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</si>
  <si>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</si>
  <si>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</si>
  <si>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</si>
  <si>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</si>
  <si>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</si>
  <si>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</si>
  <si>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</si>
  <si>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</si>
  <si>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</si>
  <si>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</si>
  <si>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</si>
  <si>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</si>
  <si>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</si>
  <si>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</si>
  <si>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</si>
  <si>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</si>
  <si>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</si>
  <si>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</si>
  <si>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</si>
  <si>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</si>
  <si>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</si>
  <si>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</si>
  <si>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</si>
  <si>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</si>
  <si>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</si>
  <si>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</si>
  <si>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</si>
  <si>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</si>
  <si>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</si>
  <si>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</si>
  <si>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</si>
  <si>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</si>
  <si>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</si>
  <si>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</si>
  <si>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</si>
  <si>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</si>
  <si>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</si>
  <si>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</si>
  <si>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</si>
  <si>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</si>
  <si>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</si>
  <si>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</si>
  <si>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</si>
  <si>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</si>
  <si>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</si>
  <si>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</si>
  <si>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</si>
  <si>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</si>
  <si>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</si>
  <si>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</si>
  <si>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</si>
  <si>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</si>
  <si>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</si>
  <si>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</si>
  <si>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</si>
  <si>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</si>
  <si>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</si>
  <si>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</si>
  <si>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</si>
  <si>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</si>
  <si>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</si>
  <si>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</si>
  <si>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</si>
  <si>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</si>
  <si>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</si>
  <si>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</si>
  <si>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</si>
  <si>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</si>
  <si>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</si>
  <si>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</si>
  <si>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</si>
  <si>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</si>
  <si>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</si>
  <si>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</si>
  <si>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</si>
  <si>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</si>
  <si>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</si>
  <si>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</si>
  <si>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</si>
  <si>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</si>
  <si>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</si>
  <si>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</si>
  <si>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</si>
  <si>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</si>
  <si>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</si>
  <si>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</si>
  <si>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</si>
  <si>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</si>
  <si>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</si>
  <si>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</si>
  <si>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</si>
  <si>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</si>
  <si>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</si>
  <si>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</si>
  <si>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</si>
  <si>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</si>
  <si>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</si>
  <si>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</si>
  <si>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</si>
  <si>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</si>
  <si>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</si>
  <si>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</si>
  <si>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</si>
  <si>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</si>
  <si>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</si>
  <si>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</si>
  <si>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</si>
  <si>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</si>
  <si>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</si>
  <si>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</si>
  <si>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</si>
  <si>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</si>
  <si>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</si>
  <si>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</si>
  <si>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</si>
  <si>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</si>
  <si>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</si>
  <si>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</si>
  <si>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</si>
  <si>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</si>
  <si>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</si>
  <si>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</si>
  <si>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</si>
  <si>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</si>
  <si>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</si>
  <si>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</si>
  <si>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</si>
  <si>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</si>
  <si>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</si>
  <si>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</si>
  <si>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</si>
  <si>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</si>
  <si>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</si>
  <si>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</si>
  <si>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</si>
  <si>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</si>
  <si>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</si>
  <si>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</si>
  <si>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</si>
  <si>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</si>
  <si>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</si>
  <si>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</si>
  <si>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</si>
  <si>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</si>
  <si>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</si>
  <si>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</si>
  <si>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</si>
  <si>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</si>
  <si>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</si>
  <si>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</si>
  <si>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</si>
  <si>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</si>
  <si>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</si>
  <si>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</si>
  <si>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</si>
  <si>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</si>
  <si>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</si>
  <si>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</si>
  <si>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</si>
  <si>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</si>
  <si>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</si>
  <si>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</si>
  <si>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</si>
  <si>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</si>
  <si>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</si>
  <si>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</si>
  <si>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</si>
  <si>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</si>
  <si>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</si>
  <si>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</si>
  <si>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</si>
  <si>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</si>
  <si>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</si>
  <si>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</si>
  <si>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</si>
  <si>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</si>
  <si>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</si>
  <si>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</si>
  <si>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</si>
  <si>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</si>
  <si>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</si>
  <si>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</si>
  <si>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</si>
  <si>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</si>
  <si>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</si>
  <si>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</si>
  <si>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</si>
  <si>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</si>
  <si>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</si>
  <si>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</si>
  <si>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</si>
  <si>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</si>
  <si>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</si>
  <si>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</si>
  <si>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</si>
  <si>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</si>
  <si>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</si>
  <si>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</si>
  <si>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</si>
  <si>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</si>
  <si>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</si>
  <si>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</si>
  <si>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</si>
  <si>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</si>
  <si>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</si>
  <si>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</si>
  <si>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</si>
  <si>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</si>
  <si>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</si>
  <si>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</si>
  <si>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</si>
  <si>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</si>
  <si>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</si>
  <si>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</si>
  <si>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</si>
  <si>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</si>
  <si>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</si>
  <si>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</si>
  <si>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</si>
  <si>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</si>
  <si>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</si>
  <si>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</si>
  <si>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</si>
  <si>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</si>
  <si>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</si>
  <si>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</si>
  <si>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</si>
  <si>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</si>
  <si>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</si>
  <si>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</si>
  <si>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</si>
  <si>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</si>
  <si>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</si>
  <si>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</si>
  <si>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</si>
  <si>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</si>
  <si>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</si>
  <si>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</si>
  <si>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</si>
  <si>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</si>
  <si>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</si>
  <si>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</si>
  <si>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</si>
  <si>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</si>
  <si>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</si>
  <si>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</si>
  <si>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</si>
  <si>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</si>
  <si>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</si>
  <si>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</si>
  <si>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</si>
  <si>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</si>
  <si>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</si>
  <si>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</si>
  <si>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</si>
  <si>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</si>
  <si>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</si>
  <si>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</si>
  <si>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</si>
  <si>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</si>
  <si>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</si>
  <si>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</si>
  <si>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</si>
  <si>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</si>
  <si>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</si>
  <si>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</si>
  <si>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</si>
  <si>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</si>
  <si>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</si>
  <si>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</si>
  <si>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</si>
  <si>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</si>
  <si>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</si>
  <si>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</si>
  <si>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</si>
  <si>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</si>
  <si>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</si>
  <si>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</si>
  <si>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</si>
  <si>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</si>
  <si>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</si>
  <si>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</si>
  <si>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</si>
  <si>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</si>
  <si>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</si>
  <si>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</si>
  <si>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</si>
  <si>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</si>
  <si>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</si>
  <si>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</si>
  <si>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</si>
  <si>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</si>
  <si>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</si>
  <si>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</si>
  <si>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</si>
  <si>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</si>
  <si>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</si>
  <si>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</si>
  <si>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</si>
  <si>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</si>
  <si>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</si>
  <si>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</si>
  <si>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</si>
  <si>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</si>
  <si>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</si>
  <si>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</si>
  <si>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</si>
  <si>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</si>
  <si>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</si>
  <si>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</si>
  <si>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</si>
  <si>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</si>
  <si>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</si>
  <si>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</si>
  <si>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</si>
  <si>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</si>
  <si>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</si>
  <si>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</si>
  <si>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</si>
  <si>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</si>
  <si>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</si>
  <si>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</si>
  <si>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</si>
  <si>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</si>
  <si>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</si>
  <si>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</si>
  <si>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</si>
  <si>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</si>
  <si>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</si>
  <si>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</si>
  <si>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</si>
  <si>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</si>
  <si>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</si>
  <si>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</si>
  <si>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</si>
  <si>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</si>
  <si>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</si>
  <si>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</si>
  <si>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</si>
  <si>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</si>
  <si>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</si>
  <si>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</si>
  <si>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</si>
  <si>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</si>
  <si>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</si>
  <si>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</si>
  <si>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</si>
  <si>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</si>
  <si>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</si>
  <si>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</si>
  <si>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</si>
  <si>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</si>
  <si>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</si>
  <si>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</si>
  <si>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</si>
  <si>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</si>
  <si>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</si>
  <si>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</si>
  <si>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</si>
  <si>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</si>
  <si>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</si>
  <si>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</si>
  <si>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</si>
  <si>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</si>
  <si>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</si>
  <si>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</si>
  <si>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</si>
  <si>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</si>
  <si>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</si>
  <si>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</si>
  <si>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</si>
  <si>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</si>
  <si>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</si>
  <si>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</si>
  <si>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</si>
  <si>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</si>
  <si>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</si>
  <si>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</si>
  <si>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</si>
  <si>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</si>
  <si>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</si>
  <si>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</si>
  <si>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</si>
  <si>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</si>
  <si>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</si>
  <si>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</si>
  <si>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</si>
  <si>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</si>
  <si>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</si>
  <si>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</si>
  <si>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</si>
  <si>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</si>
  <si>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</si>
  <si>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</si>
  <si>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</si>
  <si>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</si>
  <si>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</si>
  <si>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</si>
  <si>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</si>
  <si>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</si>
  <si>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</si>
  <si>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</si>
  <si>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</si>
  <si>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</si>
  <si>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</si>
  <si>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</si>
  <si>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</si>
  <si>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</si>
  <si>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</si>
  <si>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</si>
  <si>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</si>
  <si>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</si>
  <si>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</si>
  <si>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</si>
  <si>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</si>
  <si>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</si>
  <si>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</si>
  <si>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</si>
  <si>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</si>
  <si>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</si>
  <si>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</si>
  <si>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</si>
  <si>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</si>
  <si>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</si>
  <si>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</si>
  <si>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</si>
  <si>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</si>
  <si>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</si>
  <si>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</si>
  <si>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</si>
  <si>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</si>
  <si>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</si>
  <si>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</si>
  <si>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</si>
  <si>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</si>
  <si>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</si>
  <si>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</si>
  <si>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</si>
  <si>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</si>
  <si>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</si>
  <si>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</si>
  <si>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</si>
  <si>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</si>
  <si>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</si>
  <si>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</si>
  <si>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</si>
  <si>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</si>
  <si>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</si>
  <si>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</si>
  <si>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</si>
  <si>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</si>
  <si>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</si>
  <si>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</si>
  <si>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</si>
  <si>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</si>
  <si>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</si>
  <si>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</si>
  <si>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</si>
  <si>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</si>
  <si>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</si>
  <si>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</si>
  <si>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</si>
  <si>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</si>
  <si>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</si>
  <si>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</si>
  <si>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</si>
  <si>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</si>
  <si>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</si>
  <si>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</si>
  <si>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</si>
  <si>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</si>
  <si>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</si>
  <si>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</si>
  <si>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</si>
  <si>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</si>
  <si>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</si>
  <si>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</si>
  <si>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</si>
  <si>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</si>
  <si>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</si>
  <si>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</si>
  <si>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For FHIR R4 the more granular status is recorded in the DiagnosticReport.status. Mapping rules for valuing the Compisition.status are specified in http://hl7.eu/fhir/ig/xpandh/ps/ConceptMap/ConceptMap-eu-diagRptStatus2CompStatus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</si>
  <si>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</si>
  <si>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</si>
  <si>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</si>
  <si>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</si>
  <si>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</si>
  <si>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</si>
  <si>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</si>
  <si>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</si>
  <si>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</si>
  <si>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</si>
  <si>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</si>
  <si>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</si>
  <si>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</si>
  <si>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</si>
  <si>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</si>
  <si>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</si>
  <si>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</si>
  <si>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</si>
  <si>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</si>
  <si>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</si>
  <si>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</si>
  <si>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</si>
  <si>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</si>
  <si>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</si>
  <si>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</si>
  <si>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</si>
  <si>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</si>
  <si>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</si>
  <si>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</si>
  <si>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</si>
  <si>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</si>
  <si>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</si>
  <si>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</si>
  <si>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</si>
  <si>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</si>
  <si>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</si>
  <si>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</si>
  <si>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</si>
  <si>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</si>
  <si>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</si>
  <si>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</si>
  <si>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</si>
  <si>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</si>
  <si>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</si>
  <si>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</si>
  <si>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</si>
  <si>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</si>
  <si>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</si>
  <si>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</si>
  <si>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</si>
  <si>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</si>
  <si>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</si>
  <si>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</si>
  <si>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</si>
  <si>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</si>
  <si>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</si>
  <si>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</si>
  <si>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</si>
  <si>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</si>
  <si>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</si>
  <si>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</si>
  <si>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</si>
  <si>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</si>
  <si>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</si>
  <si>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</si>
  <si>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</si>
  <si>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</si>
  <si>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</si>
  <si>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</si>
  <si>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</si>
  <si>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</si>
  <si>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</si>
  <si>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</si>
  <si>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</si>
  <si>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</si>
  <si>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</si>
  <si>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</si>
  <si>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</si>
  <si>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</si>
  <si>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</si>
  <si>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</si>
  <si>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</si>
  <si>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</si>
  <si>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</si>
  <si>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</si>
  <si>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</si>
  <si>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</si>
  <si>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</si>
  <si>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</si>
  <si>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</si>
  <si>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</si>
  <si>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</si>
  <si>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</si>
  <si>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</si>
  <si>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</si>
  <si>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</si>
  <si>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</si>
  <si>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</si>
  <si>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</si>
  <si>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</si>
  <si>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</si>
  <si>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</si>
  <si>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</si>
  <si>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</si>
  <si>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A.5.2.8 Vaccination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</si>
  <si>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</si>
  <si>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</si>
  <si>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extension:basedOn-vaccination-or-requisition.insurance</t>
  </si>
  <si>
    <t>extension(http://hl7.eu/fhir/ig/xpandh/ps/StructureDefinition/composition-basedOn-vaccination-or-requisition).resolve().ofType(ServiceRequest).insurance.resolve().ofType(Coverage)</t>
  </si>
  <si>
    <t>extension(http://hl7.eu/fhir/ig/xpandh/ps/StructureDefinition/composition-basedOn-vaccination-or-requisition).resolve().ofType(ServiceRequest)</t>
  </si>
  <si>
    <t>vaccination2FHIR-eu-ps</t>
  </si>
  <si>
    <t>vaccination-to-fhir-map.fsh</t>
  </si>
  <si>
    <t>A.1.4 Information recipient (intended recipient or recipients of the report, additional recipients might be identified by the vaccinationing party, e.g. GP, other specialist), if applicable</t>
  </si>
  <si>
    <t>observation.vaccination</t>
  </si>
  <si>
    <t>Identifies vaccination and vaccination placer this observation belongs to.</t>
  </si>
  <si>
    <t xml:space="preserve">Identifies vaccination and vaccination placer this observation belongs to. </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</si>
  <si>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</si>
  <si>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</si>
  <si>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</si>
  <si>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</si>
  <si>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</si>
  <si>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</si>
  <si>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</si>
  <si>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</si>
  <si>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</si>
  <si>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</si>
  <si>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</si>
  <si>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</si>
  <si>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</si>
  <si>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</si>
  <si>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</si>
  <si>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</si>
  <si>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</si>
  <si>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</si>
  <si>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</si>
  <si>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</si>
  <si>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</si>
  <si>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</si>
  <si>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</si>
  <si>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</si>
  <si>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</si>
  <si>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</si>
  <si>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</si>
  <si>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</si>
  <si>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</si>
  <si>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</si>
  <si>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</si>
  <si>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</si>
  <si>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</si>
  <si>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</si>
  <si>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</si>
  <si>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</si>
  <si>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</si>
  <si>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</si>
  <si>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</si>
  <si>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</si>
  <si>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</si>
  <si>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</si>
  <si>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</si>
  <si>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</si>
  <si>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</si>
  <si>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</si>
  <si>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</si>
  <si>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</si>
  <si>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</si>
  <si>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</si>
  <si>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</si>
  <si>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</si>
  <si>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</si>
  <si>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Medicine2FHIR-eu-ps</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</si>
  <si>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</si>
  <si>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</si>
  <si>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</si>
  <si>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</si>
  <si>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</si>
  <si>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</si>
  <si>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</si>
  <si>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</si>
  <si>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</si>
  <si>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</si>
  <si>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</si>
  <si>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</si>
  <si>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</si>
  <si>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</si>
  <si>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relatedTo</t>
  </si>
  <si>
    <t>effectivePeriod.start</t>
  </si>
  <si>
    <t>medicine-to-fhir-map.fsh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</si>
</sst>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0" fillId="10" borderId="1" xfId="0" applyFill="1" applyBorder="1"/>
    <xf numFmtId="0" fontId="0" fillId="11" borderId="1" xfId="0" applyFill="1" applyBorder="1"/>
    <xf numFmtId="0" fontId="0" fillId="12"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3" borderId="0" xfId="0" applyFill="1"/>
    <xf numFmtId="0" fontId="0" fillId="4" borderId="0" xfId="0" applyFill="1"/>
    <xf numFmtId="0" fontId="14" fillId="11"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4" borderId="4" xfId="0" applyFill="1" applyBorder="1" applyAlignment="1">
      <alignment wrapText="1"/>
    </xf>
    <xf numFmtId="0" fontId="2" fillId="14" borderId="0" xfId="1" applyFill="1"/>
    <xf numFmtId="0" fontId="0" fillId="14" borderId="0" xfId="0" applyFill="1"/>
    <xf numFmtId="49" fontId="0" fillId="15"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6"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4" fillId="11"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9"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6"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9"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3" borderId="1" xfId="0" applyFill="1" applyBorder="1"/>
    <xf numFmtId="0" fontId="7" fillId="0" borderId="3" xfId="0" applyFont="1" applyBorder="1" applyAlignment="1">
      <alignment wrapText="1"/>
    </xf>
    <xf numFmtId="0" fontId="0" fillId="0" borderId="38" xfId="0" applyBorder="1"/>
    <xf numFmtId="0" fontId="0" fillId="3" borderId="3" xfId="0" applyFill="1" applyBorder="1"/>
    <xf numFmtId="0" fontId="0" fillId="17" borderId="1" xfId="0" applyFill="1" applyBorder="1"/>
    <xf numFmtId="0" fontId="0" fillId="18" borderId="1" xfId="0"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0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0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2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B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D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0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4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7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9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C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F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2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6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hl7.eu/fhir/laboratory/StructureDefinition/LabReport"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14.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6.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3.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4.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5" t="s">
        <v>39</v>
      </c>
      <c r="C3" s="126"/>
      <c r="D3" s="34" t="s">
        <v>40</v>
      </c>
      <c r="E3" s="34" t="s">
        <v>41</v>
      </c>
    </row>
    <row r="4" spans="2:5" ht="16.75" thickBot="1" x14ac:dyDescent="0.9">
      <c r="B4" s="127" t="s">
        <v>575</v>
      </c>
      <c r="C4" s="128"/>
      <c r="D4" s="128"/>
      <c r="E4" s="129"/>
    </row>
    <row r="5" spans="2:5" ht="16.75" thickBot="1" x14ac:dyDescent="0.9">
      <c r="B5" s="127" t="s">
        <v>190</v>
      </c>
      <c r="C5" s="128"/>
      <c r="D5" s="128"/>
      <c r="E5" s="129"/>
    </row>
    <row r="6" spans="2:5" ht="32.75" thickBot="1" x14ac:dyDescent="0.9">
      <c r="B6" s="35" t="s">
        <v>43</v>
      </c>
      <c r="C6" s="35" t="s">
        <v>576</v>
      </c>
      <c r="D6" t="s">
        <v>577</v>
      </c>
      <c r="E6" s="94"/>
    </row>
    <row r="7" spans="2:5" ht="48.75" thickBot="1" x14ac:dyDescent="0.9">
      <c r="B7" s="35" t="s">
        <v>45</v>
      </c>
      <c r="C7" s="36" t="s">
        <v>44</v>
      </c>
      <c r="D7" s="36" t="s">
        <v>183</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5" t="s">
        <v>53</v>
      </c>
      <c r="C10" s="95" t="s">
        <v>54</v>
      </c>
      <c r="D10" s="96" t="s">
        <v>578</v>
      </c>
      <c r="E10" s="95" t="s">
        <v>55</v>
      </c>
    </row>
    <row r="11" spans="2:5" ht="32.75" thickBot="1" x14ac:dyDescent="0.9">
      <c r="B11" s="95" t="s">
        <v>53</v>
      </c>
      <c r="C11" s="95" t="s">
        <v>579</v>
      </c>
      <c r="D11" s="39" t="s">
        <v>580</v>
      </c>
      <c r="E11" s="95" t="s">
        <v>513</v>
      </c>
    </row>
    <row r="12" spans="2:5" ht="16.75" thickBot="1" x14ac:dyDescent="0.9">
      <c r="B12" s="130" t="s">
        <v>581</v>
      </c>
      <c r="C12" s="131"/>
      <c r="D12" s="131"/>
      <c r="E12" s="132"/>
    </row>
    <row r="13" spans="2:5" ht="16.75" thickBot="1" x14ac:dyDescent="0.9">
      <c r="B13" s="133" t="s">
        <v>582</v>
      </c>
      <c r="C13" s="134"/>
      <c r="D13" s="134"/>
      <c r="E13" s="135"/>
    </row>
    <row r="14" spans="2:5" ht="15.5" thickBot="1" x14ac:dyDescent="0.9">
      <c r="B14" s="82" t="s">
        <v>56</v>
      </c>
      <c r="C14" s="83" t="s">
        <v>583</v>
      </c>
      <c r="D14" s="83" t="s">
        <v>189</v>
      </c>
      <c r="E14" s="83"/>
    </row>
    <row r="15" spans="2:5" ht="15.5" thickBot="1" x14ac:dyDescent="0.9">
      <c r="B15" s="84" t="s">
        <v>584</v>
      </c>
      <c r="C15" s="85" t="s">
        <v>585</v>
      </c>
      <c r="D15" s="85" t="s">
        <v>586</v>
      </c>
      <c r="E15" s="85"/>
    </row>
    <row r="16" spans="2:5" ht="15.5" thickBot="1" x14ac:dyDescent="0.9">
      <c r="B16" s="84" t="s">
        <v>587</v>
      </c>
      <c r="C16" s="85" t="s">
        <v>588</v>
      </c>
      <c r="D16" s="85" t="s">
        <v>589</v>
      </c>
      <c r="E16" s="85"/>
    </row>
    <row r="17" spans="2:5" ht="15.5" thickBot="1" x14ac:dyDescent="0.9">
      <c r="B17" s="84" t="s">
        <v>590</v>
      </c>
      <c r="C17" s="85" t="s">
        <v>591</v>
      </c>
      <c r="D17" s="85" t="s">
        <v>592</v>
      </c>
      <c r="E17" s="85"/>
    </row>
    <row r="18" spans="2:5" ht="15.5" thickBot="1" x14ac:dyDescent="0.9">
      <c r="B18" s="84" t="s">
        <v>593</v>
      </c>
      <c r="C18" s="85" t="s">
        <v>594</v>
      </c>
      <c r="D18" s="85" t="s">
        <v>595</v>
      </c>
      <c r="E18" s="85"/>
    </row>
    <row r="19" spans="2:5" ht="15.5" thickBot="1" x14ac:dyDescent="0.9">
      <c r="B19" s="84" t="s">
        <v>596</v>
      </c>
      <c r="C19" s="85" t="s">
        <v>597</v>
      </c>
      <c r="D19" s="85" t="s">
        <v>598</v>
      </c>
      <c r="E19" s="85"/>
    </row>
    <row r="20" spans="2:5" ht="15.5" thickBot="1" x14ac:dyDescent="0.9">
      <c r="B20" s="84" t="s">
        <v>606</v>
      </c>
      <c r="C20" s="85" t="s">
        <v>510</v>
      </c>
      <c r="D20" s="85" t="s">
        <v>599</v>
      </c>
      <c r="E20" s="85" t="s">
        <v>513</v>
      </c>
    </row>
    <row r="21" spans="2:5" ht="15.5" thickBot="1" x14ac:dyDescent="0.9">
      <c r="B21" s="84" t="s">
        <v>600</v>
      </c>
      <c r="C21" s="85" t="s">
        <v>601</v>
      </c>
      <c r="D21" s="85" t="s">
        <v>602</v>
      </c>
      <c r="E21" s="85"/>
    </row>
    <row r="22" spans="2:5" ht="15.5" thickBot="1" x14ac:dyDescent="0.9">
      <c r="B22" s="84" t="s">
        <v>603</v>
      </c>
      <c r="C22" s="85" t="s">
        <v>604</v>
      </c>
      <c r="D22" s="85" t="s">
        <v>605</v>
      </c>
      <c r="E22" s="85"/>
    </row>
    <row r="23" spans="2:5" ht="42.75" customHeight="1" thickBot="1" x14ac:dyDescent="0.9">
      <c r="B23" s="130" t="s">
        <v>607</v>
      </c>
      <c r="C23" s="131"/>
      <c r="D23" s="131"/>
      <c r="E23" s="132"/>
    </row>
    <row r="24" spans="2:5" ht="30.25" thickBot="1" x14ac:dyDescent="0.9">
      <c r="B24" s="82" t="s">
        <v>608</v>
      </c>
      <c r="C24" s="83" t="s">
        <v>609</v>
      </c>
      <c r="D24" s="83" t="s">
        <v>610</v>
      </c>
      <c r="E24" s="83"/>
    </row>
    <row r="25" spans="2:5" ht="15.5" thickBot="1" x14ac:dyDescent="0.9">
      <c r="B25" s="84" t="s">
        <v>611</v>
      </c>
      <c r="C25" s="85" t="s">
        <v>612</v>
      </c>
      <c r="D25" s="85" t="s">
        <v>613</v>
      </c>
      <c r="E25" s="85"/>
    </row>
    <row r="26" spans="2:5" ht="15.5" thickBot="1" x14ac:dyDescent="0.9">
      <c r="B26" s="84" t="s">
        <v>614</v>
      </c>
      <c r="C26" s="85" t="s">
        <v>615</v>
      </c>
      <c r="D26" s="85" t="s">
        <v>616</v>
      </c>
      <c r="E26" s="85"/>
    </row>
    <row r="27" spans="2:5" ht="15.5" thickBot="1" x14ac:dyDescent="0.9">
      <c r="B27" s="84" t="s">
        <v>617</v>
      </c>
      <c r="C27" s="85" t="s">
        <v>601</v>
      </c>
      <c r="D27" s="85" t="s">
        <v>618</v>
      </c>
      <c r="E27" s="85"/>
    </row>
    <row r="28" spans="2:5" ht="15.5" thickBot="1" x14ac:dyDescent="0.9">
      <c r="B28" s="84" t="s">
        <v>619</v>
      </c>
      <c r="C28" s="85" t="s">
        <v>604</v>
      </c>
      <c r="D28" s="85" t="s">
        <v>620</v>
      </c>
      <c r="E28" s="85"/>
    </row>
    <row r="29" spans="2:5" ht="30.25" thickBot="1" x14ac:dyDescent="0.9">
      <c r="B29" s="84" t="s">
        <v>621</v>
      </c>
      <c r="C29" s="85" t="s">
        <v>622</v>
      </c>
      <c r="D29" s="85" t="s">
        <v>623</v>
      </c>
      <c r="E29" s="85"/>
    </row>
    <row r="30" spans="2:5" ht="30.25" thickBot="1" x14ac:dyDescent="0.9">
      <c r="B30" s="84" t="s">
        <v>624</v>
      </c>
      <c r="C30" s="85" t="s">
        <v>625</v>
      </c>
      <c r="D30" s="85" t="s">
        <v>626</v>
      </c>
      <c r="E30" s="85"/>
    </row>
    <row r="31" spans="2:5" ht="16.75" thickBot="1" x14ac:dyDescent="0.9">
      <c r="B31" s="130" t="s">
        <v>627</v>
      </c>
      <c r="C31" s="131"/>
      <c r="D31" s="131"/>
      <c r="E31" s="132"/>
    </row>
    <row r="32" spans="2:5" ht="30.25" thickBot="1" x14ac:dyDescent="0.9">
      <c r="B32" s="82" t="s">
        <v>628</v>
      </c>
      <c r="C32" s="83" t="s">
        <v>629</v>
      </c>
      <c r="D32" s="83" t="s">
        <v>630</v>
      </c>
      <c r="E32" s="83" t="s">
        <v>631</v>
      </c>
    </row>
    <row r="33" spans="2:8" ht="30.25" thickBot="1" x14ac:dyDescent="0.9">
      <c r="B33" s="84" t="s">
        <v>632</v>
      </c>
      <c r="C33" s="85" t="s">
        <v>633</v>
      </c>
      <c r="D33" s="85" t="s">
        <v>634</v>
      </c>
      <c r="E33" s="85"/>
    </row>
    <row r="34" spans="2:8" ht="30.25" thickBot="1" x14ac:dyDescent="0.9">
      <c r="B34" s="84" t="s">
        <v>635</v>
      </c>
      <c r="C34" s="85" t="s">
        <v>636</v>
      </c>
      <c r="D34" s="85" t="s">
        <v>637</v>
      </c>
      <c r="E34" s="85"/>
    </row>
    <row r="35" spans="2:8" x14ac:dyDescent="0.75">
      <c r="B35" s="137" t="s">
        <v>638</v>
      </c>
      <c r="C35" s="137" t="s">
        <v>44</v>
      </c>
      <c r="D35" s="40" t="s">
        <v>639</v>
      </c>
      <c r="E35" s="137"/>
    </row>
    <row r="36" spans="2:8" ht="15.5" thickBot="1" x14ac:dyDescent="0.9">
      <c r="B36" s="138"/>
      <c r="C36" s="138"/>
      <c r="D36" s="85" t="s">
        <v>640</v>
      </c>
      <c r="E36" s="138"/>
    </row>
    <row r="37" spans="2:8" ht="15.5" thickBot="1" x14ac:dyDescent="0.9">
      <c r="B37" s="84" t="s">
        <v>641</v>
      </c>
      <c r="C37" s="85" t="s">
        <v>601</v>
      </c>
      <c r="D37" s="85" t="s">
        <v>618</v>
      </c>
      <c r="E37" s="85"/>
    </row>
    <row r="38" spans="2:8" ht="15.5" thickBot="1" x14ac:dyDescent="0.9">
      <c r="B38" s="84" t="s">
        <v>642</v>
      </c>
      <c r="C38" s="85" t="s">
        <v>604</v>
      </c>
      <c r="D38" s="85" t="s">
        <v>643</v>
      </c>
      <c r="E38" s="85"/>
    </row>
    <row r="39" spans="2:8" ht="19.5" customHeight="1" x14ac:dyDescent="0.75">
      <c r="B39" s="136" t="s">
        <v>644</v>
      </c>
      <c r="C39" s="134"/>
      <c r="D39" s="134"/>
      <c r="E39" s="134"/>
    </row>
    <row r="40" spans="2:8" ht="15.5" thickBot="1" x14ac:dyDescent="0.9">
      <c r="B40" s="84" t="s">
        <v>60</v>
      </c>
      <c r="C40" s="85" t="s">
        <v>645</v>
      </c>
      <c r="D40" s="85" t="s">
        <v>646</v>
      </c>
      <c r="E40" s="85"/>
    </row>
    <row r="41" spans="2:8" ht="15.5" thickBot="1" x14ac:dyDescent="0.9">
      <c r="B41" s="101"/>
      <c r="C41" s="101"/>
      <c r="D41" s="101"/>
      <c r="E41" s="101"/>
    </row>
    <row r="42" spans="2:8" ht="15.5" thickBot="1" x14ac:dyDescent="0.9">
      <c r="B42" s="106" t="s">
        <v>791</v>
      </c>
      <c r="C42" s="107" t="s">
        <v>792</v>
      </c>
      <c r="D42" s="103"/>
      <c r="E42" s="103"/>
      <c r="H42" t="str">
        <f>B42&amp;" "&amp;C42</f>
        <v>A.1.4 Document data</v>
      </c>
    </row>
    <row r="43" spans="2:8" ht="15.5" thickBot="1" x14ac:dyDescent="0.9">
      <c r="B43" s="104" t="s">
        <v>71</v>
      </c>
      <c r="C43" s="105" t="s">
        <v>793</v>
      </c>
      <c r="D43" s="105" t="s">
        <v>794</v>
      </c>
      <c r="E43" s="105" t="s">
        <v>94</v>
      </c>
    </row>
    <row r="44" spans="2:8" ht="30.25" thickBot="1" x14ac:dyDescent="0.9">
      <c r="B44" s="104" t="s">
        <v>73</v>
      </c>
      <c r="C44" s="105" t="s">
        <v>795</v>
      </c>
      <c r="D44" s="105" t="s">
        <v>796</v>
      </c>
      <c r="E44" s="105"/>
    </row>
    <row r="45" spans="2:8" ht="59.75" thickBot="1" x14ac:dyDescent="0.9">
      <c r="B45" s="104" t="s">
        <v>76</v>
      </c>
      <c r="C45" s="105" t="s">
        <v>797</v>
      </c>
      <c r="D45" s="105" t="s">
        <v>798</v>
      </c>
      <c r="E45" s="105"/>
    </row>
    <row r="46" spans="2:8" ht="15.5" thickBot="1" x14ac:dyDescent="0.9">
      <c r="B46" s="104"/>
      <c r="C46" s="105"/>
      <c r="D46" s="105"/>
      <c r="E46" s="105"/>
    </row>
    <row r="47" spans="2:8" ht="15.5" thickBot="1" x14ac:dyDescent="0.9">
      <c r="B47" s="104"/>
      <c r="C47" s="105"/>
      <c r="D47" s="105"/>
      <c r="E47" s="105"/>
    </row>
    <row r="48" spans="2:8" ht="15.5" thickBot="1" x14ac:dyDescent="0.9">
      <c r="B48" s="108" t="s">
        <v>799</v>
      </c>
      <c r="C48" s="109" t="s">
        <v>800</v>
      </c>
      <c r="D48" s="105"/>
      <c r="E48" s="105"/>
      <c r="H48" t="str">
        <f>B48&amp;" "&amp;C48</f>
        <v>A.1.5 Author and Organisation</v>
      </c>
    </row>
    <row r="49" spans="2:8" ht="104" thickBot="1" x14ac:dyDescent="0.9">
      <c r="B49" s="104" t="s">
        <v>79</v>
      </c>
      <c r="C49" s="105" t="s">
        <v>801</v>
      </c>
      <c r="D49" s="105" t="s">
        <v>802</v>
      </c>
      <c r="E49" s="105"/>
    </row>
    <row r="50" spans="2:8" ht="30.25" thickBot="1" x14ac:dyDescent="0.9">
      <c r="B50" s="104" t="s">
        <v>81</v>
      </c>
      <c r="C50" s="105" t="s">
        <v>803</v>
      </c>
      <c r="D50" s="105" t="s">
        <v>804</v>
      </c>
      <c r="E50" s="105"/>
    </row>
    <row r="51" spans="2:8" ht="15.5" thickBot="1" x14ac:dyDescent="0.9">
      <c r="B51" s="104"/>
      <c r="C51" s="105"/>
      <c r="D51" s="105"/>
      <c r="E51" s="105"/>
    </row>
    <row r="52" spans="2:8" ht="15.5" thickBot="1" x14ac:dyDescent="0.9">
      <c r="B52" s="104"/>
      <c r="C52" s="105"/>
      <c r="D52" s="105"/>
      <c r="E52" s="105"/>
    </row>
    <row r="53" spans="2:8" ht="30.25" thickBot="1" x14ac:dyDescent="0.9">
      <c r="B53" s="108" t="s">
        <v>805</v>
      </c>
      <c r="C53" s="109" t="s">
        <v>806</v>
      </c>
      <c r="D53" s="105"/>
      <c r="E53" s="105"/>
      <c r="H53" t="str">
        <f>B53&amp;" "&amp;C53</f>
        <v>A.1.6 Additional information / Knowledge resources</v>
      </c>
    </row>
    <row r="54" spans="2:8" ht="74.5" thickBot="1" x14ac:dyDescent="0.9">
      <c r="B54" s="104" t="s">
        <v>86</v>
      </c>
      <c r="C54" s="105" t="s">
        <v>807</v>
      </c>
      <c r="D54" s="105" t="s">
        <v>808</v>
      </c>
      <c r="E54" s="105"/>
    </row>
    <row r="55" spans="2:8" ht="59.75" thickBot="1" x14ac:dyDescent="0.9">
      <c r="B55" s="104" t="s">
        <v>88</v>
      </c>
      <c r="C55" s="105" t="s">
        <v>625</v>
      </c>
      <c r="D55" s="105" t="s">
        <v>809</v>
      </c>
      <c r="E55" s="105"/>
    </row>
    <row r="56" spans="2:8" x14ac:dyDescent="0.75">
      <c r="B56" s="101"/>
      <c r="C56" s="101"/>
      <c r="D56" s="101"/>
      <c r="E56" s="101"/>
    </row>
    <row r="57" spans="2:8" x14ac:dyDescent="0.75">
      <c r="B57" s="101"/>
      <c r="C57" s="101"/>
      <c r="D57" s="101"/>
      <c r="E57" s="101"/>
    </row>
    <row r="58" spans="2:8" x14ac:dyDescent="0.75">
      <c r="B58" s="101"/>
      <c r="C58" s="101"/>
      <c r="D58" s="101"/>
      <c r="E58" s="101"/>
    </row>
    <row r="59" spans="2:8" x14ac:dyDescent="0.75">
      <c r="B59" s="101"/>
      <c r="C59" s="101"/>
      <c r="D59" s="101"/>
      <c r="E59" s="101"/>
    </row>
    <row r="60" spans="2:8" x14ac:dyDescent="0.75">
      <c r="B60" s="101"/>
      <c r="C60" s="101"/>
      <c r="D60" s="101"/>
      <c r="E60" s="101"/>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55" zoomScale="130" zoomScaleNormal="130" workbookViewId="0">
      <selection activeCell="A61" sqref="A61"/>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12" t="s">
        <v>40</v>
      </c>
      <c r="E3" s="112" t="s">
        <v>41</v>
      </c>
    </row>
    <row r="4" spans="1:5" ht="16" x14ac:dyDescent="0.75">
      <c r="B4" s="113"/>
      <c r="C4" s="113"/>
      <c r="D4" s="113"/>
      <c r="E4" s="113"/>
    </row>
    <row r="5" spans="1:5" ht="29.5" x14ac:dyDescent="0.75">
      <c r="B5" s="115" t="s">
        <v>864</v>
      </c>
      <c r="C5" s="115" t="s">
        <v>840</v>
      </c>
      <c r="D5" s="14"/>
      <c r="E5" s="14"/>
    </row>
    <row r="6" spans="1:5" x14ac:dyDescent="0.75">
      <c r="A6" t="str">
        <f>B6&amp;" - "&amp;C6</f>
        <v>A.2.1 - Alerts</v>
      </c>
      <c r="B6" s="115" t="s">
        <v>96</v>
      </c>
      <c r="C6" s="115" t="s">
        <v>841</v>
      </c>
      <c r="D6" s="14"/>
      <c r="E6" s="14"/>
    </row>
    <row r="7" spans="1:5" x14ac:dyDescent="0.75">
      <c r="A7" t="str">
        <f>B7&amp;" - "&amp;C7</f>
        <v>A.2.1.1 - Allergy</v>
      </c>
      <c r="B7" s="115" t="s">
        <v>865</v>
      </c>
      <c r="C7" s="115" t="s">
        <v>842</v>
      </c>
      <c r="D7" s="14"/>
      <c r="E7" s="14"/>
    </row>
    <row r="8" spans="1:5" x14ac:dyDescent="0.75">
      <c r="A8" t="str">
        <f t="shared" ref="A8:A17" si="0">B8&amp;" - "&amp;C8</f>
        <v>A.2.1.1.1 - Allergy description</v>
      </c>
      <c r="B8" s="116" t="s">
        <v>866</v>
      </c>
      <c r="C8" s="116" t="s">
        <v>843</v>
      </c>
      <c r="D8" s="116" t="s">
        <v>844</v>
      </c>
      <c r="E8" s="14"/>
    </row>
    <row r="9" spans="1:5" ht="29.5" x14ac:dyDescent="0.75">
      <c r="A9" t="str">
        <f t="shared" si="0"/>
        <v>A.2.1.1.2 - Type of propensity</v>
      </c>
      <c r="B9" s="116" t="s">
        <v>867</v>
      </c>
      <c r="C9" s="116" t="s">
        <v>845</v>
      </c>
      <c r="D9" s="116" t="s">
        <v>846</v>
      </c>
      <c r="E9" s="116" t="s">
        <v>847</v>
      </c>
    </row>
    <row r="10" spans="1:5" ht="29.5" x14ac:dyDescent="0.75">
      <c r="A10" t="str">
        <f t="shared" si="0"/>
        <v>A.2.1.1.3 - Allergy manifestation</v>
      </c>
      <c r="B10" s="116" t="s">
        <v>868</v>
      </c>
      <c r="C10" s="116" t="s">
        <v>848</v>
      </c>
      <c r="D10" s="116" t="s">
        <v>849</v>
      </c>
      <c r="E10" s="116" t="s">
        <v>847</v>
      </c>
    </row>
    <row r="11" spans="1:5" x14ac:dyDescent="0.75">
      <c r="A11" t="str">
        <f t="shared" si="0"/>
        <v>A.2.1.1.4 - Severity Severity</v>
      </c>
      <c r="B11" s="116" t="s">
        <v>869</v>
      </c>
      <c r="C11" s="116" t="s">
        <v>850</v>
      </c>
      <c r="D11" s="116" t="s">
        <v>851</v>
      </c>
      <c r="E11" s="116" t="s">
        <v>847</v>
      </c>
    </row>
    <row r="12" spans="1:5" ht="29.5" x14ac:dyDescent="0.75">
      <c r="A12" t="str">
        <f t="shared" si="0"/>
        <v>A.2.1.1.5 - Criticality</v>
      </c>
      <c r="B12" s="116" t="s">
        <v>870</v>
      </c>
      <c r="C12" s="116" t="s">
        <v>852</v>
      </c>
      <c r="D12" s="116" t="s">
        <v>853</v>
      </c>
      <c r="E12" s="116" t="s">
        <v>847</v>
      </c>
    </row>
    <row r="13" spans="1:5" x14ac:dyDescent="0.75">
      <c r="A13" t="str">
        <f t="shared" si="0"/>
        <v>A.2.1.1.6 - Onset date</v>
      </c>
      <c r="B13" s="116" t="s">
        <v>871</v>
      </c>
      <c r="C13" s="116" t="s">
        <v>854</v>
      </c>
      <c r="D13" s="116" t="s">
        <v>855</v>
      </c>
      <c r="E13" s="14"/>
    </row>
    <row r="14" spans="1:5" ht="29.5" x14ac:dyDescent="0.75">
      <c r="A14" t="str">
        <f t="shared" si="0"/>
        <v>A.2.1.1.7 - End Date</v>
      </c>
      <c r="B14" s="116" t="s">
        <v>872</v>
      </c>
      <c r="C14" s="116" t="s">
        <v>856</v>
      </c>
      <c r="D14" s="116" t="s">
        <v>857</v>
      </c>
      <c r="E14" s="116" t="s">
        <v>94</v>
      </c>
    </row>
    <row r="15" spans="1:5" x14ac:dyDescent="0.75">
      <c r="A15" t="str">
        <f t="shared" si="0"/>
        <v>A.2.1.1.8 - Status</v>
      </c>
      <c r="B15" s="116" t="s">
        <v>873</v>
      </c>
      <c r="C15" s="116" t="s">
        <v>858</v>
      </c>
      <c r="D15" s="116" t="s">
        <v>859</v>
      </c>
      <c r="E15" s="116" t="s">
        <v>847</v>
      </c>
    </row>
    <row r="16" spans="1:5" ht="29.5" x14ac:dyDescent="0.75">
      <c r="A16" t="str">
        <f t="shared" si="0"/>
        <v>A.2.1.1.9 - Certainty</v>
      </c>
      <c r="B16" s="116" t="s">
        <v>874</v>
      </c>
      <c r="C16" s="116" t="s">
        <v>860</v>
      </c>
      <c r="D16" s="116" t="s">
        <v>861</v>
      </c>
      <c r="E16" s="116" t="s">
        <v>847</v>
      </c>
    </row>
    <row r="17" spans="1:5" ht="59" x14ac:dyDescent="0.75">
      <c r="A17" t="str">
        <f t="shared" si="0"/>
        <v>A.2.1.1.10 - Agent or Allergen</v>
      </c>
      <c r="B17" s="116" t="s">
        <v>875</v>
      </c>
      <c r="C17" s="116" t="s">
        <v>876</v>
      </c>
      <c r="D17" s="116" t="s">
        <v>862</v>
      </c>
      <c r="E17" s="116" t="s">
        <v>863</v>
      </c>
    </row>
    <row r="18" spans="1:5" ht="48" x14ac:dyDescent="0.75">
      <c r="A18" t="str">
        <f>B18&amp;" "&amp;C18</f>
        <v>A.2.1.2 Medical alert information (other alerts not included in allergies)</v>
      </c>
      <c r="B18" s="113" t="s">
        <v>878</v>
      </c>
      <c r="C18" s="113" t="s">
        <v>877</v>
      </c>
      <c r="D18" s="113"/>
      <c r="E18" s="113"/>
    </row>
    <row r="19" spans="1:5" ht="162.25" x14ac:dyDescent="0.75">
      <c r="A19" t="str">
        <f>B19&amp;" "&amp;C19</f>
        <v>A.2.1.2.1 Healthcare alert description</v>
      </c>
      <c r="B19" s="113" t="s">
        <v>879</v>
      </c>
      <c r="C19" s="113" t="s">
        <v>880</v>
      </c>
      <c r="D19" s="1" t="s">
        <v>1287</v>
      </c>
      <c r="E19" s="113"/>
    </row>
    <row r="20" spans="1:5" ht="16.75" thickBot="1" x14ac:dyDescent="0.9">
      <c r="A20" t="str">
        <f>B20&amp;" - "&amp;C20</f>
        <v>A.2.2 - Medical history</v>
      </c>
      <c r="B20" s="113" t="s">
        <v>97</v>
      </c>
      <c r="C20" s="113" t="s">
        <v>914</v>
      </c>
      <c r="D20" s="113" t="s">
        <v>977</v>
      </c>
      <c r="E20" s="113"/>
    </row>
    <row r="21" spans="1:5" ht="30.25" thickBot="1" x14ac:dyDescent="0.9">
      <c r="A21" t="str">
        <f>B21&amp;" - "&amp;C21</f>
        <v>A.2.2.1 - Vaccination/ prophylaxis information</v>
      </c>
      <c r="B21" s="106" t="s">
        <v>1104</v>
      </c>
      <c r="C21" s="107" t="s">
        <v>1103</v>
      </c>
      <c r="D21" s="103"/>
      <c r="E21" s="103"/>
    </row>
    <row r="22" spans="1:5" ht="15.5" thickBot="1" x14ac:dyDescent="0.9">
      <c r="B22" s="104" t="s">
        <v>978</v>
      </c>
      <c r="C22" s="105" t="s">
        <v>881</v>
      </c>
      <c r="D22" s="105" t="s">
        <v>882</v>
      </c>
      <c r="E22" s="105" t="s">
        <v>847</v>
      </c>
    </row>
    <row r="23" spans="1:5" ht="30.25" thickBot="1" x14ac:dyDescent="0.9">
      <c r="B23" s="104" t="s">
        <v>979</v>
      </c>
      <c r="C23" s="105" t="s">
        <v>883</v>
      </c>
      <c r="D23" s="105" t="s">
        <v>884</v>
      </c>
      <c r="E23" s="105" t="s">
        <v>885</v>
      </c>
    </row>
    <row r="24" spans="1:5" ht="30.25" thickBot="1" x14ac:dyDescent="0.9">
      <c r="B24" s="104" t="s">
        <v>980</v>
      </c>
      <c r="C24" s="105" t="s">
        <v>886</v>
      </c>
      <c r="D24" s="105" t="s">
        <v>887</v>
      </c>
      <c r="E24" s="105"/>
    </row>
    <row r="25" spans="1:5" ht="30.25" thickBot="1" x14ac:dyDescent="0.9">
      <c r="B25" s="104" t="s">
        <v>981</v>
      </c>
      <c r="C25" s="105" t="s">
        <v>888</v>
      </c>
      <c r="D25" s="105" t="s">
        <v>889</v>
      </c>
      <c r="E25" s="105"/>
    </row>
    <row r="26" spans="1:5" ht="30.25" thickBot="1" x14ac:dyDescent="0.9">
      <c r="B26" s="104" t="s">
        <v>982</v>
      </c>
      <c r="C26" s="105" t="s">
        <v>890</v>
      </c>
      <c r="D26" s="105" t="s">
        <v>891</v>
      </c>
      <c r="E26" s="105"/>
    </row>
    <row r="27" spans="1:5" ht="30.25" thickBot="1" x14ac:dyDescent="0.9">
      <c r="B27" s="104" t="s">
        <v>983</v>
      </c>
      <c r="C27" s="105" t="s">
        <v>892</v>
      </c>
      <c r="D27" s="105" t="s">
        <v>1283</v>
      </c>
      <c r="E27" s="105"/>
    </row>
    <row r="28" spans="1:5" ht="15.5" thickBot="1" x14ac:dyDescent="0.9">
      <c r="B28" s="104" t="s">
        <v>984</v>
      </c>
      <c r="C28" s="105" t="s">
        <v>893</v>
      </c>
      <c r="D28" s="105" t="s">
        <v>894</v>
      </c>
      <c r="E28" s="105"/>
    </row>
    <row r="29" spans="1:5" ht="15.5" thickBot="1" x14ac:dyDescent="0.9">
      <c r="B29" s="104" t="s">
        <v>985</v>
      </c>
      <c r="C29" s="105" t="s">
        <v>895</v>
      </c>
      <c r="D29" s="105" t="s">
        <v>896</v>
      </c>
      <c r="E29" s="105" t="s">
        <v>94</v>
      </c>
    </row>
    <row r="30" spans="1:5" ht="15.5" thickBot="1" x14ac:dyDescent="0.9">
      <c r="B30" s="104" t="s">
        <v>986</v>
      </c>
      <c r="C30" s="105" t="s">
        <v>897</v>
      </c>
      <c r="D30" s="105" t="s">
        <v>898</v>
      </c>
      <c r="E30" s="105"/>
    </row>
    <row r="31" spans="1:5" ht="30.25" thickBot="1" x14ac:dyDescent="0.9">
      <c r="B31" s="104" t="s">
        <v>987</v>
      </c>
      <c r="C31" s="105" t="s">
        <v>899</v>
      </c>
      <c r="D31" s="105" t="s">
        <v>900</v>
      </c>
      <c r="E31" s="105"/>
    </row>
    <row r="32" spans="1:5" ht="15.5" thickBot="1" x14ac:dyDescent="0.9">
      <c r="B32" s="104" t="s">
        <v>988</v>
      </c>
      <c r="C32" s="105" t="s">
        <v>901</v>
      </c>
      <c r="D32" s="105" t="s">
        <v>902</v>
      </c>
      <c r="E32" s="105" t="s">
        <v>513</v>
      </c>
    </row>
    <row r="33" spans="1:5" ht="15.5" thickBot="1" x14ac:dyDescent="0.9">
      <c r="B33" s="104" t="s">
        <v>989</v>
      </c>
      <c r="C33" s="105" t="s">
        <v>903</v>
      </c>
      <c r="D33" s="105" t="s">
        <v>904</v>
      </c>
      <c r="E33" s="105" t="s">
        <v>94</v>
      </c>
    </row>
    <row r="34" spans="1:5" ht="30.25" thickBot="1" x14ac:dyDescent="0.9">
      <c r="A34" t="str">
        <f>B34&amp;" - "&amp;C34</f>
        <v>A.2.2.2 - Resolved, closed or inactive problems</v>
      </c>
      <c r="B34" s="108" t="s">
        <v>990</v>
      </c>
      <c r="C34" s="109" t="s">
        <v>905</v>
      </c>
      <c r="D34" s="105"/>
      <c r="E34" s="105"/>
    </row>
    <row r="35" spans="1:5" ht="45" thickBot="1" x14ac:dyDescent="0.9">
      <c r="B35" s="104" t="s">
        <v>991</v>
      </c>
      <c r="C35" s="105" t="s">
        <v>906</v>
      </c>
      <c r="D35" s="105" t="s">
        <v>907</v>
      </c>
      <c r="E35" s="105" t="s">
        <v>908</v>
      </c>
    </row>
    <row r="36" spans="1:5" ht="15.5" thickBot="1" x14ac:dyDescent="0.9">
      <c r="B36" s="104" t="s">
        <v>992</v>
      </c>
      <c r="C36" s="105" t="s">
        <v>854</v>
      </c>
      <c r="D36" s="105" t="s">
        <v>909</v>
      </c>
      <c r="E36" s="105" t="s">
        <v>94</v>
      </c>
    </row>
    <row r="37" spans="1:5" ht="15.5" thickBot="1" x14ac:dyDescent="0.9">
      <c r="B37" s="104" t="s">
        <v>993</v>
      </c>
      <c r="C37" s="105" t="s">
        <v>910</v>
      </c>
      <c r="D37" s="105" t="s">
        <v>911</v>
      </c>
      <c r="E37" s="105" t="s">
        <v>94</v>
      </c>
    </row>
    <row r="38" spans="1:5" ht="59.75" thickBot="1" x14ac:dyDescent="0.9">
      <c r="B38" s="104" t="s">
        <v>994</v>
      </c>
      <c r="C38" s="105" t="s">
        <v>912</v>
      </c>
      <c r="D38" s="105" t="s">
        <v>913</v>
      </c>
      <c r="E38" s="105"/>
    </row>
    <row r="39" spans="1:5" ht="15.5" thickBot="1" x14ac:dyDescent="0.9">
      <c r="A39" t="str">
        <f>B39&amp;" - "&amp;C39</f>
        <v>A.2.2.3 - Medical history</v>
      </c>
      <c r="B39" s="108" t="s">
        <v>996</v>
      </c>
      <c r="C39" s="109" t="s">
        <v>914</v>
      </c>
      <c r="D39" s="105"/>
      <c r="E39" s="105"/>
    </row>
    <row r="40" spans="1:5" ht="45" thickBot="1" x14ac:dyDescent="0.9">
      <c r="B40" s="104" t="s">
        <v>995</v>
      </c>
      <c r="C40" s="105" t="s">
        <v>914</v>
      </c>
      <c r="D40" s="105" t="s">
        <v>915</v>
      </c>
      <c r="E40" s="105"/>
    </row>
    <row r="41" spans="1:5" ht="15.5" thickBot="1" x14ac:dyDescent="0.9">
      <c r="B41" s="108" t="s">
        <v>98</v>
      </c>
      <c r="C41" s="109" t="s">
        <v>916</v>
      </c>
      <c r="D41" s="105"/>
      <c r="E41" s="105"/>
    </row>
    <row r="42" spans="1:5" ht="15.5" thickBot="1" x14ac:dyDescent="0.9">
      <c r="B42" s="108" t="s">
        <v>997</v>
      </c>
      <c r="C42" s="109" t="s">
        <v>917</v>
      </c>
      <c r="D42" s="105"/>
      <c r="E42" s="105"/>
    </row>
    <row r="43" spans="1:5" ht="45" thickBot="1" x14ac:dyDescent="0.9">
      <c r="B43" s="104" t="s">
        <v>998</v>
      </c>
      <c r="C43" s="105" t="s">
        <v>918</v>
      </c>
      <c r="D43" s="105" t="s">
        <v>919</v>
      </c>
      <c r="E43" s="105" t="s">
        <v>920</v>
      </c>
    </row>
    <row r="44" spans="1:5" ht="15.5" thickBot="1" x14ac:dyDescent="0.9">
      <c r="B44" s="104" t="s">
        <v>999</v>
      </c>
      <c r="C44" s="105" t="s">
        <v>854</v>
      </c>
      <c r="D44" s="105" t="s">
        <v>909</v>
      </c>
      <c r="E44" s="105" t="s">
        <v>94</v>
      </c>
    </row>
    <row r="45" spans="1:5" ht="30.25" thickBot="1" x14ac:dyDescent="0.9">
      <c r="B45" s="104" t="s">
        <v>1000</v>
      </c>
      <c r="C45" s="105" t="s">
        <v>921</v>
      </c>
      <c r="D45" s="105" t="s">
        <v>922</v>
      </c>
      <c r="E45" s="105" t="s">
        <v>923</v>
      </c>
    </row>
    <row r="46" spans="1:5" ht="30.25" thickBot="1" x14ac:dyDescent="0.9">
      <c r="A46" t="str">
        <f>B46&amp;" - "&amp;C46</f>
        <v>A.2.3.2 - Medical devices and implants</v>
      </c>
      <c r="B46" s="108" t="s">
        <v>1001</v>
      </c>
      <c r="C46" s="109" t="s">
        <v>924</v>
      </c>
      <c r="D46" s="105"/>
      <c r="E46" s="105"/>
    </row>
    <row r="47" spans="1:5" ht="45" thickBot="1" x14ac:dyDescent="0.9">
      <c r="B47" s="104" t="s">
        <v>1002</v>
      </c>
      <c r="C47" s="105" t="s">
        <v>925</v>
      </c>
      <c r="D47" s="105" t="s">
        <v>926</v>
      </c>
      <c r="E47" s="105" t="s">
        <v>927</v>
      </c>
    </row>
    <row r="48" spans="1:5" ht="15.5" thickBot="1" x14ac:dyDescent="0.9">
      <c r="B48" s="104" t="s">
        <v>1003</v>
      </c>
      <c r="C48" s="105" t="s">
        <v>928</v>
      </c>
      <c r="D48" s="105" t="s">
        <v>929</v>
      </c>
      <c r="E48" s="105"/>
    </row>
    <row r="49" spans="1:5" ht="15.5" thickBot="1" x14ac:dyDescent="0.9">
      <c r="B49" s="104" t="s">
        <v>1004</v>
      </c>
      <c r="C49" s="105" t="s">
        <v>930</v>
      </c>
      <c r="D49" s="105" t="s">
        <v>931</v>
      </c>
      <c r="E49" s="105" t="s">
        <v>94</v>
      </c>
    </row>
    <row r="50" spans="1:5" ht="30.25" thickBot="1" x14ac:dyDescent="0.9">
      <c r="B50" s="104" t="s">
        <v>1005</v>
      </c>
      <c r="C50" s="105" t="s">
        <v>910</v>
      </c>
      <c r="D50" s="105" t="s">
        <v>932</v>
      </c>
      <c r="E50" s="105" t="s">
        <v>94</v>
      </c>
    </row>
    <row r="51" spans="1:5" ht="15.5" thickBot="1" x14ac:dyDescent="0.9">
      <c r="A51" t="str">
        <f>B51&amp;" - "&amp;C51</f>
        <v>A.2.3.3 - Procedures</v>
      </c>
      <c r="B51" s="108" t="s">
        <v>1109</v>
      </c>
      <c r="C51" s="109" t="s">
        <v>933</v>
      </c>
      <c r="D51" s="105"/>
      <c r="E51" s="105"/>
    </row>
    <row r="52" spans="1:5" ht="15.5" thickBot="1" x14ac:dyDescent="0.9">
      <c r="B52" s="104" t="s">
        <v>1006</v>
      </c>
      <c r="C52" s="105" t="s">
        <v>934</v>
      </c>
      <c r="D52" s="105" t="s">
        <v>935</v>
      </c>
      <c r="E52" s="105" t="s">
        <v>936</v>
      </c>
    </row>
    <row r="53" spans="1:5" ht="15.5" thickBot="1" x14ac:dyDescent="0.9">
      <c r="B53" s="104" t="s">
        <v>1007</v>
      </c>
      <c r="C53" s="105" t="s">
        <v>937</v>
      </c>
      <c r="D53" s="105" t="s">
        <v>938</v>
      </c>
      <c r="E53" s="105" t="s">
        <v>936</v>
      </c>
    </row>
    <row r="54" spans="1:5" ht="15.5" thickBot="1" x14ac:dyDescent="0.9">
      <c r="B54" s="104" t="s">
        <v>1008</v>
      </c>
      <c r="C54" s="105" t="s">
        <v>939</v>
      </c>
      <c r="D54" s="105" t="s">
        <v>931</v>
      </c>
      <c r="E54" s="105" t="s">
        <v>94</v>
      </c>
    </row>
    <row r="55" spans="1:5" ht="15.5" thickBot="1" x14ac:dyDescent="0.9">
      <c r="A55" t="str">
        <f>B55&amp;" - "&amp;C55</f>
        <v>A.2.3.4 - Functional status</v>
      </c>
      <c r="B55" s="108" t="s">
        <v>1009</v>
      </c>
      <c r="C55" s="109" t="s">
        <v>940</v>
      </c>
      <c r="D55" s="105"/>
      <c r="E55" s="105"/>
    </row>
    <row r="56" spans="1:5" ht="30.25" thickBot="1" x14ac:dyDescent="0.9">
      <c r="B56" s="104" t="s">
        <v>1010</v>
      </c>
      <c r="C56" s="105" t="s">
        <v>5</v>
      </c>
      <c r="D56" s="105" t="s">
        <v>941</v>
      </c>
      <c r="E56" s="105"/>
    </row>
    <row r="57" spans="1:5" ht="15.5" thickBot="1" x14ac:dyDescent="0.9">
      <c r="B57" s="104" t="s">
        <v>1011</v>
      </c>
      <c r="C57" s="105" t="s">
        <v>942</v>
      </c>
      <c r="D57" s="105" t="s">
        <v>943</v>
      </c>
      <c r="E57" s="105" t="s">
        <v>94</v>
      </c>
    </row>
    <row r="58" spans="1:5" ht="30.25" thickBot="1" x14ac:dyDescent="0.9">
      <c r="B58" s="104" t="s">
        <v>1012</v>
      </c>
      <c r="C58" s="105" t="s">
        <v>944</v>
      </c>
      <c r="D58" s="105" t="s">
        <v>945</v>
      </c>
      <c r="E58" s="105"/>
    </row>
    <row r="59" spans="1:5" ht="30.25" thickBot="1" x14ac:dyDescent="0.9">
      <c r="B59" s="104" t="s">
        <v>1013</v>
      </c>
      <c r="C59" s="105" t="s">
        <v>946</v>
      </c>
      <c r="D59" s="105" t="s">
        <v>947</v>
      </c>
      <c r="E59" s="105" t="s">
        <v>94</v>
      </c>
    </row>
    <row r="60" spans="1:5" ht="30.25" thickBot="1" x14ac:dyDescent="0.9">
      <c r="B60" s="104" t="s">
        <v>1014</v>
      </c>
      <c r="C60" s="105" t="s">
        <v>948</v>
      </c>
      <c r="D60" s="105" t="s">
        <v>949</v>
      </c>
      <c r="E60" s="105"/>
    </row>
    <row r="61" spans="1:5" ht="15.5" thickBot="1" x14ac:dyDescent="0.9">
      <c r="A61" t="str">
        <f>B61&amp;" - "&amp;C61</f>
        <v>A.2.4 - Medication summary</v>
      </c>
      <c r="B61" s="108" t="s">
        <v>99</v>
      </c>
      <c r="C61" s="109" t="s">
        <v>950</v>
      </c>
      <c r="D61" s="105"/>
      <c r="E61" s="105"/>
    </row>
    <row r="62" spans="1:5" ht="45" thickBot="1" x14ac:dyDescent="0.9">
      <c r="B62" s="104" t="s">
        <v>1015</v>
      </c>
      <c r="C62" s="105" t="s">
        <v>951</v>
      </c>
      <c r="D62" s="105" t="s">
        <v>952</v>
      </c>
      <c r="E62" s="105"/>
    </row>
    <row r="63" spans="1:5" ht="45" thickBot="1" x14ac:dyDescent="0.9">
      <c r="B63" s="104" t="s">
        <v>1016</v>
      </c>
      <c r="C63" s="105" t="s">
        <v>953</v>
      </c>
      <c r="D63" s="105" t="s">
        <v>954</v>
      </c>
      <c r="E63" s="105" t="s">
        <v>920</v>
      </c>
    </row>
    <row r="64" spans="1:5" ht="30.25" thickBot="1" x14ac:dyDescent="0.9">
      <c r="B64" s="104" t="s">
        <v>1017</v>
      </c>
      <c r="C64" s="105" t="s">
        <v>955</v>
      </c>
      <c r="D64" s="105" t="s">
        <v>956</v>
      </c>
      <c r="E64" s="105"/>
    </row>
    <row r="65" spans="1:5" ht="30.25" thickBot="1" x14ac:dyDescent="0.9">
      <c r="B65" s="104" t="s">
        <v>1018</v>
      </c>
      <c r="C65" s="105" t="s">
        <v>957</v>
      </c>
      <c r="D65" s="105" t="s">
        <v>958</v>
      </c>
      <c r="E65" s="105"/>
    </row>
    <row r="66" spans="1:5" ht="30.25" thickBot="1" x14ac:dyDescent="0.9">
      <c r="B66" s="104" t="s">
        <v>1019</v>
      </c>
      <c r="C66" s="105" t="s">
        <v>959</v>
      </c>
      <c r="D66" s="105" t="s">
        <v>960</v>
      </c>
      <c r="E66" s="105"/>
    </row>
    <row r="67" spans="1:5" ht="45" thickBot="1" x14ac:dyDescent="0.9">
      <c r="B67" s="104" t="s">
        <v>1020</v>
      </c>
      <c r="C67" s="105" t="s">
        <v>961</v>
      </c>
      <c r="D67" s="105" t="s">
        <v>962</v>
      </c>
      <c r="E67" s="105"/>
    </row>
    <row r="68" spans="1:5" ht="30.25" thickBot="1" x14ac:dyDescent="0.9">
      <c r="B68" s="104" t="s">
        <v>1021</v>
      </c>
      <c r="C68" s="105" t="s">
        <v>963</v>
      </c>
      <c r="D68" s="105" t="s">
        <v>964</v>
      </c>
      <c r="E68" s="105"/>
    </row>
    <row r="69" spans="1:5" ht="30.25" thickBot="1" x14ac:dyDescent="0.9">
      <c r="B69" s="104" t="s">
        <v>1022</v>
      </c>
      <c r="C69" s="105" t="s">
        <v>965</v>
      </c>
      <c r="D69" s="105" t="s">
        <v>966</v>
      </c>
      <c r="E69" s="105" t="s">
        <v>967</v>
      </c>
    </row>
    <row r="70" spans="1:5" ht="30.25" thickBot="1" x14ac:dyDescent="0.9">
      <c r="B70" s="104" t="s">
        <v>1023</v>
      </c>
      <c r="C70" s="105" t="s">
        <v>968</v>
      </c>
      <c r="D70" s="105" t="s">
        <v>969</v>
      </c>
      <c r="E70" s="105"/>
    </row>
    <row r="71" spans="1:5" ht="30.25" thickBot="1" x14ac:dyDescent="0.9">
      <c r="B71" s="104" t="s">
        <v>1024</v>
      </c>
      <c r="C71" s="105" t="s">
        <v>970</v>
      </c>
      <c r="D71" s="105" t="s">
        <v>971</v>
      </c>
      <c r="E71" s="105" t="s">
        <v>94</v>
      </c>
    </row>
    <row r="72" spans="1:5" ht="15.5" thickBot="1" x14ac:dyDescent="0.9">
      <c r="A72" t="str">
        <f>B72&amp;" - "&amp;C72</f>
        <v>A.2.5 - Social history</v>
      </c>
      <c r="B72" s="108" t="s">
        <v>100</v>
      </c>
      <c r="C72" s="109" t="s">
        <v>972</v>
      </c>
      <c r="D72" s="105"/>
      <c r="E72" s="105"/>
    </row>
    <row r="73" spans="1:5" ht="45" thickBot="1" x14ac:dyDescent="0.9">
      <c r="B73" s="104" t="s">
        <v>1025</v>
      </c>
      <c r="C73" s="105" t="s">
        <v>973</v>
      </c>
      <c r="D73" s="105" t="s">
        <v>974</v>
      </c>
      <c r="E73" s="105" t="s">
        <v>847</v>
      </c>
    </row>
    <row r="74" spans="1:5" ht="15.5" thickBot="1" x14ac:dyDescent="0.9">
      <c r="B74" s="104" t="s">
        <v>1026</v>
      </c>
      <c r="C74" s="105" t="s">
        <v>975</v>
      </c>
      <c r="D74" s="105" t="s">
        <v>976</v>
      </c>
      <c r="E74" s="105"/>
    </row>
    <row r="75" spans="1:5" x14ac:dyDescent="0.75">
      <c r="A75" t="str">
        <f>B75&amp;" - "&amp;C75</f>
        <v xml:space="preserve">A.2.6 Pregnancy history - </v>
      </c>
      <c r="B75" s="62" t="s">
        <v>1027</v>
      </c>
    </row>
    <row r="76" spans="1:5" ht="15.5" thickBot="1" x14ac:dyDescent="0.9">
      <c r="B76" t="s">
        <v>1028</v>
      </c>
    </row>
    <row r="77" spans="1:5" ht="15.5" thickBot="1" x14ac:dyDescent="0.9">
      <c r="B77" s="114" t="s">
        <v>1066</v>
      </c>
      <c r="C77" s="103" t="s">
        <v>1029</v>
      </c>
      <c r="D77" s="103" t="s">
        <v>1030</v>
      </c>
      <c r="E77" s="103" t="s">
        <v>94</v>
      </c>
    </row>
    <row r="78" spans="1:5" ht="30.25" thickBot="1" x14ac:dyDescent="0.9">
      <c r="B78" s="114" t="s">
        <v>1067</v>
      </c>
      <c r="C78" s="105" t="s">
        <v>858</v>
      </c>
      <c r="D78" s="105" t="s">
        <v>1031</v>
      </c>
      <c r="E78" s="105" t="s">
        <v>847</v>
      </c>
    </row>
    <row r="79" spans="1:5" ht="15.5" thickBot="1" x14ac:dyDescent="0.9">
      <c r="B79" s="114" t="s">
        <v>1068</v>
      </c>
      <c r="C79" s="105" t="s">
        <v>1032</v>
      </c>
      <c r="D79" s="105" t="s">
        <v>1033</v>
      </c>
      <c r="E79" s="105" t="s">
        <v>94</v>
      </c>
    </row>
    <row r="80" spans="1:5" ht="30.25" thickBot="1" x14ac:dyDescent="0.9">
      <c r="B80" s="104" t="s">
        <v>1069</v>
      </c>
      <c r="C80" s="105" t="s">
        <v>1034</v>
      </c>
      <c r="D80" s="105"/>
      <c r="E80" s="105"/>
    </row>
    <row r="81" spans="1:5" ht="30.25" thickBot="1" x14ac:dyDescent="0.9">
      <c r="B81" s="104" t="s">
        <v>1070</v>
      </c>
      <c r="C81" s="105" t="s">
        <v>1035</v>
      </c>
      <c r="D81" s="105" t="s">
        <v>1036</v>
      </c>
      <c r="E81" s="105" t="s">
        <v>847</v>
      </c>
    </row>
    <row r="82" spans="1:5" ht="30.25" thickBot="1" x14ac:dyDescent="0.9">
      <c r="B82" s="104" t="s">
        <v>1071</v>
      </c>
      <c r="C82" s="105" t="s">
        <v>1037</v>
      </c>
      <c r="D82" s="105"/>
      <c r="E82" s="105"/>
    </row>
    <row r="83" spans="1:5" ht="15.5" thickBot="1" x14ac:dyDescent="0.9">
      <c r="B83" s="104" t="s">
        <v>1072</v>
      </c>
      <c r="C83" s="105" t="s">
        <v>1038</v>
      </c>
      <c r="D83" s="105" t="s">
        <v>1039</v>
      </c>
      <c r="E83" s="105" t="s">
        <v>94</v>
      </c>
    </row>
    <row r="84" spans="1:5" ht="15.5" thickBot="1" x14ac:dyDescent="0.9">
      <c r="B84" s="104" t="s">
        <v>1073</v>
      </c>
      <c r="C84" s="105" t="s">
        <v>1040</v>
      </c>
      <c r="D84" s="105" t="s">
        <v>1041</v>
      </c>
      <c r="E84" s="105" t="s">
        <v>847</v>
      </c>
    </row>
    <row r="85" spans="1:5" ht="15.5" thickBot="1" x14ac:dyDescent="0.9">
      <c r="B85" s="104" t="s">
        <v>1074</v>
      </c>
      <c r="C85" s="105" t="s">
        <v>1042</v>
      </c>
      <c r="D85" s="105" t="s">
        <v>1043</v>
      </c>
      <c r="E85" s="105"/>
    </row>
    <row r="86" spans="1:5" ht="15.5" thickBot="1" x14ac:dyDescent="0.9">
      <c r="A86" t="str">
        <f>B86&amp;" - "&amp;C86</f>
        <v>A.2.7 - Patient provided data</v>
      </c>
      <c r="B86" s="108" t="s">
        <v>1075</v>
      </c>
      <c r="C86" s="109" t="s">
        <v>1044</v>
      </c>
      <c r="D86" s="105"/>
      <c r="E86" s="105"/>
    </row>
    <row r="87" spans="1:5" ht="15.5" thickBot="1" x14ac:dyDescent="0.9">
      <c r="A87" t="str">
        <f>B87&amp;" - "&amp;C87</f>
        <v>A.2.7.1 - Travel history</v>
      </c>
      <c r="B87" s="108" t="s">
        <v>1076</v>
      </c>
      <c r="C87" s="109" t="s">
        <v>1045</v>
      </c>
      <c r="D87" s="105"/>
      <c r="E87" s="105"/>
    </row>
    <row r="88" spans="1:5" ht="15.5" thickBot="1" x14ac:dyDescent="0.9">
      <c r="B88" s="104" t="s">
        <v>1077</v>
      </c>
      <c r="C88" s="105" t="s">
        <v>510</v>
      </c>
      <c r="D88" s="105" t="s">
        <v>1046</v>
      </c>
      <c r="E88" s="105" t="s">
        <v>513</v>
      </c>
    </row>
    <row r="89" spans="1:5" ht="15.5" thickBot="1" x14ac:dyDescent="0.9">
      <c r="B89" s="104" t="s">
        <v>1078</v>
      </c>
      <c r="C89" s="105" t="s">
        <v>1047</v>
      </c>
      <c r="D89" s="105" t="s">
        <v>1048</v>
      </c>
      <c r="E89" s="105" t="s">
        <v>94</v>
      </c>
    </row>
    <row r="90" spans="1:5" ht="15.5" thickBot="1" x14ac:dyDescent="0.9">
      <c r="A90" t="str">
        <f>B90&amp;" - "&amp;C90</f>
        <v>A.2.7.2 - Advance Directive</v>
      </c>
      <c r="B90" s="108" t="s">
        <v>1079</v>
      </c>
      <c r="C90" s="109" t="s">
        <v>1049</v>
      </c>
      <c r="D90" s="105"/>
      <c r="E90" s="105"/>
    </row>
    <row r="91" spans="1:5" ht="15.5" thickBot="1" x14ac:dyDescent="0.9">
      <c r="B91" s="104" t="s">
        <v>1080</v>
      </c>
      <c r="C91" s="105" t="s">
        <v>1050</v>
      </c>
      <c r="D91" s="105" t="s">
        <v>1051</v>
      </c>
      <c r="E91" s="105" t="s">
        <v>847</v>
      </c>
    </row>
    <row r="92" spans="1:5" ht="15.5" thickBot="1" x14ac:dyDescent="0.9">
      <c r="A92" t="str">
        <f>B92&amp;" - "&amp;C92</f>
        <v>A.2.8 - Results</v>
      </c>
      <c r="B92" s="108" t="s">
        <v>1081</v>
      </c>
      <c r="C92" s="109" t="s">
        <v>1052</v>
      </c>
      <c r="D92" s="105"/>
      <c r="E92" s="105"/>
    </row>
    <row r="93" spans="1:5" ht="30.25" thickBot="1" x14ac:dyDescent="0.9">
      <c r="B93" s="104" t="s">
        <v>1082</v>
      </c>
      <c r="C93" s="105" t="s">
        <v>1093</v>
      </c>
      <c r="D93" s="105" t="s">
        <v>1094</v>
      </c>
      <c r="E93" s="105"/>
    </row>
    <row r="94" spans="1:5" ht="15.5" thickBot="1" x14ac:dyDescent="0.9">
      <c r="B94" s="104" t="s">
        <v>1083</v>
      </c>
      <c r="C94" s="105" t="s">
        <v>1053</v>
      </c>
      <c r="D94" s="105" t="s">
        <v>138</v>
      </c>
      <c r="E94" s="105" t="s">
        <v>94</v>
      </c>
    </row>
    <row r="95" spans="1:5" ht="59.75" thickBot="1" x14ac:dyDescent="0.9">
      <c r="B95" s="104" t="s">
        <v>1084</v>
      </c>
      <c r="C95" s="105" t="s">
        <v>1054</v>
      </c>
      <c r="D95" s="105" t="s">
        <v>1055</v>
      </c>
      <c r="E95" s="105"/>
    </row>
    <row r="96" spans="1:5" ht="15.5" thickBot="1" x14ac:dyDescent="0.9">
      <c r="B96" s="104" t="s">
        <v>1085</v>
      </c>
      <c r="C96" s="105" t="s">
        <v>173</v>
      </c>
      <c r="D96" s="105" t="s">
        <v>1092</v>
      </c>
      <c r="E96" s="105"/>
    </row>
    <row r="97" spans="1:5" ht="30.25" thickBot="1" x14ac:dyDescent="0.9">
      <c r="B97" s="104" t="s">
        <v>1086</v>
      </c>
      <c r="C97" s="105" t="s">
        <v>1056</v>
      </c>
      <c r="D97" s="105" t="s">
        <v>1057</v>
      </c>
      <c r="E97" s="105" t="s">
        <v>1058</v>
      </c>
    </row>
    <row r="98" spans="1:5" ht="59.75" thickBot="1" x14ac:dyDescent="0.9">
      <c r="B98" s="104" t="s">
        <v>1087</v>
      </c>
      <c r="C98" s="105" t="s">
        <v>1059</v>
      </c>
      <c r="D98" s="105" t="s">
        <v>1060</v>
      </c>
      <c r="E98" s="105" t="s">
        <v>1061</v>
      </c>
    </row>
    <row r="99" spans="1:5" ht="30.25" thickBot="1" x14ac:dyDescent="0.9">
      <c r="B99" s="104" t="s">
        <v>1088</v>
      </c>
      <c r="C99" s="105" t="s">
        <v>160</v>
      </c>
      <c r="D99" s="105" t="s">
        <v>1062</v>
      </c>
      <c r="E99" s="105"/>
    </row>
    <row r="100" spans="1:5" ht="15.5" thickBot="1" x14ac:dyDescent="0.9">
      <c r="B100" s="104" t="s">
        <v>1089</v>
      </c>
      <c r="C100" s="105" t="s">
        <v>162</v>
      </c>
      <c r="D100" s="105" t="s">
        <v>163</v>
      </c>
      <c r="E100" s="105"/>
    </row>
    <row r="101" spans="1:5" ht="30.25" thickBot="1" x14ac:dyDescent="0.9">
      <c r="A101" t="str">
        <f>B101&amp;" - "&amp;C101</f>
        <v>A.2.9 - Plan of Care</v>
      </c>
      <c r="B101" s="104" t="s">
        <v>1090</v>
      </c>
      <c r="C101" s="105" t="s">
        <v>1063</v>
      </c>
      <c r="D101" s="105" t="s">
        <v>1064</v>
      </c>
      <c r="E101" s="105"/>
    </row>
    <row r="102" spans="1:5" ht="45" thickBot="1" x14ac:dyDescent="0.9">
      <c r="B102" s="104" t="s">
        <v>1091</v>
      </c>
      <c r="C102" s="105" t="s">
        <v>1065</v>
      </c>
      <c r="D102" s="105" t="s">
        <v>1288</v>
      </c>
      <c r="E102" s="105"/>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3"/>
  <sheetViews>
    <sheetView topLeftCell="A25" workbookViewId="0">
      <selection activeCell="A33" sqref="A33:A42"/>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6" t="s">
        <v>506</v>
      </c>
      <c r="B2" s="110" t="s">
        <v>810</v>
      </c>
      <c r="J2" s="32" t="s">
        <v>36</v>
      </c>
      <c r="L2" s="32" t="s">
        <v>362</v>
      </c>
    </row>
    <row r="3" spans="1:12" ht="15.5" thickBot="1" x14ac:dyDescent="0.9">
      <c r="J3" s="32" t="str">
        <f>J1</f>
        <v>// -------------------------------------------------------------------------------</v>
      </c>
      <c r="L3" s="32" t="str">
        <f>L1</f>
        <v>// -------------------------------------------------------------------------------</v>
      </c>
    </row>
    <row r="4" spans="1:12" x14ac:dyDescent="0.75">
      <c r="A4" s="6" t="s">
        <v>14</v>
      </c>
      <c r="B4" s="16" t="s">
        <v>829</v>
      </c>
      <c r="J4" s="24" t="str">
        <f>CONCATENATE("Logical: ",B4)</f>
        <v>Logical: PatientSummaryEhn</v>
      </c>
    </row>
    <row r="5" spans="1:12" x14ac:dyDescent="0.75">
      <c r="A5" s="17" t="s">
        <v>19</v>
      </c>
      <c r="B5" s="33" t="s">
        <v>830</v>
      </c>
      <c r="J5" s="24" t="str">
        <f>CONCATENATE("Id: ",B5)</f>
        <v>Id: PatientSummary</v>
      </c>
    </row>
    <row r="6" spans="1:12" x14ac:dyDescent="0.75">
      <c r="A6" s="17" t="s">
        <v>13</v>
      </c>
      <c r="B6" s="18" t="s">
        <v>723</v>
      </c>
      <c r="J6" s="25" t="str">
        <f>CONCATENATE("Title: ##34#",B6,"##34#")</f>
        <v>Title: ##34#A - Patient Summary##34#</v>
      </c>
    </row>
    <row r="7" spans="1:12" x14ac:dyDescent="0.75">
      <c r="A7" s="45" t="s">
        <v>5</v>
      </c>
      <c r="B7" s="46" t="s">
        <v>724</v>
      </c>
      <c r="C7" s="12" t="s">
        <v>6</v>
      </c>
      <c r="D7" s="2" t="s">
        <v>7</v>
      </c>
      <c r="E7" s="3" t="s">
        <v>8</v>
      </c>
      <c r="F7" s="3" t="s">
        <v>9</v>
      </c>
      <c r="G7" s="3" t="s">
        <v>10</v>
      </c>
      <c r="H7" s="61" t="s">
        <v>361</v>
      </c>
      <c r="J7" s="25" t="str">
        <f>CONCATENATE("Description: "," ##334#",B7,"##334#",)</f>
        <v>Description:  ##334#Patient Summary. eHN guideline model.##334#</v>
      </c>
    </row>
    <row r="8" spans="1:12" ht="29.5" x14ac:dyDescent="0.75">
      <c r="A8" s="9">
        <v>1</v>
      </c>
      <c r="B8" s="9" t="s">
        <v>178</v>
      </c>
      <c r="C8" s="9" t="s">
        <v>42</v>
      </c>
      <c r="D8" s="14" t="s">
        <v>42</v>
      </c>
      <c r="E8" s="9">
        <v>1</v>
      </c>
      <c r="F8" s="9">
        <v>1</v>
      </c>
      <c r="G8" s="9" t="s">
        <v>4</v>
      </c>
      <c r="H8" s="14"/>
      <c r="I8" s="44"/>
      <c r="J8" s="14" t="str">
        <f t="shared" ref="J8:J48"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179</v>
      </c>
      <c r="C9" s="9" t="s">
        <v>1223</v>
      </c>
      <c r="D9" s="9" t="s">
        <v>192</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1" si="1">IF(H9="",IF(J9="*  ..  ##34###34# ##334###334#",J9,""),IF(J9="*  ..  ##34###34# ##334###334#",J9,CONCATENATE("* ",B9," ^comment = ##334#",H9,"##334#")))</f>
        <v/>
      </c>
    </row>
    <row r="10" spans="1:12" ht="29.5" x14ac:dyDescent="0.75">
      <c r="A10" s="9">
        <v>3</v>
      </c>
      <c r="B10" s="9" t="s">
        <v>831</v>
      </c>
      <c r="C10" s="9" t="s">
        <v>644</v>
      </c>
      <c r="D10" s="9" t="s">
        <v>644</v>
      </c>
      <c r="E10" s="9">
        <v>0</v>
      </c>
      <c r="F10" s="9">
        <v>1</v>
      </c>
      <c r="G10" s="111" t="s">
        <v>4</v>
      </c>
      <c r="H10" s="14"/>
      <c r="I10" s="44" t="s">
        <v>211</v>
      </c>
      <c r="J10" s="14" t="str">
        <f t="shared" si="0"/>
        <v>* header.insuranceInfo 0..1 BackboneElement ##34#A.1.3 Insurance information##34# ##334#A.1.3 Insurance information##334#</v>
      </c>
      <c r="L10" s="14" t="str">
        <f t="shared" si="1"/>
        <v/>
      </c>
    </row>
    <row r="11" spans="1:12" ht="29.5" x14ac:dyDescent="0.75">
      <c r="A11" s="9">
        <v>4</v>
      </c>
      <c r="B11" s="9" t="s">
        <v>832</v>
      </c>
      <c r="C11" s="14" t="s">
        <v>811</v>
      </c>
      <c r="D11" s="14" t="s">
        <v>811</v>
      </c>
      <c r="E11" s="9">
        <v>1</v>
      </c>
      <c r="F11" s="9">
        <v>1</v>
      </c>
      <c r="G11" s="111" t="s">
        <v>4</v>
      </c>
      <c r="H11" s="14"/>
      <c r="I11" s="9"/>
      <c r="J11" s="14" t="str">
        <f t="shared" si="0"/>
        <v>* header.documentData 1..1 BackboneElement ##34#A.1.4 Document data##34# ##334#A.1.4 Document data##334#</v>
      </c>
      <c r="L11" s="14" t="str">
        <f t="shared" si="1"/>
        <v/>
      </c>
    </row>
    <row r="12" spans="1:12" ht="29.5" x14ac:dyDescent="0.75">
      <c r="A12" s="9">
        <v>5</v>
      </c>
      <c r="B12" s="9" t="s">
        <v>833</v>
      </c>
      <c r="C12" s="14" t="s">
        <v>814</v>
      </c>
      <c r="D12" s="14" t="s">
        <v>821</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834</v>
      </c>
      <c r="C13" s="14" t="s">
        <v>815</v>
      </c>
      <c r="D13" s="14" t="s">
        <v>828</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835</v>
      </c>
      <c r="C14" s="14" t="s">
        <v>816</v>
      </c>
      <c r="D14" s="14" t="s">
        <v>822</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836</v>
      </c>
      <c r="C15" s="9" t="s">
        <v>812</v>
      </c>
      <c r="D15" s="9" t="s">
        <v>812</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837</v>
      </c>
      <c r="C16" s="9" t="s">
        <v>817</v>
      </c>
      <c r="D16" s="9" t="s">
        <v>823</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838</v>
      </c>
      <c r="C17" s="9" t="s">
        <v>818</v>
      </c>
      <c r="D17" s="14" t="s">
        <v>824</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1095</v>
      </c>
      <c r="C18" s="9" t="s">
        <v>813</v>
      </c>
      <c r="D18" s="14" t="s">
        <v>825</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1096</v>
      </c>
      <c r="C19" s="9" t="s">
        <v>819</v>
      </c>
      <c r="D19" s="14" t="s">
        <v>826</v>
      </c>
      <c r="E19" s="9">
        <v>0</v>
      </c>
      <c r="F19" s="9" t="s">
        <v>11</v>
      </c>
      <c r="G19" s="9" t="s">
        <v>746</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1097</v>
      </c>
      <c r="C20" s="9" t="s">
        <v>820</v>
      </c>
      <c r="D20" s="14" t="s">
        <v>827</v>
      </c>
      <c r="E20" s="9">
        <v>0</v>
      </c>
      <c r="F20" s="9" t="s">
        <v>11</v>
      </c>
      <c r="G20" s="9" t="s">
        <v>746</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1098</v>
      </c>
      <c r="C21" s="9" t="s">
        <v>1224</v>
      </c>
      <c r="D21" s="14" t="s">
        <v>1099</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1142</v>
      </c>
      <c r="C22" s="9" t="s">
        <v>1225</v>
      </c>
      <c r="D22" s="9" t="s">
        <v>1100</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8" t="s">
        <v>1149</v>
      </c>
      <c r="C23" s="9" t="s">
        <v>1226</v>
      </c>
      <c r="D23" s="9" t="s">
        <v>1101</v>
      </c>
      <c r="E23" s="9">
        <v>0</v>
      </c>
      <c r="F23" s="48" t="s">
        <v>11</v>
      </c>
      <c r="G23" s="9" t="str">
        <f>$B$2&amp;"/StructureDefinition/"&amp;I23</f>
        <v>http://hl7.eu/fhir/ig/xpandh/ps/StructureDefinition/Allergy</v>
      </c>
      <c r="H23" s="14"/>
      <c r="I23" t="s">
        <v>842</v>
      </c>
      <c r="J23" s="14" t="str">
        <f t="shared" si="0"/>
        <v>* body.alerts.allergy 0..* http://hl7.eu/fhir/ig/xpandh/ps/StructureDefinition/Allergy ##34#A.2.1.1 Allergy##34# ##334#A.2.1.1 - Allergy##334#</v>
      </c>
      <c r="L23" s="14" t="str">
        <f t="shared" si="1"/>
        <v/>
      </c>
    </row>
    <row r="24" spans="1:13" ht="44.25" x14ac:dyDescent="0.75">
      <c r="A24" s="9">
        <v>17</v>
      </c>
      <c r="B24" s="9" t="s">
        <v>1150</v>
      </c>
      <c r="C24" s="9" t="s">
        <v>1227</v>
      </c>
      <c r="D24" s="9" t="s">
        <v>1102</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1241</v>
      </c>
      <c r="C25" t="s">
        <v>1222</v>
      </c>
      <c r="D25" s="1" t="s">
        <v>1287</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1143</v>
      </c>
      <c r="C26" s="9" t="s">
        <v>977</v>
      </c>
      <c r="D26" s="9" t="s">
        <v>1105</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1151</v>
      </c>
      <c r="C27" s="9" t="s">
        <v>1228</v>
      </c>
      <c r="D27" s="9" t="s">
        <v>1106</v>
      </c>
      <c r="E27" s="9">
        <v>0</v>
      </c>
      <c r="F27" s="9" t="s">
        <v>11</v>
      </c>
      <c r="G27" s="9" t="str">
        <f>$B$2&amp;"/StructureDefinition/"&amp;I27</f>
        <v>http://hl7.eu/fhir/ig/xpandh/ps/StructureDefinition/Vaccination</v>
      </c>
      <c r="H27" s="14"/>
      <c r="I27" t="s">
        <v>1249</v>
      </c>
      <c r="J27" s="14" t="str">
        <f t="shared" si="0"/>
        <v>* body.medicalHistory.vaccination 0..* http://hl7.eu/fhir/ig/xpandh/ps/StructureDefinition/Vaccination ##34#A.2.2.1 Vaccination/ prophylaxis information##34# ##334#A.2.2.1 - Vaccination/ prophylaxis information##334#</v>
      </c>
      <c r="L27" s="14" t="str">
        <f t="shared" si="1"/>
        <v/>
      </c>
    </row>
    <row r="28" spans="1:13" ht="44.25" x14ac:dyDescent="0.75">
      <c r="A28" s="9">
        <v>20</v>
      </c>
      <c r="B28" s="9" t="s">
        <v>1152</v>
      </c>
      <c r="C28" s="9" t="s">
        <v>1229</v>
      </c>
      <c r="D28" s="9" t="s">
        <v>1107</v>
      </c>
      <c r="E28" s="9">
        <v>0</v>
      </c>
      <c r="F28" s="9" t="s">
        <v>11</v>
      </c>
      <c r="G28" s="9" t="s">
        <v>4</v>
      </c>
      <c r="H28" s="14"/>
      <c r="J28" s="14" t="str">
        <f t="shared" si="0"/>
        <v>* body.medicalHistory.inactiveProblem 0..* BackboneElement ##34#A.2.2.2 Resolved, closed or inactive problems##34# ##334#A.2.2.2 - Resolved, closed or inactive problems##334#</v>
      </c>
      <c r="L28" s="14" t="str">
        <f t="shared" si="1"/>
        <v/>
      </c>
    </row>
    <row r="29" spans="1:13" ht="29.5" x14ac:dyDescent="0.75">
      <c r="A29" s="9">
        <v>21</v>
      </c>
      <c r="B29" s="9" t="s">
        <v>1153</v>
      </c>
      <c r="C29" s="9" t="s">
        <v>1230</v>
      </c>
      <c r="D29" s="9" t="s">
        <v>1108</v>
      </c>
      <c r="E29" s="9">
        <v>0</v>
      </c>
      <c r="F29" s="9">
        <v>1</v>
      </c>
      <c r="G29" s="9" t="s">
        <v>4</v>
      </c>
      <c r="H29" s="14"/>
      <c r="J29" s="14" t="str">
        <f t="shared" si="0"/>
        <v>* body.medicalHistory.anamnesis 0..1 BackboneElement ##34#A.2.2.3 Medical history##34# ##334#A.2.2.3 - Medical history##334#</v>
      </c>
      <c r="L29" s="14" t="str">
        <f t="shared" si="1"/>
        <v/>
      </c>
    </row>
    <row r="30" spans="1:13" ht="44.25" x14ac:dyDescent="0.75">
      <c r="A30" s="9">
        <v>22</v>
      </c>
      <c r="B30" s="111" t="s">
        <v>1154</v>
      </c>
      <c r="C30" s="1" t="s">
        <v>1231</v>
      </c>
      <c r="D30" s="14" t="s">
        <v>1110</v>
      </c>
      <c r="E30" s="9">
        <v>1</v>
      </c>
      <c r="F30" s="9">
        <v>1</v>
      </c>
      <c r="G30" s="9" t="s">
        <v>4</v>
      </c>
      <c r="J30" s="14" t="str">
        <f t="shared" si="0"/>
        <v>* body.medicalHistory.medicalDevices 1..1 BackboneElement ##34#A.2.3.2 Medical devices and implants##34# ##334#A.2.3.2 - Medical devices and implants##334#</v>
      </c>
      <c r="L30" s="14" t="str">
        <f>IF(H30="",IF(J30="*  ..  ##34###34# ##334###334#",J30,""),IF(J30="*  ..  ##34###34# ##334###334#",J30,CONCATENATE("* ",B30," ^comment = ##334#",H30,"##334#")))</f>
        <v/>
      </c>
    </row>
    <row r="31" spans="1:13" ht="29.5" x14ac:dyDescent="0.75">
      <c r="A31" s="9">
        <v>23</v>
      </c>
      <c r="B31" s="111" t="s">
        <v>1155</v>
      </c>
      <c r="C31" s="1" t="s">
        <v>1232</v>
      </c>
      <c r="D31" s="14" t="s">
        <v>1111</v>
      </c>
      <c r="E31" s="9">
        <v>1</v>
      </c>
      <c r="F31" s="9">
        <v>1</v>
      </c>
      <c r="G31" s="9" t="s">
        <v>4</v>
      </c>
      <c r="J31" s="14" t="str">
        <f t="shared" si="0"/>
        <v>* body.medicalHistory.procedures 1..1 BackboneElement ##34#A.2.3.3 Procedures##34# ##334#A.2.3.3 - Procedures##334#</v>
      </c>
      <c r="L31" s="14" t="str">
        <f t="shared" si="1"/>
        <v/>
      </c>
    </row>
    <row r="32" spans="1:13" ht="29.5" x14ac:dyDescent="0.75">
      <c r="A32" s="9">
        <v>24</v>
      </c>
      <c r="B32" s="111" t="s">
        <v>1156</v>
      </c>
      <c r="C32" s="1" t="s">
        <v>1233</v>
      </c>
      <c r="D32" s="14" t="s">
        <v>1112</v>
      </c>
      <c r="E32" s="9">
        <v>0</v>
      </c>
      <c r="F32" s="9">
        <v>1</v>
      </c>
      <c r="G32" s="9" t="s">
        <v>4</v>
      </c>
      <c r="J32" s="14" t="str">
        <f t="shared" si="0"/>
        <v>* body.medicalHistory.functionalStatus 0..1 BackboneElement ##34#A.2.3.4 Functional status##34# ##334#A.2.3.4 - Functional status##334#</v>
      </c>
      <c r="L32" s="14" t="str">
        <f t="shared" si="1"/>
        <v/>
      </c>
    </row>
    <row r="33" spans="1:14" ht="29.5" x14ac:dyDescent="0.75">
      <c r="A33" s="9">
        <v>25</v>
      </c>
      <c r="B33" s="9" t="s">
        <v>1144</v>
      </c>
      <c r="C33" t="s">
        <v>1234</v>
      </c>
      <c r="D33" s="9" t="s">
        <v>1114</v>
      </c>
      <c r="E33" s="9">
        <v>1</v>
      </c>
      <c r="F33" s="9">
        <v>1</v>
      </c>
      <c r="G33" s="9" t="s">
        <v>4</v>
      </c>
      <c r="H33" s="14"/>
      <c r="J33" s="14" t="str">
        <f t="shared" si="0"/>
        <v>* body.medicationSummary 1..1 BackboneElement ##34#A.2.4 Medication summary##34# ##334#A.2.4 - Medication summary##334#</v>
      </c>
      <c r="L33" s="14" t="str">
        <f t="shared" si="1"/>
        <v/>
      </c>
    </row>
    <row r="34" spans="1:14" ht="88.5" x14ac:dyDescent="0.75">
      <c r="A34" s="9">
        <v>26</v>
      </c>
      <c r="B34" s="9" t="s">
        <v>1349</v>
      </c>
      <c r="C34" s="9" t="s">
        <v>1317</v>
      </c>
      <c r="D34" s="116" t="s">
        <v>1342</v>
      </c>
      <c r="E34" s="9">
        <v>1</v>
      </c>
      <c r="F34" s="9" t="s">
        <v>11</v>
      </c>
      <c r="G34" s="9" t="str">
        <f>$B$2&amp;"/StructureDefinition/"&amp;I34</f>
        <v>http://hl7.eu/fhir/ig/xpandh/ps/StructureDefinition/Medicine</v>
      </c>
      <c r="H34" s="14"/>
      <c r="I34" t="s">
        <v>1344</v>
      </c>
      <c r="J34"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4" s="14"/>
    </row>
    <row r="35" spans="1:14" ht="29.5" x14ac:dyDescent="0.75">
      <c r="A35" s="9">
        <v>27</v>
      </c>
      <c r="B35" s="9" t="s">
        <v>1145</v>
      </c>
      <c r="C35" s="22" t="s">
        <v>1235</v>
      </c>
      <c r="D35" s="9" t="s">
        <v>1113</v>
      </c>
      <c r="E35" s="9">
        <v>0</v>
      </c>
      <c r="F35" s="9">
        <v>1</v>
      </c>
      <c r="G35" s="9" t="s">
        <v>4</v>
      </c>
      <c r="H35" s="14"/>
      <c r="J35" s="14" t="str">
        <f t="shared" si="0"/>
        <v>* body.socialHistory 0..1 BackboneElement ##34#A.2.5 Social history##34# ##334#A.2.5 - Social history##334#</v>
      </c>
      <c r="L35" s="14" t="str">
        <f t="shared" si="1"/>
        <v/>
      </c>
    </row>
    <row r="36" spans="1:14" ht="29.5" x14ac:dyDescent="0.75">
      <c r="A36" s="9">
        <v>28</v>
      </c>
      <c r="B36" s="9" t="s">
        <v>1146</v>
      </c>
      <c r="C36" s="22" t="s">
        <v>1027</v>
      </c>
      <c r="D36" s="9" t="s">
        <v>1027</v>
      </c>
      <c r="E36" s="9">
        <v>0</v>
      </c>
      <c r="F36" s="9">
        <v>1</v>
      </c>
      <c r="G36" s="9" t="s">
        <v>4</v>
      </c>
      <c r="H36" s="14"/>
      <c r="J36" s="14" t="str">
        <f t="shared" si="0"/>
        <v>* body.pregnancyHistory 0..1 BackboneElement ##34#A.2.6 Pregnancy history##34# ##334#A.2.6 Pregnancy history##334#</v>
      </c>
      <c r="L36" s="14" t="str">
        <f t="shared" si="1"/>
        <v/>
      </c>
    </row>
    <row r="37" spans="1:14" ht="29.5" x14ac:dyDescent="0.75">
      <c r="A37" s="9">
        <v>29</v>
      </c>
      <c r="B37" s="9" t="s">
        <v>1157</v>
      </c>
      <c r="C37" s="22" t="s">
        <v>1236</v>
      </c>
      <c r="D37" s="22" t="s">
        <v>1139</v>
      </c>
      <c r="E37" s="9">
        <v>0</v>
      </c>
      <c r="F37" s="9">
        <v>1</v>
      </c>
      <c r="G37" s="9" t="s">
        <v>4</v>
      </c>
      <c r="H37" s="14"/>
      <c r="J37" s="14" t="str">
        <f t="shared" si="0"/>
        <v>* body.patientData 0..1 BackboneElement ##34#A.2.7 Patient provided data##34# ##334#A.2.7 - Patient provided data##334#</v>
      </c>
      <c r="L37" s="14"/>
    </row>
    <row r="38" spans="1:14" ht="29.5" x14ac:dyDescent="0.75">
      <c r="A38" s="9">
        <v>30</v>
      </c>
      <c r="B38" s="9" t="s">
        <v>1158</v>
      </c>
      <c r="C38" s="22" t="s">
        <v>1237</v>
      </c>
      <c r="D38" s="22" t="s">
        <v>1140</v>
      </c>
      <c r="E38" s="9">
        <v>0</v>
      </c>
      <c r="F38" s="9">
        <v>1</v>
      </c>
      <c r="G38" s="9" t="s">
        <v>4</v>
      </c>
      <c r="H38" s="14"/>
      <c r="J38" s="14" t="str">
        <f t="shared" si="0"/>
        <v>* body.patientData.travelHistory 0..1 BackboneElement ##34#A.2.7.1 Travel history##34# ##334#A.2.7.1 - Travel history##334#</v>
      </c>
      <c r="L38" s="14"/>
    </row>
    <row r="39" spans="1:14" ht="29.5" x14ac:dyDescent="0.75">
      <c r="A39" s="9">
        <v>31</v>
      </c>
      <c r="B39" s="111" t="s">
        <v>1159</v>
      </c>
      <c r="C39" t="s">
        <v>1238</v>
      </c>
      <c r="D39" t="s">
        <v>1141</v>
      </c>
      <c r="E39" s="9">
        <v>0</v>
      </c>
      <c r="F39" s="9">
        <v>1</v>
      </c>
      <c r="G39" s="9" t="s">
        <v>4</v>
      </c>
      <c r="H39"/>
      <c r="J39" s="14" t="str">
        <f t="shared" si="0"/>
        <v>* body.patientData.advanceDirective 0..1 BackboneElement ##34#A.2.7.2 Advance Directive##34# ##334#A.2.7.2 - Advance Directive##334#</v>
      </c>
      <c r="N39"/>
    </row>
    <row r="40" spans="1:14" ht="29.5" x14ac:dyDescent="0.75">
      <c r="A40" s="9">
        <v>32</v>
      </c>
      <c r="B40" s="9" t="s">
        <v>1147</v>
      </c>
      <c r="C40" s="22" t="s">
        <v>1239</v>
      </c>
      <c r="D40" s="9" t="s">
        <v>1115</v>
      </c>
      <c r="E40" s="9">
        <v>0</v>
      </c>
      <c r="F40" s="9">
        <v>1</v>
      </c>
      <c r="G40" s="9" t="s">
        <v>4</v>
      </c>
      <c r="H40" s="14"/>
      <c r="J40" s="14" t="str">
        <f t="shared" si="0"/>
        <v>* body.results 0..1 BackboneElement ##34#A.2.8 Results##34# ##334#A.2.8 - Results##334#</v>
      </c>
      <c r="L40" s="14" t="str">
        <f t="shared" si="1"/>
        <v/>
      </c>
    </row>
    <row r="41" spans="1:14" ht="29.5" x14ac:dyDescent="0.75">
      <c r="A41" s="9">
        <v>33</v>
      </c>
      <c r="B41" s="9" t="s">
        <v>1148</v>
      </c>
      <c r="C41" s="22" t="s">
        <v>1240</v>
      </c>
      <c r="D41" s="9" t="s">
        <v>1116</v>
      </c>
      <c r="E41" s="9">
        <v>0</v>
      </c>
      <c r="F41" s="9">
        <v>1</v>
      </c>
      <c r="G41" s="9" t="s">
        <v>4</v>
      </c>
      <c r="H41" s="14"/>
      <c r="J41" s="14" t="str">
        <f t="shared" si="0"/>
        <v>* body.planOfCare 0..1 BackboneElement ##34#A.2.9 Plan of Care##34# ##334#A.2.9 - Plan of Care##334#</v>
      </c>
      <c r="L41" s="14" t="str">
        <f t="shared" si="1"/>
        <v/>
      </c>
    </row>
    <row r="42" spans="1:14" x14ac:dyDescent="0.75">
      <c r="A42" s="9">
        <v>34</v>
      </c>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t="str">
        <f t="shared" si="0"/>
        <v>*  ..  ##34###34# ##334###334#</v>
      </c>
      <c r="L47" s="14"/>
    </row>
    <row r="48" spans="1:14" x14ac:dyDescent="0.75">
      <c r="A48" s="9"/>
      <c r="B48" s="9"/>
      <c r="C48" s="9"/>
      <c r="D48" s="14"/>
      <c r="E48" s="9"/>
      <c r="F48" s="9"/>
      <c r="G48" s="9"/>
      <c r="H48" s="14"/>
      <c r="J48" s="14" t="str">
        <f t="shared" si="0"/>
        <v>*  ..  ##34###34# ##334###334#</v>
      </c>
      <c r="L48" s="14"/>
    </row>
    <row r="49" spans="1:12" x14ac:dyDescent="0.75">
      <c r="A49" s="9"/>
      <c r="B49" s="9"/>
      <c r="C49" s="9"/>
      <c r="D49" s="14"/>
      <c r="E49" s="9"/>
      <c r="F49" s="9"/>
      <c r="G49" s="9"/>
      <c r="H49" s="14"/>
      <c r="J49" s="14"/>
      <c r="L49" s="14"/>
    </row>
    <row r="50" spans="1:12" x14ac:dyDescent="0.75">
      <c r="A50" s="9"/>
      <c r="B50" s="9"/>
      <c r="C50" s="9"/>
      <c r="D50" s="14"/>
      <c r="E50" s="9"/>
      <c r="F50" s="9"/>
      <c r="G50" s="9"/>
      <c r="H50" s="14"/>
      <c r="J50" s="14"/>
      <c r="L50" s="14"/>
    </row>
    <row r="51" spans="1:12" x14ac:dyDescent="0.75">
      <c r="A51" s="9"/>
      <c r="B51" s="9"/>
      <c r="C51" s="9"/>
      <c r="D51" s="14"/>
      <c r="E51" s="9"/>
      <c r="F51" s="9"/>
      <c r="G51" s="9"/>
      <c r="H51" s="14"/>
      <c r="J51" s="14"/>
      <c r="L51" s="14"/>
    </row>
    <row r="53" spans="1:12" ht="15.5" thickBot="1" x14ac:dyDescent="0.9"/>
    <row r="54" spans="1:12" ht="15.5" thickBot="1" x14ac:dyDescent="0.9">
      <c r="B54" t="str">
        <f>C54&amp;" "&amp;D54</f>
        <v>A.1.4 Document data</v>
      </c>
      <c r="C54" s="106" t="s">
        <v>791</v>
      </c>
      <c r="D54" s="107" t="s">
        <v>792</v>
      </c>
      <c r="E54" s="103"/>
      <c r="F54" s="103"/>
    </row>
    <row r="55" spans="1:12" ht="59.75" thickBot="1" x14ac:dyDescent="0.9">
      <c r="B55" t="str">
        <f t="shared" ref="B55:B63" si="2">C55&amp;" "&amp;D55</f>
        <v>A.1.4.1 Date created</v>
      </c>
      <c r="C55" s="104" t="s">
        <v>71</v>
      </c>
      <c r="D55" s="105" t="s">
        <v>793</v>
      </c>
      <c r="E55" s="105" t="s">
        <v>794</v>
      </c>
      <c r="F55" s="105" t="s">
        <v>94</v>
      </c>
      <c r="G55" t="str">
        <f>B55&amp;" - "&amp;E55</f>
        <v>A.1.4.1 Date created - Date on which PS was generated</v>
      </c>
    </row>
    <row r="56" spans="1:12" ht="133.5" thickBot="1" x14ac:dyDescent="0.9">
      <c r="B56" t="str">
        <f t="shared" si="2"/>
        <v>A.1.4.2 Date of last update</v>
      </c>
      <c r="C56" s="104" t="s">
        <v>73</v>
      </c>
      <c r="D56" s="105" t="s">
        <v>795</v>
      </c>
      <c r="E56" s="105" t="s">
        <v>796</v>
      </c>
      <c r="F56" s="105"/>
      <c r="G56" t="str">
        <f t="shared" ref="G56:G63" si="3">B56&amp;" - "&amp;E56</f>
        <v>A.1.4.2 Date of last update - Date on which PS was updated (date of most recent version) ISO 8601</v>
      </c>
    </row>
    <row r="57" spans="1:12" ht="354.75" thickBot="1" x14ac:dyDescent="0.9">
      <c r="B57" t="str">
        <f t="shared" si="2"/>
        <v>A.1.4.3 Nature of the PS</v>
      </c>
      <c r="C57" s="104" t="s">
        <v>76</v>
      </c>
      <c r="D57" s="105" t="s">
        <v>797</v>
      </c>
      <c r="E57" s="105" t="s">
        <v>798</v>
      </c>
      <c r="F57" s="105"/>
      <c r="G57" t="str">
        <f t="shared" si="3"/>
        <v>A.1.4.3 Nature of the PS - Defines the context in which it was generated. Distinguishes between three methodological approaches for generating the PS: direct human intervention by an HP, automatically generated approach and mixed approach</v>
      </c>
    </row>
    <row r="58" spans="1:12" ht="15.5" thickBot="1" x14ac:dyDescent="0.9">
      <c r="B58" t="str">
        <f t="shared" si="2"/>
        <v>A.1.5 Author and Organisation</v>
      </c>
      <c r="C58" s="108" t="s">
        <v>799</v>
      </c>
      <c r="D58" s="109" t="s">
        <v>800</v>
      </c>
      <c r="E58" s="105"/>
      <c r="F58" s="105"/>
      <c r="G58" t="str">
        <f t="shared" si="3"/>
        <v xml:space="preserve">A.1.5 Author and Organisation - </v>
      </c>
    </row>
    <row r="59" spans="1:12" ht="409.6" thickBot="1" x14ac:dyDescent="0.9">
      <c r="B59" t="str">
        <f t="shared" si="2"/>
        <v>A.1.5.1 Author organization</v>
      </c>
      <c r="C59" s="104" t="s">
        <v>79</v>
      </c>
      <c r="D59" s="105" t="s">
        <v>801</v>
      </c>
      <c r="E59" s="105" t="s">
        <v>802</v>
      </c>
      <c r="F59" s="105"/>
      <c r="G59"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0" spans="1:12" ht="163" thickBot="1" x14ac:dyDescent="0.9">
      <c r="B60" t="str">
        <f t="shared" si="2"/>
        <v>A.1.5.2 Legal authenticator</v>
      </c>
      <c r="C60" s="104" t="s">
        <v>81</v>
      </c>
      <c r="D60" s="105" t="s">
        <v>803</v>
      </c>
      <c r="E60" s="105" t="s">
        <v>804</v>
      </c>
      <c r="F60" s="105"/>
      <c r="G60" t="str">
        <f t="shared" si="3"/>
        <v>A.1.5.2 Legal authenticator - Legal entity (Health Professional or Health Care Provider) who authenticated the Patient Summary</v>
      </c>
    </row>
    <row r="61" spans="1:12" ht="15.5" thickBot="1" x14ac:dyDescent="0.9">
      <c r="B61" t="str">
        <f t="shared" si="2"/>
        <v>A.1.6 Additional information / Knowledge resources</v>
      </c>
      <c r="C61" s="108" t="s">
        <v>805</v>
      </c>
      <c r="D61" s="109" t="s">
        <v>806</v>
      </c>
      <c r="E61" s="105"/>
      <c r="F61" s="105"/>
      <c r="G61" t="str">
        <f t="shared" si="3"/>
        <v xml:space="preserve">A.1.6 Additional information / Knowledge resources - </v>
      </c>
    </row>
    <row r="62" spans="1:12" ht="409.6" thickBot="1" x14ac:dyDescent="0.9">
      <c r="B62" t="str">
        <f t="shared" si="2"/>
        <v>A.1.6.1 External reference</v>
      </c>
      <c r="C62" s="104" t="s">
        <v>86</v>
      </c>
      <c r="D62" s="105" t="s">
        <v>807</v>
      </c>
      <c r="E62" s="105" t="s">
        <v>808</v>
      </c>
      <c r="F62" s="105"/>
      <c r="G62"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3" spans="1:12" ht="399" thickBot="1" x14ac:dyDescent="0.9">
      <c r="B63" t="str">
        <f t="shared" si="2"/>
        <v>A.1.6.2 Related with</v>
      </c>
      <c r="C63" s="104" t="s">
        <v>88</v>
      </c>
      <c r="D63" s="105" t="s">
        <v>625</v>
      </c>
      <c r="E63" s="105" t="s">
        <v>809</v>
      </c>
      <c r="F63" s="105"/>
      <c r="G63"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1" sqref="C81"/>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839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ht="29.5" x14ac:dyDescent="0.75">
      <c r="C23" s="14" t="str">
        <f>IF(PS!J23="*  ..  ##34###34# ##334###334#","//--- END",PS!J23)</f>
        <v>* body.alerts.allergy 0..* http://hl7.eu/fhir/ig/xpandh/ps/StructureDefinition/Allergy ##34#A.2.1.1 Allergy##34# ##334#A.2.1.1 - Allergy##334#</v>
      </c>
    </row>
    <row r="24" spans="3:3" ht="29.5" x14ac:dyDescent="0.75">
      <c r="C24" s="14" t="str">
        <f>IF(PS!J24="*  ..  ##34###34# ##334###334#","//--- END",PS!J24)</f>
        <v>* body.alerts.alert 0..* BackboneElement ##34#A.2.1.2 Medical alert information (other alerts not included in allergies)##34# ##334#A.2.1.2 - Medical alert information (other alerts not included in allergies)##334#</v>
      </c>
    </row>
    <row r="25" spans="3:3" ht="177"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ht="29.5" x14ac:dyDescent="0.75">
      <c r="C27" s="14" t="str">
        <f>IF(PS!J27="*  ..  ##34###34# ##334###334#","//--- END",PS!J27)</f>
        <v>* body.medicalHistory.vaccination 0..* http://hl7.eu/fhir/ig/xpandh/ps/StructureDefinition/Vaccination ##34#A.2.2.1 Vaccination/ prophylaxis information##34# ##334#A.2.2.1 - Vaccination/ prophylaxis information##334#</v>
      </c>
    </row>
    <row r="28" spans="3:3" ht="29.5" x14ac:dyDescent="0.75">
      <c r="C28" s="14" t="str">
        <f>IF(PS!J28="*  ..  ##34###34# ##334###334#","//--- END",PS!J28)</f>
        <v>* body.medicalHistory.inactiveProblem 0..* BackboneElement ##34#A.2.2.2 Resolved, closed or inactive problems##34# ##334#A.2.2.2 - Resolved, closed or inactive problems##334#</v>
      </c>
    </row>
    <row r="29" spans="3:3" ht="29.5" x14ac:dyDescent="0.75">
      <c r="C29" s="14" t="str">
        <f>IF(PS!J29="*  ..  ##34###34# ##334###334#","//--- END",PS!J29)</f>
        <v>* body.medicalHistory.anamnesis 0..1 BackboneElement ##34#A.2.2.3 Medical history##34# ##334#A.2.2.3 - Medical history##334#</v>
      </c>
    </row>
    <row r="30" spans="3:3" ht="29.5" x14ac:dyDescent="0.75">
      <c r="C30" s="14" t="str">
        <f>IF(PS!J30="*  ..  ##34###34# ##334###334#","//--- END",PS!J30)</f>
        <v>* body.medicalHistory.medicalDevices 1..1 BackboneElement ##34#A.2.3.2 Medical devices and implants##34# ##334#A.2.3.2 - Medical devices and implants##334#</v>
      </c>
    </row>
    <row r="31" spans="3:3" x14ac:dyDescent="0.75">
      <c r="C31" s="14" t="str">
        <f>IF(PS!J31="*  ..  ##34###34# ##334###334#","//--- END",PS!J31)</f>
        <v>* body.medicalHistory.procedures 1..1 BackboneElement ##34#A.2.3.3 Procedures##34# ##334#A.2.3.3 - Procedures##334#</v>
      </c>
    </row>
    <row r="32" spans="3:3" ht="29.5" x14ac:dyDescent="0.75">
      <c r="C32" s="14" t="str">
        <f>IF(PS!J32="*  ..  ##34###34# ##334###334#","//--- END",PS!J32)</f>
        <v>* body.medicalHistory.functionalStatus 0..1 BackboneElement ##34#A.2.3.4 Functional status##34# ##334#A.2.3.4 - Functional status##334#</v>
      </c>
    </row>
    <row r="33" spans="3:3" ht="29.5" x14ac:dyDescent="0.75">
      <c r="C33" s="14" t="str">
        <f>IF(PS!J33="*  ..  ##34###34# ##334###334#","//--- END",PS!J33)</f>
        <v>* body.medicationSummary 1..1 BackboneElement ##34#A.2.4 Medication summary##34# ##334#A.2.4 - Medication summary##334#</v>
      </c>
    </row>
    <row r="34" spans="3:3" ht="59" x14ac:dyDescent="0.75">
      <c r="C34" s="14" t="str">
        <f>IF(PS!J34="*  ..  ##34###34# ##334###334#","//--- END",PS!J34)</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5" spans="3:3" x14ac:dyDescent="0.75">
      <c r="C35" s="14" t="str">
        <f>IF(PS!J35="*  ..  ##34###34# ##334###334#","//--- END",PS!J35)</f>
        <v>* body.socialHistory 0..1 BackboneElement ##34#A.2.5 Social history##34# ##334#A.2.5 - Social history##334#</v>
      </c>
    </row>
    <row r="36" spans="3:3" x14ac:dyDescent="0.75">
      <c r="C36" s="14" t="str">
        <f>IF(PS!J36="*  ..  ##34###34# ##334###334#","//--- END",PS!J36)</f>
        <v>* body.pregnancyHistory 0..1 BackboneElement ##34#A.2.6 Pregnancy history##34# ##334#A.2.6 Pregnancy history##334#</v>
      </c>
    </row>
    <row r="37" spans="3:3" x14ac:dyDescent="0.75">
      <c r="C37" s="14" t="str">
        <f>IF(PS!J37="*  ..  ##34###34# ##334###334#","//--- END",PS!J37)</f>
        <v>* body.patientData 0..1 BackboneElement ##34#A.2.7 Patient provided data##34# ##334#A.2.7 - Patient provided data##334#</v>
      </c>
    </row>
    <row r="38" spans="3:3" x14ac:dyDescent="0.75">
      <c r="C38" s="14" t="str">
        <f>IF(PS!J38="*  ..  ##34###34# ##334###334#","//--- END",PS!J38)</f>
        <v>* body.patientData.travelHistory 0..1 BackboneElement ##34#A.2.7.1 Travel history##34# ##334#A.2.7.1 - Travel history##334#</v>
      </c>
    </row>
    <row r="39" spans="3:3" ht="29.5" x14ac:dyDescent="0.75">
      <c r="C39" s="14" t="str">
        <f>IF(PS!J39="*  ..  ##34###34# ##334###334#","//--- END",PS!J39)</f>
        <v>* body.patientData.advanceDirective 0..1 BackboneElement ##34#A.2.7.2 Advance Directive##34# ##334#A.2.7.2 - Advance Directive##334#</v>
      </c>
    </row>
    <row r="40" spans="3:3" x14ac:dyDescent="0.75">
      <c r="C40" s="14" t="str">
        <f>IF(PS!J40="*  ..  ##34###34# ##334###334#","//--- END",PS!J40)</f>
        <v>* body.results 0..1 BackboneElement ##34#A.2.8 Results##34# ##334#A.2.8 - Results##334#</v>
      </c>
    </row>
    <row r="41" spans="3:3" x14ac:dyDescent="0.75">
      <c r="C41" s="14" t="str">
        <f>IF(PS!J41="*  ..  ##34###34# ##334###334#","//--- END",PS!J41)</f>
        <v>* body.planOfCare 0..1 BackboneElement ##34#A.2.9 Plan of Care##34# ##334#A.2.9 - Plan of Care##334#</v>
      </c>
    </row>
    <row r="42" spans="3:3" x14ac:dyDescent="0.75">
      <c r="C42" s="14" t="str">
        <f>IF(PS!J42="*  ..  ##34###34# ##334###334#","//--- END",PS!J42)</f>
        <v>//--- END</v>
      </c>
    </row>
    <row r="43" spans="3:3" x14ac:dyDescent="0.75">
      <c r="C43" s="14" t="str">
        <f>IF(PS!J43="*  ..  ##34###34# ##334###334#","//--- END",PS!J43)</f>
        <v>//--- END</v>
      </c>
    </row>
    <row r="44" spans="3:3" x14ac:dyDescent="0.75">
      <c r="C44" s="14" t="str">
        <f>IF(PS!J44="*  ..  ##34###34# ##334###334#","//--- END",PS!J44)</f>
        <v>//--- END</v>
      </c>
    </row>
    <row r="45" spans="3:3" x14ac:dyDescent="0.75">
      <c r="C45" s="14" t="str">
        <f>IF(PS!J45="*  ..  ##34###34# ##334###334#","//--- END",PS!J45)</f>
        <v>//--- END</v>
      </c>
    </row>
    <row r="46" spans="3:3" x14ac:dyDescent="0.75">
      <c r="C46" s="14" t="str">
        <f>IF(PS!J46="*  ..  ##34###34# ##334###334#","//--- END",PS!J46)</f>
        <v>//--- END</v>
      </c>
    </row>
    <row r="52" spans="3:3" x14ac:dyDescent="0.75">
      <c r="C52" s="31" t="s">
        <v>363</v>
      </c>
    </row>
    <row r="53" spans="3:3" x14ac:dyDescent="0.75">
      <c r="C53" s="32" t="s">
        <v>500</v>
      </c>
    </row>
    <row r="54" spans="3:3" x14ac:dyDescent="0.75">
      <c r="C54" s="32" t="s">
        <v>363</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IF(PS!L30="*  ..  ##34###34# ##334###334#","//--- END",PS!L30)</f>
        <v/>
      </c>
    </row>
    <row r="79" spans="3:3" x14ac:dyDescent="0.75">
      <c r="C79" s="14" t="str">
        <f>IF(PS!L31="*  ..  ##34###34# ##334###334#","//--- END",PS!L31)</f>
        <v/>
      </c>
    </row>
    <row r="80" spans="3:3" x14ac:dyDescent="0.75">
      <c r="C80" s="14" t="str">
        <f>IF(PS!L32="*  ..  ##34###34# ##334###334#","//--- END",PS!L32)</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31"/>
  <sheetViews>
    <sheetView topLeftCell="A33" zoomScale="85" zoomScaleNormal="85" workbookViewId="0">
      <selection activeCell="B42" sqref="B42"/>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1117</v>
      </c>
      <c r="D3" s="66" t="s">
        <v>391</v>
      </c>
      <c r="E3" t="s">
        <v>1178</v>
      </c>
    </row>
    <row r="4" spans="1:19" x14ac:dyDescent="0.75">
      <c r="B4" s="66" t="s">
        <v>19</v>
      </c>
      <c r="C4" s="49" t="s">
        <v>1121</v>
      </c>
      <c r="D4" s="66" t="s">
        <v>392</v>
      </c>
      <c r="E4" s="77" t="s">
        <v>1179</v>
      </c>
    </row>
    <row r="5" spans="1:19" x14ac:dyDescent="0.75">
      <c r="B5" s="66" t="s">
        <v>13</v>
      </c>
      <c r="C5" s="21" t="s">
        <v>1123</v>
      </c>
      <c r="D5" s="66"/>
      <c r="E5" s="10"/>
    </row>
    <row r="6" spans="1:19" ht="29.5" x14ac:dyDescent="0.75">
      <c r="B6" s="66" t="s">
        <v>35</v>
      </c>
      <c r="C6" s="117" t="s">
        <v>1178</v>
      </c>
      <c r="D6" s="66" t="s">
        <v>389</v>
      </c>
      <c r="E6" s="141" t="s">
        <v>1178</v>
      </c>
      <c r="F6" s="141"/>
      <c r="G6" s="141"/>
    </row>
    <row r="7" spans="1:19" x14ac:dyDescent="0.75">
      <c r="B7" s="66" t="s">
        <v>18</v>
      </c>
      <c r="C7" s="118" t="s">
        <v>810</v>
      </c>
      <c r="D7" s="66" t="s">
        <v>390</v>
      </c>
      <c r="E7" s="141" t="s">
        <v>1180</v>
      </c>
      <c r="F7" s="141"/>
      <c r="G7" s="141"/>
    </row>
    <row r="8" spans="1:19" ht="44.25" x14ac:dyDescent="0.75">
      <c r="B8" s="66" t="s">
        <v>387</v>
      </c>
      <c r="C8" s="21" t="s">
        <v>1123</v>
      </c>
      <c r="D8" s="66"/>
      <c r="E8" s="10"/>
      <c r="I8" s="14" t="s">
        <v>364</v>
      </c>
      <c r="J8" s="14" t="s">
        <v>365</v>
      </c>
      <c r="K8" s="14" t="s">
        <v>366</v>
      </c>
      <c r="L8" s="14" t="s">
        <v>367</v>
      </c>
      <c r="M8" s="9" t="s">
        <v>368</v>
      </c>
      <c r="P8" s="62" t="s">
        <v>369</v>
      </c>
      <c r="Q8" s="62">
        <v>6</v>
      </c>
    </row>
    <row r="9" spans="1:19" ht="29.5" x14ac:dyDescent="0.75">
      <c r="B9" s="66" t="s">
        <v>388</v>
      </c>
      <c r="C9" s="1" t="s">
        <v>725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830</v>
      </c>
      <c r="C14" s="14"/>
      <c r="D14" s="4" t="s">
        <v>180</v>
      </c>
      <c r="E14" s="8"/>
      <c r="F14" s="9"/>
      <c r="G14" s="9"/>
      <c r="I14" s="14"/>
      <c r="J14" s="9"/>
      <c r="K14" s="9"/>
      <c r="L14" s="9"/>
      <c r="M14" s="64"/>
      <c r="N14" s="67"/>
    </row>
    <row r="15" spans="1:19" ht="44.25" x14ac:dyDescent="0.75">
      <c r="A15" s="22"/>
      <c r="B15" s="9" t="str">
        <f>PS!B8</f>
        <v>header</v>
      </c>
      <c r="C15" s="9" t="str">
        <f>PS!C8</f>
        <v>A.1 Report header data elements</v>
      </c>
      <c r="D15" s="14"/>
      <c r="E15" s="9"/>
      <c r="F15" s="68" t="s">
        <v>376</v>
      </c>
      <c r="G15" s="68"/>
      <c r="H15" s="69"/>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INDEX('PS-ConceptMap-1'!$I$15:$N$274,Q15+1,R15)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I31" si="4">"* group[=].element[+].code = #"&amp;$B$14&amp;"."&amp;B16</f>
        <v>* group[=].element[+].code = #PatientSummary.header.subject</v>
      </c>
      <c r="J16" s="14" t="str">
        <f t="shared" ref="J16:J32" si="5">"* group[=].element[=].display = ##34#"&amp;C16&amp;"##34#"</f>
        <v>* group[=].element[=].display = ##34#A.1.1 A1.2 Patient/subject##34#</v>
      </c>
      <c r="K16" s="14" t="str">
        <f t="shared" ref="K16:K31"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41" si="10">IF(MOD(P16,$Q$8)=0,P16/$Q$8-1,INT(P16/$Q$8))</f>
        <v>0</v>
      </c>
      <c r="R16" s="9">
        <f t="shared" ref="R16:R31" si="11">IF(MOD(P16,$Q$8)=0,$Q$8,MOD(P16,$Q$8))</f>
        <v>2</v>
      </c>
      <c r="S16" s="14" t="str" cm="1">
        <f t="array" ref="S16">INDEX('PS-ConceptMap-1'!$I$15:$N$274,Q16+1,R16)</f>
        <v>* group[=].element[=].display = ##34#A.1 Report header data elements##34#</v>
      </c>
    </row>
    <row r="17" spans="1:19" ht="44.25" x14ac:dyDescent="0.75">
      <c r="A17" s="22"/>
      <c r="B17" s="9" t="str">
        <f>PS!B10</f>
        <v>header.insuranceInfo</v>
      </c>
      <c r="C17" s="9" t="str">
        <f>PS!C10</f>
        <v>A.1.3 Insurance information</v>
      </c>
      <c r="D17" s="14" t="s">
        <v>384</v>
      </c>
      <c r="E17" s="9"/>
      <c r="F17" s="68" t="s">
        <v>376</v>
      </c>
      <c r="G17" s="4" t="s">
        <v>783</v>
      </c>
      <c r="H17" s="69"/>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INDEX('PS-ConceptMap-1'!$I$15:$N$274,Q17+1,R17)</f>
        <v>* group[=].element[=].target.code = #Composition</v>
      </c>
    </row>
    <row r="18" spans="1:19" ht="44.25" x14ac:dyDescent="0.75">
      <c r="A18" s="22"/>
      <c r="B18" s="9" t="str">
        <f>PS!B11</f>
        <v>header.documentData</v>
      </c>
      <c r="C18" s="9" t="str">
        <f>PS!C11</f>
        <v>A.1.4 Document data</v>
      </c>
      <c r="D18" s="14"/>
      <c r="E18" s="9"/>
      <c r="F18" s="68" t="s">
        <v>376</v>
      </c>
      <c r="G18" s="68"/>
      <c r="H18" s="69"/>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INDEX('PS-ConceptMap-1'!$I$15:$N$274,Q18+1,R18)</f>
        <v>* group[=].element[=].target.display = ##34###34#</v>
      </c>
    </row>
    <row r="19" spans="1:19" ht="44.25" x14ac:dyDescent="0.75">
      <c r="A19" s="22"/>
      <c r="B19" s="9" t="str">
        <f>PS!B12</f>
        <v>header.documentData.created</v>
      </c>
      <c r="C19" s="9" t="str">
        <f>PS!C12</f>
        <v>A.1.4.1 Date created</v>
      </c>
      <c r="D19" s="14" t="s">
        <v>394</v>
      </c>
      <c r="E19" s="9"/>
      <c r="F19" s="68" t="s">
        <v>376</v>
      </c>
      <c r="G19" s="68"/>
      <c r="H19" s="69"/>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INDEX('PS-ConceptMap-1'!$I$15:$N$274,Q19+1,R19)</f>
        <v>* group[=].element[=].target.equivalence = #relatedto</v>
      </c>
    </row>
    <row r="20" spans="1:19" ht="73.75" x14ac:dyDescent="0.75">
      <c r="A20" s="22"/>
      <c r="B20" s="9" t="str">
        <f>PS!B13</f>
        <v>header.documentData.lastUpdate</v>
      </c>
      <c r="C20" s="9" t="str">
        <f>PS!C13</f>
        <v>A.1.4.2 Date of last update</v>
      </c>
      <c r="D20" s="14" t="s">
        <v>1124</v>
      </c>
      <c r="E20" s="9"/>
      <c r="F20" s="68" t="s">
        <v>376</v>
      </c>
      <c r="G20" s="4" t="s">
        <v>783</v>
      </c>
      <c r="H20" s="69"/>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INDEX('PS-ConceptMap-1'!$I$15:$N$274,Q20+1,R20)</f>
        <v/>
      </c>
    </row>
    <row r="21" spans="1:19" ht="118" x14ac:dyDescent="0.75">
      <c r="A21" s="22"/>
      <c r="B21" s="9" t="str">
        <f>PS!B14</f>
        <v>header.documentData.natureOfIPS</v>
      </c>
      <c r="C21" s="9" t="str">
        <f>PS!C14</f>
        <v>A.1.4.3 Nature of the PS</v>
      </c>
      <c r="D21" s="14" t="s">
        <v>466</v>
      </c>
      <c r="E21" s="9"/>
      <c r="F21" s="68" t="s">
        <v>376</v>
      </c>
      <c r="G21" s="88" t="s">
        <v>1125</v>
      </c>
      <c r="H21" s="69"/>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INDEX('PS-ConceptMap-1'!$I$15:$N$274,Q21+1,R21)</f>
        <v>* group[=].element[+].code = #PatientSummary.header.subject</v>
      </c>
    </row>
    <row r="22" spans="1:19" ht="44.25" x14ac:dyDescent="0.75">
      <c r="A22" s="22"/>
      <c r="B22" s="9" t="str">
        <f>PS!B15</f>
        <v>header.participant</v>
      </c>
      <c r="C22" s="9" t="str">
        <f>PS!C15</f>
        <v>A.1.5 Author and Organisation</v>
      </c>
      <c r="D22" s="14" t="s">
        <v>466</v>
      </c>
      <c r="E22" s="9"/>
      <c r="F22" s="68" t="s">
        <v>376</v>
      </c>
      <c r="G22" s="68"/>
      <c r="H22" s="69"/>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INDEX('PS-ConceptMap-1'!$I$15:$N$274,Q22+1,R22)</f>
        <v>* group[=].element[=].display = ##34#A.1.1 A1.2 Patient/subject##34#</v>
      </c>
    </row>
    <row r="23" spans="1:19" ht="73.75" x14ac:dyDescent="0.75">
      <c r="A23" s="22"/>
      <c r="B23" s="9" t="str">
        <f>PS!B16</f>
        <v>header.participant.author</v>
      </c>
      <c r="C23" s="9" t="str">
        <f>PS!C16</f>
        <v>A.1.5.1 Author organization</v>
      </c>
      <c r="D23" s="14" t="s">
        <v>466</v>
      </c>
      <c r="E23" s="9"/>
      <c r="F23" s="68" t="s">
        <v>375</v>
      </c>
      <c r="G23" s="91" t="s">
        <v>1126</v>
      </c>
      <c r="H23" s="69"/>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INDEX('PS-ConceptMap-1'!$I$15:$N$274,Q23+1,R23)</f>
        <v>* group[=].element[=].target.code = #Composition.subject</v>
      </c>
    </row>
    <row r="24" spans="1:19" ht="59" x14ac:dyDescent="0.75">
      <c r="A24" s="22"/>
      <c r="B24" s="9" t="str">
        <f>PS!B17</f>
        <v>header.participant.legalAuth</v>
      </c>
      <c r="C24" s="9" t="str">
        <f>PS!C17</f>
        <v>A.1.5.2 Legal authenticator</v>
      </c>
      <c r="D24" s="14" t="s">
        <v>1127</v>
      </c>
      <c r="E24" s="14"/>
      <c r="F24" s="68" t="s">
        <v>376</v>
      </c>
      <c r="G24" s="75" t="s">
        <v>1128</v>
      </c>
      <c r="H24" s="69"/>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INDEX('PS-ConceptMap-1'!$I$15:$N$274,Q24+1,R24)</f>
        <v>* group[=].element[=].target.display = ##34###34#</v>
      </c>
    </row>
    <row r="25" spans="1:19" ht="59" x14ac:dyDescent="0.75">
      <c r="A25" s="22"/>
      <c r="B25" s="9" t="str">
        <f>PS!B18</f>
        <v>header.additionalInfo</v>
      </c>
      <c r="C25" s="9" t="str">
        <f>PS!C18</f>
        <v>A.1.6 Additional information / Knowledge resources</v>
      </c>
      <c r="D25" s="14"/>
      <c r="E25" s="14"/>
      <c r="F25" s="68" t="s">
        <v>377</v>
      </c>
      <c r="G25" s="102" t="s">
        <v>1129</v>
      </c>
      <c r="H25" s="69"/>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INDEX('PS-ConceptMap-1'!$I$15:$N$274,Q25+1,R25)</f>
        <v>* group[=].element[=].target.equivalence = #relatedto</v>
      </c>
    </row>
    <row r="26" spans="1:19" ht="59" x14ac:dyDescent="0.75">
      <c r="B26" s="9" t="str">
        <f>PS!B19</f>
        <v>header.additionalInfo.reference</v>
      </c>
      <c r="C26" s="9" t="str">
        <f>PS!C19</f>
        <v>A.1.6.1 External reference</v>
      </c>
      <c r="D26" s="14"/>
      <c r="E26" s="14"/>
      <c r="F26" s="68" t="s">
        <v>377</v>
      </c>
      <c r="G26" s="102" t="s">
        <v>1129</v>
      </c>
      <c r="H26" s="69"/>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INDEX('PS-ConceptMap-1'!$I$15:$N$274,Q26+1,R26)</f>
        <v/>
      </c>
    </row>
    <row r="27" spans="1:19" ht="59" x14ac:dyDescent="0.75">
      <c r="B27" s="9" t="str">
        <f>PS!B20</f>
        <v>header.additionalInfo.relatedWith</v>
      </c>
      <c r="C27" s="9" t="str">
        <f>PS!C20</f>
        <v>A.1.6.2 Related with</v>
      </c>
      <c r="D27" s="14"/>
      <c r="E27" s="14"/>
      <c r="F27" s="68" t="s">
        <v>377</v>
      </c>
      <c r="G27" s="102" t="s">
        <v>1129</v>
      </c>
      <c r="H27" s="69"/>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INDEX('PS-ConceptMap-1'!$I$15:$N$274,Q27+1,R27)</f>
        <v>* group[=].element[+].code = #PatientSummary.header.insuranceInfo</v>
      </c>
    </row>
    <row r="28" spans="1:19" ht="44.25" x14ac:dyDescent="0.75">
      <c r="B28" s="9" t="str">
        <f>PS!B21</f>
        <v>body</v>
      </c>
      <c r="C28" s="9" t="str">
        <f>PS!C21</f>
        <v>A.2 Patient summary body data elements</v>
      </c>
      <c r="D28" s="14" t="s">
        <v>1130</v>
      </c>
      <c r="E28" s="14"/>
      <c r="F28" s="68" t="s">
        <v>376</v>
      </c>
      <c r="G28" s="68"/>
      <c r="H28" s="69"/>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INDEX('PS-ConceptMap-1'!$I$15:$N$274,Q28+1,R28)</f>
        <v>* group[=].element[=].display = ##34#A.1.3 Insurance information##34#</v>
      </c>
    </row>
    <row r="29" spans="1:19" ht="44.25" x14ac:dyDescent="0.75">
      <c r="B29" s="9" t="str">
        <f>PS!B22</f>
        <v>body.alerts</v>
      </c>
      <c r="C29" s="9" t="str">
        <f>PS!C22</f>
        <v>A.2.1 Alerts</v>
      </c>
      <c r="D29" s="14" t="s">
        <v>1130</v>
      </c>
      <c r="E29" s="14"/>
      <c r="F29" s="68" t="s">
        <v>376</v>
      </c>
      <c r="G29" s="68"/>
      <c r="H29" s="69"/>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INDEX('PS-ConceptMap-1'!$I$15:$N$274,Q29+1,R29)</f>
        <v>* group[=].element[=].target.code = #Composition.subject</v>
      </c>
    </row>
    <row r="30" spans="1:19" ht="59" customHeight="1" x14ac:dyDescent="0.75">
      <c r="B30" s="9" t="str">
        <f>PS!B23</f>
        <v>body.alerts.allergy</v>
      </c>
      <c r="C30" s="9" t="str">
        <f>PS!C23</f>
        <v>A.2.1.1 Allergy</v>
      </c>
      <c r="D30" s="14" t="s">
        <v>1169</v>
      </c>
      <c r="E30" s="14"/>
      <c r="F30" s="68" t="s">
        <v>375</v>
      </c>
      <c r="G30" s="68"/>
      <c r="H30" s="69"/>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INDEX('PS-ConceptMap-1'!$I$15:$N$274,Q30+1,R30)</f>
        <v>* group[=].element[=].target.display = ##34###34#</v>
      </c>
    </row>
    <row r="31" spans="1:19" ht="73.75" x14ac:dyDescent="0.75">
      <c r="B31" s="9" t="str">
        <f>PS!B24</f>
        <v>body.alerts.alert</v>
      </c>
      <c r="C31" s="9" t="str">
        <f>PS!C24</f>
        <v>A.2.1.2 Medical alert information (other alerts not included in allergies)</v>
      </c>
      <c r="D31" s="14" t="s">
        <v>1242</v>
      </c>
      <c r="E31" s="14"/>
      <c r="F31" s="68" t="s">
        <v>376</v>
      </c>
      <c r="G31" s="68"/>
      <c r="H31" s="69"/>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INDEX('PS-ConceptMap-1'!$I$15:$N$274,Q31+1,R31)</f>
        <v>* group[=].element[=].target.equivalence = #relatedto</v>
      </c>
    </row>
    <row r="32" spans="1:19" ht="73.75" x14ac:dyDescent="0.75">
      <c r="B32" s="9" t="str">
        <f>PS!B25</f>
        <v>body.alerts.alert.description</v>
      </c>
      <c r="C32" s="9" t="str">
        <f>PS!C25</f>
        <v>A.2.1.2.1 Healthcare alert description</v>
      </c>
      <c r="D32" s="14" t="s">
        <v>1243</v>
      </c>
      <c r="E32" s="14"/>
      <c r="F32" s="68" t="s">
        <v>376</v>
      </c>
      <c r="G32" s="68"/>
      <c r="H32" s="69"/>
      <c r="I32" s="14" t="str">
        <f>"* group[=].element[+].code = #"&amp;$B$14&amp;"."&amp;B32</f>
        <v>* group[=].element[+].code = #PatientSummary.body.alerts.alert.description</v>
      </c>
      <c r="J32" s="14" t="str">
        <f t="shared" si="5"/>
        <v>* group[=].element[=].display = ##34#A.2.1.2.1 Healthcare alert description##34#</v>
      </c>
      <c r="K32" s="14" t="str">
        <f>IF(F32="unmatched","//-- unmatched",IF(D32="","* group[=].element[=].target.code = #"&amp;$D$14,"* group[=].element[=].target.code = #"&amp;$D$14&amp;"."&amp;D32))</f>
        <v>* group[=].element[=].target.code = #Composition.section:sectionAlert.text</v>
      </c>
      <c r="L32" s="14" t="str">
        <f t="shared" si="7"/>
        <v>* group[=].element[=].target.display = ##34###34#</v>
      </c>
      <c r="M32" s="14" t="str">
        <f t="shared" si="8"/>
        <v>* group[=].element[=].target.equivalence = #relatedto</v>
      </c>
      <c r="N32" s="14" t="str">
        <f t="shared" si="9"/>
        <v/>
      </c>
      <c r="P32" s="9">
        <v>18</v>
      </c>
      <c r="Q32" s="9">
        <f>IF(MOD(P32,$Q$8)=0,P32/$Q$8-1,INT(P32/$Q$8))</f>
        <v>2</v>
      </c>
      <c r="R32" s="9">
        <f>IF(MOD(P32,$Q$8)=0,$Q$8,MOD(P32,$Q$8))</f>
        <v>6</v>
      </c>
      <c r="S32" s="14" t="str" cm="1">
        <f t="array" ref="S32">INDEX('PS-ConceptMap-1'!$I$15:$N$274,Q32+1,R32)</f>
        <v>* group[=].element[=].target.comment = ##34#To be checked##34#</v>
      </c>
    </row>
    <row r="33" spans="1:19" ht="73.75" x14ac:dyDescent="0.75">
      <c r="B33" s="119" t="str">
        <f>PS!B25</f>
        <v>body.alerts.alert.description</v>
      </c>
      <c r="C33" s="119" t="str">
        <f>PS!C25</f>
        <v>A.2.1.2.1 Healthcare alert description</v>
      </c>
      <c r="D33" s="14" t="s">
        <v>1244</v>
      </c>
      <c r="E33" s="14"/>
      <c r="F33" s="68" t="s">
        <v>376</v>
      </c>
      <c r="G33" s="68" t="s">
        <v>1245</v>
      </c>
      <c r="H33" s="69"/>
      <c r="I33" s="14" t="str">
        <f t="shared" ref="I33:I35" si="12">"* group[=].element[+].code = #"&amp;$B$14&amp;"."&amp;B33</f>
        <v>* group[=].element[+].code = #PatientSummary.body.alerts.alert.description</v>
      </c>
      <c r="J33" s="14" t="str">
        <f t="shared" ref="J33:J35" si="13">"* group[=].element[=].display = ##34#"&amp;C33&amp;"##34#"</f>
        <v>* group[=].element[=].display = ##34#A.2.1.2.1 Healthcare alert description##34#</v>
      </c>
      <c r="K33" s="14" t="str">
        <f t="shared" ref="K33:K35" si="14">IF(F33="unmatched","//-- unmatched",IF(D33="","* group[=].element[=].target.code = #"&amp;$D$14,"* group[=].element[=].target.code = #"&amp;$D$14&amp;"."&amp;D33))</f>
        <v>* group[=].element[=].target.code = #Composition.section:sectionAlert.entry.code.text</v>
      </c>
      <c r="L33" s="14" t="str">
        <f t="shared" ref="L33:L35" si="15">IF(F33="unmatched","//-- unmatched","* group[=].element[=].target.display = ##34#"&amp;E33&amp;"##34#")</f>
        <v>* group[=].element[=].target.display = ##34###34#</v>
      </c>
      <c r="M33" s="14" t="str">
        <f t="shared" ref="M33:M35" si="16">"* group[=].element[=].target.equivalence = #"&amp;F33</f>
        <v>* group[=].element[=].target.equivalence = #relatedto</v>
      </c>
      <c r="N33" s="14" t="str">
        <f t="shared" ref="N33:N35" si="17">IF(G33&lt;&gt;"",CONCATENATE("* group[=].element[=].target.comment = ","##34#",G33,"##34#"),"")</f>
        <v>* group[=].element[=].target.comment = ##34#entry of type Flag##34#</v>
      </c>
      <c r="P33" s="9">
        <v>19</v>
      </c>
      <c r="Q33" s="9">
        <f t="shared" si="10"/>
        <v>3</v>
      </c>
      <c r="R33" s="9">
        <f t="shared" ref="R33:R41" si="18">IF(MOD(P33,$Q$8)=0,$Q$8,MOD(P33,$Q$8))</f>
        <v>1</v>
      </c>
      <c r="S33" s="14" t="str" cm="1">
        <f t="array" ref="S33">INDEX('PS-ConceptMap-1'!$I$15:$N$274,Q33+1,R33)</f>
        <v>* group[=].element[+].code = #PatientSummary.header.documentData</v>
      </c>
    </row>
    <row r="34" spans="1:19" ht="44.25" x14ac:dyDescent="0.75">
      <c r="B34" s="9" t="str">
        <f>PS!B26</f>
        <v>body.medicalHistory</v>
      </c>
      <c r="C34" s="9" t="str">
        <f>PS!C26</f>
        <v>A.2.2 Medical history</v>
      </c>
      <c r="D34" s="14" t="s">
        <v>1130</v>
      </c>
      <c r="E34" s="14"/>
      <c r="F34" s="68" t="s">
        <v>376</v>
      </c>
      <c r="G34" s="68"/>
      <c r="H34" s="69"/>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8"/>
        <v>2</v>
      </c>
      <c r="S34" s="14" t="str" cm="1">
        <f t="array" ref="S34">INDEX('PS-ConceptMap-1'!$I$15:$N$274,Q34+1,R34)</f>
        <v>* group[=].element[=].display = ##34#A.1.4 Document data##34#</v>
      </c>
    </row>
    <row r="35" spans="1:19" ht="73.75" x14ac:dyDescent="0.75">
      <c r="B35" s="9" t="str">
        <f>PS!B27</f>
        <v>body.medicalHistory.vaccination</v>
      </c>
      <c r="C35" s="9" t="str">
        <f>PS!C27</f>
        <v>A.2.2.1 Vaccination/ prophylaxis information</v>
      </c>
      <c r="D35" s="14" t="s">
        <v>1246</v>
      </c>
      <c r="E35" s="14"/>
      <c r="F35" s="68" t="s">
        <v>375</v>
      </c>
      <c r="G35" s="75"/>
      <c r="H35" s="69"/>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8"/>
        <v>3</v>
      </c>
      <c r="S35" s="14" t="str" cm="1">
        <f t="array" ref="S35">INDEX('PS-ConceptMap-1'!$I$15:$N$274,Q35+1,R35)</f>
        <v>* group[=].element[=].target.code = #Composition</v>
      </c>
    </row>
    <row r="36" spans="1:19" ht="73.75" customHeight="1" x14ac:dyDescent="0.75">
      <c r="B36" s="9" t="str">
        <f>PS!B28</f>
        <v>body.medicalHistory.inactiveProblem</v>
      </c>
      <c r="C36" s="9" t="str">
        <f>PS!C28</f>
        <v>A.2.2.2 Resolved, closed or inactive problems</v>
      </c>
      <c r="D36" s="14" t="s">
        <v>1247</v>
      </c>
      <c r="E36" s="14"/>
      <c r="F36" s="68" t="s">
        <v>375</v>
      </c>
      <c r="G36" s="68"/>
      <c r="H36" s="69"/>
      <c r="I36" s="14" t="str">
        <f t="shared" ref="I36:I41" si="19">"* group[=].element[+].code = #"&amp;$B$14&amp;"."&amp;B36</f>
        <v>* group[=].element[+].code = #PatientSummary.body.medicalHistory.inactiveProblem</v>
      </c>
      <c r="J36" s="14" t="str">
        <f t="shared" ref="J36:J41" si="20">"* group[=].element[=].display = ##34#"&amp;C36&amp;"##34#"</f>
        <v>* group[=].element[=].display = ##34#A.2.2.2 Resolved, closed or inactive problems##34#</v>
      </c>
      <c r="K36" s="14" t="str">
        <f t="shared" ref="K36:K41" si="21">IF(F36="unmatched","//-- unmatched",IF(D36="","* group[=].element[=].target.code = #"&amp;$D$14,"* group[=].element[=].target.code = #"&amp;$D$14&amp;"."&amp;D36))</f>
        <v>* group[=].element[=].target.code = #Composition.section:sectionPastIllnessHx.entry</v>
      </c>
      <c r="L36" s="14" t="str">
        <f t="shared" ref="L36:L41" si="22">IF(F36="unmatched","//-- unmatched","* group[=].element[=].target.display = ##34#"&amp;E36&amp;"##34#")</f>
        <v>* group[=].element[=].target.display = ##34###34#</v>
      </c>
      <c r="M36" s="14" t="str">
        <f t="shared" ref="M36:M41" si="23">"* group[=].element[=].target.equivalence = #"&amp;F36</f>
        <v>* group[=].element[=].target.equivalence = #equivalent</v>
      </c>
      <c r="N36" s="14" t="str">
        <f t="shared" ref="N36:N41" si="24">IF(G36&lt;&gt;"",CONCATENATE("* group[=].element[=].target.comment = ","##34#",G36,"##34#"),"")</f>
        <v/>
      </c>
      <c r="P36" s="9">
        <v>22</v>
      </c>
      <c r="Q36" s="9">
        <f t="shared" si="10"/>
        <v>3</v>
      </c>
      <c r="R36" s="9">
        <f t="shared" si="18"/>
        <v>4</v>
      </c>
      <c r="S36" s="14" t="str" cm="1">
        <f t="array" ref="S36">INDEX('PS-ConceptMap-1'!$I$15:$N$274,Q36+1,R36)</f>
        <v>* group[=].element[=].target.display = ##34###34#</v>
      </c>
    </row>
    <row r="37" spans="1:19" ht="44.25" x14ac:dyDescent="0.75">
      <c r="B37" s="9" t="str">
        <f>PS!B29</f>
        <v>body.medicalHistory.anamnesis</v>
      </c>
      <c r="C37" s="9" t="str">
        <f>PS!C29</f>
        <v>A.2.2.3 Medical history</v>
      </c>
      <c r="D37" s="14"/>
      <c r="E37" s="14"/>
      <c r="F37" s="68" t="s">
        <v>376</v>
      </c>
      <c r="G37" s="68"/>
      <c r="H37" s="69"/>
      <c r="I37" s="14" t="str">
        <f t="shared" si="19"/>
        <v>* group[=].element[+].code = #PatientSummary.body.medicalHistory.anamnesis</v>
      </c>
      <c r="J37" s="14" t="str">
        <f t="shared" si="20"/>
        <v>* group[=].element[=].display = ##34#A.2.2.3 Medical history##34#</v>
      </c>
      <c r="K37" s="14" t="str">
        <f t="shared" si="21"/>
        <v>* group[=].element[=].target.code = #Composition</v>
      </c>
      <c r="L37" s="14" t="str">
        <f t="shared" si="22"/>
        <v>* group[=].element[=].target.display = ##34###34#</v>
      </c>
      <c r="M37" s="14" t="str">
        <f t="shared" si="23"/>
        <v>* group[=].element[=].target.equivalence = #relatedto</v>
      </c>
      <c r="N37" s="14" t="str">
        <f t="shared" si="24"/>
        <v/>
      </c>
      <c r="P37" s="9">
        <v>23</v>
      </c>
      <c r="Q37" s="9">
        <f t="shared" si="10"/>
        <v>3</v>
      </c>
      <c r="R37" s="9">
        <f t="shared" si="18"/>
        <v>5</v>
      </c>
      <c r="S37" s="14" t="str" cm="1">
        <f t="array" ref="S37">INDEX('PS-ConceptMap-1'!$I$15:$N$274,Q37+1,R37)</f>
        <v>* group[=].element[=].target.equivalence = #relatedto</v>
      </c>
    </row>
    <row r="38" spans="1:19" ht="73.75" customHeight="1" x14ac:dyDescent="0.75">
      <c r="B38" s="9" t="str">
        <f>PS!B30</f>
        <v>body.medicalHistory.medicalDevices</v>
      </c>
      <c r="C38" s="9" t="str">
        <f>PS!C30</f>
        <v>A.2.3.2 Medical devices and implants</v>
      </c>
      <c r="D38" s="14" t="s">
        <v>1131</v>
      </c>
      <c r="E38" s="14"/>
      <c r="F38" s="68" t="s">
        <v>375</v>
      </c>
      <c r="G38" s="68"/>
      <c r="H38" s="69"/>
      <c r="I38" s="14" t="str">
        <f t="shared" si="19"/>
        <v>* group[=].element[+].code = #PatientSummary.body.medicalHistory.medicalDevices</v>
      </c>
      <c r="J38" s="14" t="str">
        <f t="shared" si="20"/>
        <v>* group[=].element[=].display = ##34#A.2.3.2 Medical devices and implants##34#</v>
      </c>
      <c r="K38" s="14" t="str">
        <f t="shared" si="21"/>
        <v>* group[=].element[=].target.code = #Composition. section:sectionMedicalDevices</v>
      </c>
      <c r="L38" s="14" t="str">
        <f t="shared" si="22"/>
        <v>* group[=].element[=].target.display = ##34###34#</v>
      </c>
      <c r="M38" s="14" t="str">
        <f t="shared" si="23"/>
        <v>* group[=].element[=].target.equivalence = #equivalent</v>
      </c>
      <c r="N38" s="14" t="str">
        <f t="shared" si="24"/>
        <v/>
      </c>
      <c r="P38" s="9">
        <v>24</v>
      </c>
      <c r="Q38" s="9">
        <f t="shared" si="10"/>
        <v>3</v>
      </c>
      <c r="R38" s="9">
        <f t="shared" si="18"/>
        <v>6</v>
      </c>
      <c r="S38" s="14" t="str" cm="1">
        <f t="array" ref="S38">INDEX('PS-ConceptMap-1'!$I$15:$N$274,Q38+1,R38)</f>
        <v/>
      </c>
    </row>
    <row r="39" spans="1:19" ht="73.75" customHeight="1" x14ac:dyDescent="0.75">
      <c r="B39" s="9" t="str">
        <f>PS!B31</f>
        <v>body.medicalHistory.procedures</v>
      </c>
      <c r="C39" s="9" t="str">
        <f>PS!C31</f>
        <v>A.2.3.3 Procedures</v>
      </c>
      <c r="D39" s="14" t="s">
        <v>1134</v>
      </c>
      <c r="E39" s="14"/>
      <c r="F39" s="68" t="s">
        <v>375</v>
      </c>
      <c r="G39" s="14"/>
      <c r="H39" s="69"/>
      <c r="I39" s="14" t="str">
        <f t="shared" si="19"/>
        <v>* group[=].element[+].code = #PatientSummary.body.medicalHistory.procedures</v>
      </c>
      <c r="J39" s="14" t="str">
        <f t="shared" si="20"/>
        <v>* group[=].element[=].display = ##34#A.2.3.3 Procedures##34#</v>
      </c>
      <c r="K39" s="14" t="str">
        <f t="shared" si="21"/>
        <v>* group[=].element[=].target.code = #Composition.section:sectionProceduresHx</v>
      </c>
      <c r="L39" s="14" t="str">
        <f t="shared" si="22"/>
        <v>* group[=].element[=].target.display = ##34###34#</v>
      </c>
      <c r="M39" s="14" t="str">
        <f t="shared" si="23"/>
        <v>* group[=].element[=].target.equivalence = #equivalent</v>
      </c>
      <c r="N39" s="14" t="str">
        <f t="shared" si="24"/>
        <v/>
      </c>
      <c r="P39" s="9">
        <v>25</v>
      </c>
      <c r="Q39" s="9">
        <f t="shared" si="10"/>
        <v>4</v>
      </c>
      <c r="R39" s="9">
        <f t="shared" si="18"/>
        <v>1</v>
      </c>
      <c r="S39" s="14" t="str" cm="1">
        <f t="array" ref="S39">INDEX('PS-ConceptMap-1'!$I$15:$N$274,Q39+1,R39)</f>
        <v>* group[=].element[+].code = #PatientSummary.header.documentData.created</v>
      </c>
    </row>
    <row r="40" spans="1:19" s="1" customFormat="1" ht="73.75" x14ac:dyDescent="0.75">
      <c r="A40"/>
      <c r="B40" s="9" t="str">
        <f>PS!B32</f>
        <v>body.medicalHistory.functionalStatus</v>
      </c>
      <c r="C40" s="9" t="str">
        <f>PS!C32</f>
        <v>A.2.3.4 Functional status</v>
      </c>
      <c r="D40" s="14" t="s">
        <v>1133</v>
      </c>
      <c r="E40" s="14"/>
      <c r="F40" s="68" t="s">
        <v>375</v>
      </c>
      <c r="G40" s="68"/>
      <c r="H40" s="69"/>
      <c r="I40" s="14" t="str">
        <f t="shared" si="19"/>
        <v>* group[=].element[+].code = #PatientSummary.body.medicalHistory.functionalStatus</v>
      </c>
      <c r="J40" s="14" t="str">
        <f t="shared" si="20"/>
        <v>* group[=].element[=].display = ##34#A.2.3.4 Functional status##34#</v>
      </c>
      <c r="K40" s="14" t="str">
        <f t="shared" si="21"/>
        <v>* group[=].element[=].target.code = #Composition.section:sectionFunctionalStatus</v>
      </c>
      <c r="L40" s="14" t="str">
        <f t="shared" si="22"/>
        <v>* group[=].element[=].target.display = ##34###34#</v>
      </c>
      <c r="M40" s="14" t="str">
        <f t="shared" si="23"/>
        <v>* group[=].element[=].target.equivalence = #equivalent</v>
      </c>
      <c r="N40" s="14" t="str">
        <f t="shared" si="24"/>
        <v/>
      </c>
      <c r="P40" s="9">
        <v>26</v>
      </c>
      <c r="Q40" s="9">
        <f t="shared" si="10"/>
        <v>4</v>
      </c>
      <c r="R40" s="9">
        <f t="shared" si="18"/>
        <v>2</v>
      </c>
      <c r="S40" s="14" t="str" cm="1">
        <f t="array" ref="S40">INDEX('PS-ConceptMap-1'!$I$15:$N$274,Q40+1,R40)</f>
        <v>* group[=].element[=].display = ##34#A.1.4.1 Date created##34#</v>
      </c>
    </row>
    <row r="41" spans="1:19" s="1" customFormat="1" ht="73.75" x14ac:dyDescent="0.75">
      <c r="A41"/>
      <c r="B41" s="9" t="str">
        <f>PS!B33</f>
        <v>body.medicationSummary</v>
      </c>
      <c r="C41" s="9" t="str">
        <f>PS!C33</f>
        <v>A.2.4 Medication summary</v>
      </c>
      <c r="D41" s="14" t="s">
        <v>1135</v>
      </c>
      <c r="E41" s="14"/>
      <c r="F41" s="68" t="s">
        <v>375</v>
      </c>
      <c r="G41" s="68"/>
      <c r="H41" s="69"/>
      <c r="I41" s="14" t="str">
        <f t="shared" si="19"/>
        <v>* group[=].element[+].code = #PatientSummary.body.medicationSummary</v>
      </c>
      <c r="J41" s="14" t="str">
        <f t="shared" si="20"/>
        <v>* group[=].element[=].display = ##34#A.2.4 Medication summary##34#</v>
      </c>
      <c r="K41" s="14" t="str">
        <f t="shared" si="21"/>
        <v>* group[=].element[=].target.code = #Composition.section:sectionMedications</v>
      </c>
      <c r="L41" s="14" t="str">
        <f t="shared" si="22"/>
        <v>* group[=].element[=].target.display = ##34###34#</v>
      </c>
      <c r="M41" s="14" t="str">
        <f t="shared" si="23"/>
        <v>* group[=].element[=].target.equivalence = #equivalent</v>
      </c>
      <c r="N41" s="14" t="str">
        <f t="shared" si="24"/>
        <v/>
      </c>
      <c r="P41" s="9">
        <v>27</v>
      </c>
      <c r="Q41" s="9">
        <f t="shared" si="10"/>
        <v>4</v>
      </c>
      <c r="R41" s="9">
        <f t="shared" si="18"/>
        <v>3</v>
      </c>
      <c r="S41" s="14" t="str" cm="1">
        <f t="array" ref="S41">INDEX('PS-ConceptMap-1'!$I$15:$N$274,Q41+1,R41)</f>
        <v>* group[=].element[=].target.code = #Composition.date</v>
      </c>
    </row>
    <row r="42" spans="1:19" s="1" customFormat="1" ht="73.75" x14ac:dyDescent="0.75">
      <c r="A42"/>
      <c r="B42" s="9" t="str">
        <f>PS!B34</f>
        <v>body.medicationSummary.medication</v>
      </c>
      <c r="C42" s="9" t="str">
        <f>PS!C34</f>
        <v>A.2.4.1 Current and relevant past medicines</v>
      </c>
      <c r="D42" s="14" t="s">
        <v>1348</v>
      </c>
      <c r="E42" s="14"/>
      <c r="F42" s="68" t="s">
        <v>375</v>
      </c>
      <c r="G42" s="68"/>
      <c r="H42" s="69"/>
      <c r="I42" s="14" t="str">
        <f t="shared" ref="I42:I43" si="25">"* group[=].element[+].code = #"&amp;$B$14&amp;"."&amp;B42</f>
        <v>* group[=].element[+].code = #PatientSummary.body.medicationSummary.medication</v>
      </c>
      <c r="J42" s="14" t="str">
        <f t="shared" ref="J42:J43" si="26">"* group[=].element[=].display = ##34#"&amp;C42&amp;"##34#"</f>
        <v>* group[=].element[=].display = ##34#A.2.4.1 Current and relevant past medicines##34#</v>
      </c>
      <c r="K42" s="14" t="str">
        <f t="shared" ref="K42:K43" si="27">IF(F42="unmatched","//-- unmatched",IF(D42="","* group[=].element[=].target.code = #"&amp;$D$14,"* group[=].element[=].target.code = #"&amp;$D$14&amp;"."&amp;D42))</f>
        <v>* group[=].element[=].target.code = #Composition.section:sectionMedications.entry</v>
      </c>
      <c r="L42" s="14" t="str">
        <f t="shared" ref="L42:L43" si="28">IF(F42="unmatched","//-- unmatched","* group[=].element[=].target.display = ##34#"&amp;E42&amp;"##34#")</f>
        <v>* group[=].element[=].target.display = ##34###34#</v>
      </c>
      <c r="M42" s="14" t="str">
        <f t="shared" ref="M42:M43" si="29">"* group[=].element[=].target.equivalence = #"&amp;F42</f>
        <v>* group[=].element[=].target.equivalence = #equivalent</v>
      </c>
      <c r="N42" s="14" t="str">
        <f t="shared" ref="N42:N43" si="30">IF(G42&lt;&gt;"",CONCATENATE("* group[=].element[=].target.comment = ","##34#",G42,"##34#"),"")</f>
        <v/>
      </c>
      <c r="P42" s="9">
        <v>28</v>
      </c>
      <c r="Q42" s="9">
        <f t="shared" ref="Q42:Q44" si="31">IF(MOD(P42,$Q$8)=0,P42/$Q$8-1,INT(P42/$Q$8))</f>
        <v>4</v>
      </c>
      <c r="R42" s="9">
        <f t="shared" ref="R42:R44" si="32">IF(MOD(P42,$Q$8)=0,$Q$8,MOD(P42,$Q$8))</f>
        <v>4</v>
      </c>
      <c r="S42" s="14" t="str" cm="1">
        <f t="array" ref="S42">INDEX('PS-ConceptMap-1'!$I$15:$N$274,Q42+1,R42)</f>
        <v>* group[=].element[=].target.display = ##34###34#</v>
      </c>
    </row>
    <row r="43" spans="1:19" s="1" customFormat="1" ht="73.75" x14ac:dyDescent="0.75">
      <c r="A43"/>
      <c r="B43" s="9" t="str">
        <f>PS!B35</f>
        <v>body.socialHistory</v>
      </c>
      <c r="C43" s="9" t="str">
        <f>PS!C35</f>
        <v>A.2.5 Social history</v>
      </c>
      <c r="D43" s="14" t="s">
        <v>1136</v>
      </c>
      <c r="E43" s="14"/>
      <c r="F43" s="68" t="s">
        <v>375</v>
      </c>
      <c r="G43" s="68"/>
      <c r="H43" s="69"/>
      <c r="I43" s="14" t="str">
        <f t="shared" si="25"/>
        <v>* group[=].element[+].code = #PatientSummary.body.socialHistory</v>
      </c>
      <c r="J43" s="14" t="str">
        <f t="shared" si="26"/>
        <v>* group[=].element[=].display = ##34#A.2.5 Social history##34#</v>
      </c>
      <c r="K43" s="14" t="str">
        <f t="shared" si="27"/>
        <v>* group[=].element[=].target.code = #Composition.section:sectionSocialHistory</v>
      </c>
      <c r="L43" s="14" t="str">
        <f t="shared" si="28"/>
        <v>* group[=].element[=].target.display = ##34###34#</v>
      </c>
      <c r="M43" s="14" t="str">
        <f t="shared" si="29"/>
        <v>* group[=].element[=].target.equivalence = #equivalent</v>
      </c>
      <c r="N43" s="14" t="str">
        <f t="shared" si="30"/>
        <v/>
      </c>
      <c r="P43" s="9">
        <v>29</v>
      </c>
      <c r="Q43" s="9">
        <f t="shared" si="31"/>
        <v>4</v>
      </c>
      <c r="R43" s="9">
        <f t="shared" si="32"/>
        <v>5</v>
      </c>
      <c r="S43" s="14" t="str" cm="1">
        <f t="array" ref="S43">INDEX('PS-ConceptMap-1'!$I$15:$N$274,Q43+1,R43)</f>
        <v>* group[=].element[=].target.equivalence = #relatedto</v>
      </c>
    </row>
    <row r="44" spans="1:19" s="1" customFormat="1" ht="73.75" x14ac:dyDescent="0.75">
      <c r="A44"/>
      <c r="B44" s="9" t="str">
        <f>PS!B36</f>
        <v>body.pregnancyHistory</v>
      </c>
      <c r="C44" s="9" t="str">
        <f>PS!C36</f>
        <v>A.2.6 Pregnancy history</v>
      </c>
      <c r="D44" s="14" t="s">
        <v>1137</v>
      </c>
      <c r="E44" s="14"/>
      <c r="F44" s="68" t="s">
        <v>375</v>
      </c>
      <c r="G44" s="68"/>
      <c r="H44" s="69"/>
      <c r="I44" s="14" t="str">
        <f t="shared" ref="I44:I49" si="33">"* group[=].element[+].code = #"&amp;$B$14&amp;"."&amp;B44</f>
        <v>* group[=].element[+].code = #PatientSummary.body.pregnancyHistory</v>
      </c>
      <c r="J44" s="14" t="str">
        <f t="shared" ref="J44:J49" si="34">"* group[=].element[=].display = ##34#"&amp;C44&amp;"##34#"</f>
        <v>* group[=].element[=].display = ##34#A.2.6 Pregnancy history##34#</v>
      </c>
      <c r="K44" s="14" t="str">
        <f t="shared" ref="K44:K49" si="35">IF(F44="unmatched","//-- unmatched",IF(D44="","* group[=].element[=].target.code = #"&amp;$D$14,"* group[=].element[=].target.code = #"&amp;$D$14&amp;"."&amp;D44))</f>
        <v>* group[=].element[=].target.code = #Composition.section:sectionPregnancyHx</v>
      </c>
      <c r="L44" s="14" t="str">
        <f t="shared" ref="L44:L49" si="36">IF(F44="unmatched","//-- unmatched","* group[=].element[=].target.display = ##34#"&amp;E44&amp;"##34#")</f>
        <v>* group[=].element[=].target.display = ##34###34#</v>
      </c>
      <c r="M44" s="14" t="str">
        <f t="shared" ref="M44:M49" si="37">"* group[=].element[=].target.equivalence = #"&amp;F44</f>
        <v>* group[=].element[=].target.equivalence = #equivalent</v>
      </c>
      <c r="N44" s="14" t="str">
        <f t="shared" ref="N44:N49" si="38">IF(G44&lt;&gt;"",CONCATENATE("* group[=].element[=].target.comment = ","##34#",G44,"##34#"),"")</f>
        <v/>
      </c>
      <c r="P44" s="9">
        <v>30</v>
      </c>
      <c r="Q44" s="9">
        <f t="shared" si="31"/>
        <v>4</v>
      </c>
      <c r="R44" s="9">
        <f t="shared" si="32"/>
        <v>6</v>
      </c>
      <c r="S44" s="14" t="str" cm="1">
        <f t="array" ref="S44">INDEX('PS-ConceptMap-1'!$I$15:$N$274,Q44+1,R44)</f>
        <v/>
      </c>
    </row>
    <row r="45" spans="1:19" s="1" customFormat="1" ht="44.25" x14ac:dyDescent="0.75">
      <c r="A45"/>
      <c r="B45" s="9" t="str">
        <f>PS!B37</f>
        <v>body.patientData</v>
      </c>
      <c r="C45" s="9" t="str">
        <f>PS!C37</f>
        <v>A.2.7 Patient provided data</v>
      </c>
      <c r="D45" s="14" t="s">
        <v>1130</v>
      </c>
      <c r="E45" s="14"/>
      <c r="F45" s="68" t="s">
        <v>376</v>
      </c>
      <c r="G45" s="68"/>
      <c r="H45" s="69"/>
      <c r="I45" s="14" t="str">
        <f t="shared" si="33"/>
        <v>* group[=].element[+].code = #PatientSummary.body.patientData</v>
      </c>
      <c r="J45" s="14" t="str">
        <f t="shared" si="34"/>
        <v>* group[=].element[=].display = ##34#A.2.7 Patient provided data##34#</v>
      </c>
      <c r="K45" s="14" t="str">
        <f t="shared" si="35"/>
        <v>* group[=].element[=].target.code = #Composition.section</v>
      </c>
      <c r="L45" s="14" t="str">
        <f t="shared" si="36"/>
        <v>* group[=].element[=].target.display = ##34###34#</v>
      </c>
      <c r="M45" s="14" t="str">
        <f t="shared" si="37"/>
        <v>* group[=].element[=].target.equivalence = #relatedto</v>
      </c>
      <c r="N45" s="14" t="str">
        <f t="shared" si="38"/>
        <v/>
      </c>
      <c r="P45" s="9">
        <v>31</v>
      </c>
      <c r="Q45" s="9">
        <f t="shared" ref="Q45:Q108" si="39">IF(MOD(P45,$Q$8)=0,P45/$Q$8-1,INT(P45/$Q$8))</f>
        <v>5</v>
      </c>
      <c r="R45" s="9">
        <f t="shared" ref="R45:R108" si="40">IF(MOD(P45,$Q$8)=0,$Q$8,MOD(P45,$Q$8))</f>
        <v>1</v>
      </c>
      <c r="S45" s="14" t="str" cm="1">
        <f t="array" ref="S45">INDEX('PS-ConceptMap-1'!$I$15:$N$274,Q45+1,R45)</f>
        <v>* group[=].element[+].code = #PatientSummary.header.documentData.lastUpdate</v>
      </c>
    </row>
    <row r="46" spans="1:19" s="1" customFormat="1" ht="73.75" x14ac:dyDescent="0.75">
      <c r="A46"/>
      <c r="B46" s="9" t="str">
        <f>PS!B38</f>
        <v>body.patientData.travelHistory</v>
      </c>
      <c r="C46" s="9" t="str">
        <f>PS!C38</f>
        <v>A.2.7.1 Travel history</v>
      </c>
      <c r="D46" s="14" t="s">
        <v>1161</v>
      </c>
      <c r="E46" s="14"/>
      <c r="F46" s="68" t="s">
        <v>376</v>
      </c>
      <c r="G46" s="68"/>
      <c r="H46" s="69"/>
      <c r="I46" s="14" t="str">
        <f t="shared" si="33"/>
        <v>* group[=].element[+].code = #PatientSummary.body.patientData.travelHistory</v>
      </c>
      <c r="J46" s="14" t="str">
        <f t="shared" si="34"/>
        <v>* group[=].element[=].display = ##34#A.2.7.1 Travel history##34#</v>
      </c>
      <c r="K46" s="14" t="str">
        <f t="shared" si="35"/>
        <v>* group[=].element[=].target.code = #Composition.section:sectionTravelHx</v>
      </c>
      <c r="L46" s="14" t="str">
        <f t="shared" si="36"/>
        <v>* group[=].element[=].target.display = ##34###34#</v>
      </c>
      <c r="M46" s="14" t="str">
        <f t="shared" si="37"/>
        <v>* group[=].element[=].target.equivalence = #relatedto</v>
      </c>
      <c r="N46" s="14" t="str">
        <f t="shared" si="38"/>
        <v/>
      </c>
      <c r="P46" s="9">
        <v>32</v>
      </c>
      <c r="Q46" s="9">
        <f t="shared" si="39"/>
        <v>5</v>
      </c>
      <c r="R46" s="9">
        <f t="shared" si="40"/>
        <v>2</v>
      </c>
      <c r="S46" s="14" t="str" cm="1">
        <f t="array" ref="S46">INDEX('PS-ConceptMap-1'!$I$15:$N$274,Q46+1,R46)</f>
        <v>* group[=].element[=].display = ##34#A.1.4.2 Date of last update##34#</v>
      </c>
    </row>
    <row r="47" spans="1:19" s="1" customFormat="1" ht="73.75" x14ac:dyDescent="0.75">
      <c r="A47"/>
      <c r="B47" s="9" t="str">
        <f>PS!B39</f>
        <v>body.patientData.advanceDirective</v>
      </c>
      <c r="C47" s="9" t="str">
        <f>PS!C39</f>
        <v>A.2.7.2 Advance Directive</v>
      </c>
      <c r="D47" s="14" t="s">
        <v>1160</v>
      </c>
      <c r="E47" s="14"/>
      <c r="F47" s="68" t="s">
        <v>375</v>
      </c>
      <c r="G47" s="68"/>
      <c r="H47" s="69"/>
      <c r="I47" s="14" t="str">
        <f t="shared" si="33"/>
        <v>* group[=].element[+].code = #PatientSummary.body.patientData.advanceDirective</v>
      </c>
      <c r="J47" s="14" t="str">
        <f t="shared" si="34"/>
        <v>* group[=].element[=].display = ##34#A.2.7.2 Advance Directive##34#</v>
      </c>
      <c r="K47" s="14" t="str">
        <f t="shared" si="35"/>
        <v>* group[=].element[=].target.code = #Composition.section:sectionAdvanceDirectives</v>
      </c>
      <c r="L47" s="14" t="str">
        <f t="shared" si="36"/>
        <v>* group[=].element[=].target.display = ##34###34#</v>
      </c>
      <c r="M47" s="14" t="str">
        <f t="shared" si="37"/>
        <v>* group[=].element[=].target.equivalence = #equivalent</v>
      </c>
      <c r="N47" s="14" t="str">
        <f t="shared" si="38"/>
        <v/>
      </c>
      <c r="P47" s="9">
        <v>33</v>
      </c>
      <c r="Q47" s="9">
        <f t="shared" si="39"/>
        <v>5</v>
      </c>
      <c r="R47" s="9">
        <f t="shared" si="40"/>
        <v>3</v>
      </c>
      <c r="S47" s="14" t="str" cm="1">
        <f t="array" ref="S47">INDEX('PS-ConceptMap-1'!$I$15:$N$274,Q47+1,R47)</f>
        <v>* group[=].element[=].target.code = #Composition.event:careProvisioningEvent.period.end</v>
      </c>
    </row>
    <row r="48" spans="1:19" s="1" customFormat="1" ht="73.75" x14ac:dyDescent="0.75">
      <c r="A48"/>
      <c r="B48" s="9" t="str">
        <f>PS!B40</f>
        <v>body.results</v>
      </c>
      <c r="C48" s="9" t="str">
        <f>PS!C40</f>
        <v>A.2.8 Results</v>
      </c>
      <c r="D48" s="14" t="s">
        <v>1132</v>
      </c>
      <c r="E48" s="14"/>
      <c r="F48" s="68" t="s">
        <v>375</v>
      </c>
      <c r="G48" s="68"/>
      <c r="H48" s="69"/>
      <c r="I48" s="14" t="str">
        <f t="shared" si="33"/>
        <v>* group[=].element[+].code = #PatientSummary.body.results</v>
      </c>
      <c r="J48" s="14" t="str">
        <f t="shared" si="34"/>
        <v>* group[=].element[=].display = ##34#A.2.8 Results##34#</v>
      </c>
      <c r="K48" s="14" t="str">
        <f t="shared" si="35"/>
        <v>* group[=].element[=].target.code = #Composition.section:sectionResults</v>
      </c>
      <c r="L48" s="14" t="str">
        <f t="shared" si="36"/>
        <v>* group[=].element[=].target.display = ##34###34#</v>
      </c>
      <c r="M48" s="14" t="str">
        <f t="shared" si="37"/>
        <v>* group[=].element[=].target.equivalence = #equivalent</v>
      </c>
      <c r="N48" s="14" t="str">
        <f t="shared" si="38"/>
        <v/>
      </c>
      <c r="P48" s="9">
        <v>34</v>
      </c>
      <c r="Q48" s="9">
        <f t="shared" si="39"/>
        <v>5</v>
      </c>
      <c r="R48" s="9">
        <f t="shared" si="40"/>
        <v>4</v>
      </c>
      <c r="S48" s="14" t="str" cm="1">
        <f t="array" ref="S48">INDEX('PS-ConceptMap-1'!$I$15:$N$274,Q48+1,R48)</f>
        <v>* group[=].element[=].target.display = ##34###34#</v>
      </c>
    </row>
    <row r="49" spans="1:19" s="1" customFormat="1" ht="73.75" x14ac:dyDescent="0.75">
      <c r="A49"/>
      <c r="B49" s="9" t="str">
        <f>PS!B41</f>
        <v>body.planOfCare</v>
      </c>
      <c r="C49" s="9" t="str">
        <f>PS!C41</f>
        <v>A.2.9 Plan of Care</v>
      </c>
      <c r="D49" s="14" t="s">
        <v>1138</v>
      </c>
      <c r="E49" s="14"/>
      <c r="F49" s="68" t="s">
        <v>375</v>
      </c>
      <c r="G49" s="68"/>
      <c r="H49" s="69"/>
      <c r="I49" s="14" t="str">
        <f t="shared" si="33"/>
        <v>* group[=].element[+].code = #PatientSummary.body.planOfCare</v>
      </c>
      <c r="J49" s="14" t="str">
        <f t="shared" si="34"/>
        <v>* group[=].element[=].display = ##34#A.2.9 Plan of Care##34#</v>
      </c>
      <c r="K49" s="14" t="str">
        <f t="shared" si="35"/>
        <v>* group[=].element[=].target.code = #Composition.section:sectionPlanOfCare</v>
      </c>
      <c r="L49" s="14" t="str">
        <f t="shared" si="36"/>
        <v>* group[=].element[=].target.display = ##34###34#</v>
      </c>
      <c r="M49" s="14" t="str">
        <f t="shared" si="37"/>
        <v>* group[=].element[=].target.equivalence = #equivalent</v>
      </c>
      <c r="N49" s="14" t="str">
        <f t="shared" si="38"/>
        <v/>
      </c>
      <c r="P49" s="9">
        <v>35</v>
      </c>
      <c r="Q49" s="9">
        <f t="shared" si="39"/>
        <v>5</v>
      </c>
      <c r="R49" s="9">
        <f t="shared" si="40"/>
        <v>5</v>
      </c>
      <c r="S49" s="14" t="str" cm="1">
        <f t="array" ref="S49">INDEX('PS-ConceptMap-1'!$I$15:$N$274,Q49+1,R49)</f>
        <v>* group[=].element[=].target.equivalence = #relatedto</v>
      </c>
    </row>
    <row r="50" spans="1:19" s="1" customFormat="1" x14ac:dyDescent="0.75">
      <c r="A50"/>
      <c r="B50" s="53"/>
      <c r="F50" s="69"/>
      <c r="G50" s="69"/>
      <c r="H50" s="69"/>
      <c r="J50" s="69"/>
      <c r="K50" s="69"/>
      <c r="L50" s="69"/>
      <c r="M50" s="69"/>
      <c r="N50" s="69"/>
      <c r="P50" s="9">
        <v>36</v>
      </c>
      <c r="Q50" s="9">
        <f t="shared" si="39"/>
        <v>5</v>
      </c>
      <c r="R50" s="9">
        <f t="shared" si="40"/>
        <v>6</v>
      </c>
      <c r="S50" s="14" t="str" cm="1">
        <f t="array" ref="S50">INDEX('PS-ConceptMap-1'!$I$15:$N$274,Q50+1,R50)</f>
        <v>* group[=].element[=].target.comment = ##34#To be checked##34#</v>
      </c>
    </row>
    <row r="51" spans="1:19" s="1" customFormat="1" x14ac:dyDescent="0.75">
      <c r="A51"/>
      <c r="B51" s="9"/>
      <c r="F51" s="69"/>
      <c r="G51" s="69"/>
      <c r="H51" s="69"/>
      <c r="J51" s="69"/>
      <c r="K51" s="69"/>
      <c r="L51" s="69"/>
      <c r="M51" s="69"/>
      <c r="N51" s="69"/>
      <c r="P51" s="9">
        <v>37</v>
      </c>
      <c r="Q51" s="9">
        <f t="shared" si="39"/>
        <v>6</v>
      </c>
      <c r="R51" s="9">
        <f t="shared" si="40"/>
        <v>1</v>
      </c>
      <c r="S51" s="14" t="str" cm="1">
        <f t="array" ref="S51">INDEX('PS-ConceptMap-1'!$I$15:$N$274,Q51+1,R51)</f>
        <v>* group[=].element[+].code = #PatientSummary.header.documentData.natureOfIPS</v>
      </c>
    </row>
    <row r="52" spans="1:19" s="1" customFormat="1" x14ac:dyDescent="0.75">
      <c r="A52"/>
      <c r="B52" s="9"/>
      <c r="F52" s="69"/>
      <c r="G52" s="69"/>
      <c r="H52" s="69"/>
      <c r="J52" s="69"/>
      <c r="K52" s="69"/>
      <c r="L52" s="69"/>
      <c r="M52" s="69"/>
      <c r="N52" s="69"/>
      <c r="P52" s="9">
        <v>38</v>
      </c>
      <c r="Q52" s="9">
        <f t="shared" si="39"/>
        <v>6</v>
      </c>
      <c r="R52" s="9">
        <f t="shared" si="40"/>
        <v>2</v>
      </c>
      <c r="S52" s="14" t="str" cm="1">
        <f t="array" ref="S52">INDEX('PS-ConceptMap-1'!$I$15:$N$274,Q52+1,R52)</f>
        <v>* group[=].element[=].display = ##34#A.1.4.3 Nature of the PS##34#</v>
      </c>
    </row>
    <row r="53" spans="1:19" x14ac:dyDescent="0.75">
      <c r="F53" s="69"/>
      <c r="G53" s="69"/>
      <c r="H53" s="69"/>
      <c r="J53" s="69"/>
      <c r="K53" s="69"/>
      <c r="L53" s="69"/>
      <c r="M53" s="69"/>
      <c r="N53" s="69"/>
      <c r="P53" s="9">
        <v>39</v>
      </c>
      <c r="Q53" s="9">
        <f t="shared" si="39"/>
        <v>6</v>
      </c>
      <c r="R53" s="9">
        <f t="shared" si="40"/>
        <v>3</v>
      </c>
      <c r="S53" s="14" t="str" cm="1">
        <f t="array" ref="S53">INDEX('PS-ConceptMap-1'!$I$15:$N$274,Q53+1,R53)</f>
        <v>* group[=].element[=].target.code = #Composition.author</v>
      </c>
    </row>
    <row r="54" spans="1:19" x14ac:dyDescent="0.75">
      <c r="F54" s="69"/>
      <c r="G54" s="69"/>
      <c r="H54" s="69"/>
      <c r="J54" s="69"/>
      <c r="K54" s="69"/>
      <c r="L54" s="69"/>
      <c r="M54" s="69"/>
      <c r="N54" s="69"/>
      <c r="P54" s="9">
        <v>40</v>
      </c>
      <c r="Q54" s="9">
        <f t="shared" si="39"/>
        <v>6</v>
      </c>
      <c r="R54" s="9">
        <f t="shared" si="40"/>
        <v>4</v>
      </c>
      <c r="S54" s="14" t="str" cm="1">
        <f t="array" ref="S54">INDEX('PS-ConceptMap-1'!$I$15:$N$274,Q54+1,R54)</f>
        <v>* group[=].element[=].target.display = ##34###34#</v>
      </c>
    </row>
    <row r="55" spans="1:19" x14ac:dyDescent="0.75">
      <c r="F55" s="69"/>
      <c r="G55" s="69"/>
      <c r="H55" s="69"/>
      <c r="J55" s="69"/>
      <c r="K55" s="69"/>
      <c r="L55" s="69"/>
      <c r="M55" s="69"/>
      <c r="N55" s="69"/>
      <c r="P55" s="9">
        <v>41</v>
      </c>
      <c r="Q55" s="9">
        <f t="shared" si="39"/>
        <v>6</v>
      </c>
      <c r="R55" s="9">
        <f t="shared" si="40"/>
        <v>5</v>
      </c>
      <c r="S55" s="14" t="str" cm="1">
        <f t="array" ref="S55">INDEX('PS-ConceptMap-1'!$I$15:$N$274,Q55+1,R55)</f>
        <v>* group[=].element[=].target.equivalence = #relatedto</v>
      </c>
    </row>
    <row r="56" spans="1:19" ht="44.25" x14ac:dyDescent="0.75">
      <c r="F56" s="69"/>
      <c r="G56" s="69"/>
      <c r="H56" s="69"/>
      <c r="J56" s="69"/>
      <c r="K56" s="69"/>
      <c r="L56" s="69"/>
      <c r="M56" s="69"/>
      <c r="N56" s="69"/>
      <c r="P56" s="9">
        <v>42</v>
      </c>
      <c r="Q56" s="9">
        <f t="shared" si="39"/>
        <v>6</v>
      </c>
      <c r="R56" s="9">
        <f t="shared" si="40"/>
        <v>6</v>
      </c>
      <c r="S56" s="14" t="str" cm="1">
        <f t="array" ref="S56">INDEX('PS-ConceptMap-1'!$I$15:$N$274,Q56+1,R56)</f>
        <v>* group[=].element[=].target.comment = ##34#the nature of a PS is determined as a comobination of type if author and legal authenticator. Future versions may cosndier to use Provenance data for this scope##34#</v>
      </c>
    </row>
    <row r="57" spans="1:19" ht="29.5" x14ac:dyDescent="0.75">
      <c r="B57" t="s">
        <v>364</v>
      </c>
      <c r="C57" s="1" t="s">
        <v>365</v>
      </c>
      <c r="D57" s="1" t="s">
        <v>366</v>
      </c>
      <c r="E57" t="s">
        <v>367</v>
      </c>
      <c r="P57" s="9">
        <v>43</v>
      </c>
      <c r="Q57" s="9">
        <f t="shared" si="39"/>
        <v>7</v>
      </c>
      <c r="R57" s="9">
        <f t="shared" si="40"/>
        <v>1</v>
      </c>
      <c r="S57" s="14" t="str" cm="1">
        <f t="array" ref="S57">INDEX('PS-ConceptMap-1'!$I$15:$N$274,Q57+1,R57)</f>
        <v>* group[=].element[+].code = #PatientSummary.header.participant</v>
      </c>
    </row>
    <row r="58" spans="1:19" x14ac:dyDescent="0.75">
      <c r="P58" s="9">
        <v>44</v>
      </c>
      <c r="Q58" s="9">
        <f t="shared" si="39"/>
        <v>7</v>
      </c>
      <c r="R58" s="9">
        <f t="shared" si="40"/>
        <v>2</v>
      </c>
      <c r="S58" s="14" t="str" cm="1">
        <f t="array" ref="S58">INDEX('PS-ConceptMap-1'!$I$15:$N$274,Q58+1,R58)</f>
        <v>* group[=].element[=].display = ##34#A.1.5 Author and Organisation##34#</v>
      </c>
    </row>
    <row r="59" spans="1:19" x14ac:dyDescent="0.75">
      <c r="P59" s="9">
        <v>45</v>
      </c>
      <c r="Q59" s="9">
        <f t="shared" si="39"/>
        <v>7</v>
      </c>
      <c r="R59" s="9">
        <f t="shared" si="40"/>
        <v>3</v>
      </c>
      <c r="S59" s="14" t="str" cm="1">
        <f t="array" ref="S59">INDEX('PS-ConceptMap-1'!$I$15:$N$274,Q59+1,R59)</f>
        <v>* group[=].element[=].target.code = #Composition.author</v>
      </c>
    </row>
    <row r="60" spans="1:19" x14ac:dyDescent="0.75">
      <c r="P60" s="9">
        <v>46</v>
      </c>
      <c r="Q60" s="9">
        <f t="shared" si="39"/>
        <v>7</v>
      </c>
      <c r="R60" s="9">
        <f t="shared" si="40"/>
        <v>4</v>
      </c>
      <c r="S60" s="14" t="str" cm="1">
        <f t="array" ref="S60">INDEX('PS-ConceptMap-1'!$I$15:$N$274,Q60+1,R60)</f>
        <v>* group[=].element[=].target.display = ##34###34#</v>
      </c>
    </row>
    <row r="61" spans="1:19" x14ac:dyDescent="0.75">
      <c r="P61" s="9">
        <v>47</v>
      </c>
      <c r="Q61" s="9">
        <f t="shared" si="39"/>
        <v>7</v>
      </c>
      <c r="R61" s="9">
        <f t="shared" si="40"/>
        <v>5</v>
      </c>
      <c r="S61" s="14" t="str" cm="1">
        <f t="array" ref="S61">INDEX('PS-ConceptMap-1'!$I$15:$N$274,Q61+1,R61)</f>
        <v>* group[=].element[=].target.equivalence = #relatedto</v>
      </c>
    </row>
    <row r="62" spans="1:19" x14ac:dyDescent="0.75">
      <c r="P62" s="9">
        <v>48</v>
      </c>
      <c r="Q62" s="9">
        <f t="shared" si="39"/>
        <v>7</v>
      </c>
      <c r="R62" s="9">
        <f t="shared" si="40"/>
        <v>6</v>
      </c>
      <c r="S62" s="14" t="str" cm="1">
        <f t="array" ref="S62">INDEX('PS-ConceptMap-1'!$I$15:$N$274,Q62+1,R62)</f>
        <v/>
      </c>
    </row>
    <row r="63" spans="1:19" x14ac:dyDescent="0.75">
      <c r="P63" s="9">
        <v>49</v>
      </c>
      <c r="Q63" s="9">
        <f t="shared" si="39"/>
        <v>8</v>
      </c>
      <c r="R63" s="9">
        <f t="shared" si="40"/>
        <v>1</v>
      </c>
      <c r="S63" s="14" t="str" cm="1">
        <f t="array" ref="S63">INDEX('PS-ConceptMap-1'!$I$15:$N$274,Q63+1,R63)</f>
        <v>* group[=].element[+].code = #PatientSummary.header.participant.author</v>
      </c>
    </row>
    <row r="64" spans="1:19" x14ac:dyDescent="0.75">
      <c r="P64" s="9">
        <v>50</v>
      </c>
      <c r="Q64" s="9">
        <f t="shared" si="39"/>
        <v>8</v>
      </c>
      <c r="R64" s="9">
        <f t="shared" si="40"/>
        <v>2</v>
      </c>
      <c r="S64" s="14" t="str" cm="1">
        <f t="array" ref="S64">INDEX('PS-ConceptMap-1'!$I$15:$N$274,Q64+1,R64)</f>
        <v>* group[=].element[=].display = ##34#A.1.5.1 Author organization##34#</v>
      </c>
    </row>
    <row r="65" spans="16:19" x14ac:dyDescent="0.75">
      <c r="P65" s="9">
        <v>51</v>
      </c>
      <c r="Q65" s="9">
        <f t="shared" si="39"/>
        <v>8</v>
      </c>
      <c r="R65" s="9">
        <f t="shared" si="40"/>
        <v>3</v>
      </c>
      <c r="S65" s="14" t="str" cm="1">
        <f t="array" ref="S65">INDEX('PS-ConceptMap-1'!$I$15:$N$274,Q65+1,R65)</f>
        <v>* group[=].element[=].target.code = #Composition.author</v>
      </c>
    </row>
    <row r="66" spans="16:19" x14ac:dyDescent="0.75">
      <c r="P66" s="9">
        <v>52</v>
      </c>
      <c r="Q66" s="9">
        <f t="shared" si="39"/>
        <v>8</v>
      </c>
      <c r="R66" s="9">
        <f t="shared" si="40"/>
        <v>4</v>
      </c>
      <c r="S66" s="14" t="str" cm="1">
        <f t="array" ref="S66">INDEX('PS-ConceptMap-1'!$I$15:$N$274,Q66+1,R66)</f>
        <v>* group[=].element[=].target.display = ##34###34#</v>
      </c>
    </row>
    <row r="67" spans="16:19" x14ac:dyDescent="0.75">
      <c r="P67" s="9">
        <v>53</v>
      </c>
      <c r="Q67" s="9">
        <f t="shared" si="39"/>
        <v>8</v>
      </c>
      <c r="R67" s="9">
        <f t="shared" si="40"/>
        <v>5</v>
      </c>
      <c r="S67" s="14" t="str" cm="1">
        <f t="array" ref="S67">INDEX('PS-ConceptMap-1'!$I$15:$N$274,Q67+1,R67)</f>
        <v>* group[=].element[=].target.equivalence = #equivalent</v>
      </c>
    </row>
    <row r="68" spans="16:19" ht="29.5" x14ac:dyDescent="0.75">
      <c r="P68" s="9">
        <v>54</v>
      </c>
      <c r="Q68" s="9">
        <f t="shared" si="39"/>
        <v>8</v>
      </c>
      <c r="R68" s="9">
        <f t="shared" si="40"/>
        <v>6</v>
      </c>
      <c r="S68" s="14" t="str" cm="1">
        <f t="array" ref="S68">INDEX('PS-ConceptMap-1'!$I$15:$N$274,Q68+1,R68)</f>
        <v>* group[=].element[=].target.comment = ##34#author can be of type Organziation, Pracitctioner or PractictionerRole##34#</v>
      </c>
    </row>
    <row r="69" spans="16:19" x14ac:dyDescent="0.75">
      <c r="P69" s="9">
        <v>55</v>
      </c>
      <c r="Q69" s="9">
        <f t="shared" si="39"/>
        <v>9</v>
      </c>
      <c r="R69" s="9">
        <f t="shared" si="40"/>
        <v>1</v>
      </c>
      <c r="S69" s="14" t="str" cm="1">
        <f t="array" ref="S69">INDEX('PS-ConceptMap-1'!$I$15:$N$274,Q69+1,R69)</f>
        <v>* group[=].element[+].code = #PatientSummary.header.participant.legalAuth</v>
      </c>
    </row>
    <row r="70" spans="16:19" x14ac:dyDescent="0.75">
      <c r="P70" s="9">
        <v>56</v>
      </c>
      <c r="Q70" s="9">
        <f t="shared" si="39"/>
        <v>9</v>
      </c>
      <c r="R70" s="9">
        <f t="shared" si="40"/>
        <v>2</v>
      </c>
      <c r="S70" s="14" t="str" cm="1">
        <f t="array" ref="S70">INDEX('PS-ConceptMap-1'!$I$15:$N$274,Q70+1,R70)</f>
        <v>* group[=].element[=].display = ##34#A.1.5.2 Legal authenticator##34#</v>
      </c>
    </row>
    <row r="71" spans="16:19" x14ac:dyDescent="0.75">
      <c r="P71" s="9">
        <v>57</v>
      </c>
      <c r="Q71" s="9">
        <f t="shared" si="39"/>
        <v>9</v>
      </c>
      <c r="R71" s="9">
        <f t="shared" si="40"/>
        <v>3</v>
      </c>
      <c r="S71" s="14" t="str" cm="1">
        <f t="array" ref="S71">INDEX('PS-ConceptMap-1'!$I$15:$N$274,Q71+1,R71)</f>
        <v>* group[=].element[=].target.code = #Composition.attester</v>
      </c>
    </row>
    <row r="72" spans="16:19" x14ac:dyDescent="0.75">
      <c r="P72" s="9">
        <v>58</v>
      </c>
      <c r="Q72" s="9">
        <f t="shared" si="39"/>
        <v>9</v>
      </c>
      <c r="R72" s="9">
        <f t="shared" si="40"/>
        <v>4</v>
      </c>
      <c r="S72" s="14" t="str" cm="1">
        <f t="array" ref="S72">INDEX('PS-ConceptMap-1'!$I$15:$N$274,Q72+1,R72)</f>
        <v>* group[=].element[=].target.display = ##34###34#</v>
      </c>
    </row>
    <row r="73" spans="16:19" x14ac:dyDescent="0.75">
      <c r="P73" s="9">
        <v>59</v>
      </c>
      <c r="Q73" s="9">
        <f t="shared" si="39"/>
        <v>9</v>
      </c>
      <c r="R73" s="9">
        <f t="shared" si="40"/>
        <v>5</v>
      </c>
      <c r="S73" s="14" t="str" cm="1">
        <f t="array" ref="S73">INDEX('PS-ConceptMap-1'!$I$15:$N$274,Q73+1,R73)</f>
        <v>* group[=].element[=].target.equivalence = #relatedto</v>
      </c>
    </row>
    <row r="74" spans="16:19" x14ac:dyDescent="0.75">
      <c r="P74" s="9">
        <v>60</v>
      </c>
      <c r="Q74" s="9">
        <f t="shared" si="39"/>
        <v>9</v>
      </c>
      <c r="R74" s="9">
        <f t="shared" si="40"/>
        <v>6</v>
      </c>
      <c r="S74" s="14" t="str" cm="1">
        <f t="array" ref="S74">INDEX('PS-ConceptMap-1'!$I$15:$N$274,Q74+1,R74)</f>
        <v>* group[=].element[=].target.comment = ##34#attester.mode = 'legal'##34#</v>
      </c>
    </row>
    <row r="75" spans="16:19" x14ac:dyDescent="0.75">
      <c r="P75" s="9">
        <v>61</v>
      </c>
      <c r="Q75" s="9">
        <f t="shared" si="39"/>
        <v>10</v>
      </c>
      <c r="R75" s="9">
        <f t="shared" si="40"/>
        <v>1</v>
      </c>
      <c r="S75" s="14" t="str" cm="1">
        <f t="array" ref="S75">INDEX('PS-ConceptMap-1'!$I$15:$N$274,Q75+1,R75)</f>
        <v>* group[=].element[+].code = #PatientSummary.header.additionalInfo</v>
      </c>
    </row>
    <row r="76" spans="16:19" ht="29.5" x14ac:dyDescent="0.75">
      <c r="P76" s="9">
        <v>62</v>
      </c>
      <c r="Q76" s="9">
        <f t="shared" si="39"/>
        <v>10</v>
      </c>
      <c r="R76" s="9">
        <f t="shared" si="40"/>
        <v>2</v>
      </c>
      <c r="S76" s="14" t="str" cm="1">
        <f t="array" ref="S76">INDEX('PS-ConceptMap-1'!$I$15:$N$274,Q76+1,R76)</f>
        <v>* group[=].element[=].display = ##34#A.1.6 Additional information / Knowledge resources##34#</v>
      </c>
    </row>
    <row r="77" spans="16:19" x14ac:dyDescent="0.75">
      <c r="P77" s="9">
        <v>63</v>
      </c>
      <c r="Q77" s="9">
        <f t="shared" si="39"/>
        <v>10</v>
      </c>
      <c r="R77" s="9">
        <f t="shared" si="40"/>
        <v>3</v>
      </c>
      <c r="S77" s="14" t="str" cm="1">
        <f t="array" ref="S77">INDEX('PS-ConceptMap-1'!$I$15:$N$274,Q77+1,R77)</f>
        <v>//-- unmatched</v>
      </c>
    </row>
    <row r="78" spans="16:19" x14ac:dyDescent="0.75">
      <c r="P78" s="9">
        <v>64</v>
      </c>
      <c r="Q78" s="9">
        <f t="shared" si="39"/>
        <v>10</v>
      </c>
      <c r="R78" s="9">
        <f t="shared" si="40"/>
        <v>4</v>
      </c>
      <c r="S78" s="14" t="str" cm="1">
        <f t="array" ref="S78">INDEX('PS-ConceptMap-1'!$I$15:$N$274,Q78+1,R78)</f>
        <v>//-- unmatched</v>
      </c>
    </row>
    <row r="79" spans="16:19" x14ac:dyDescent="0.75">
      <c r="P79" s="9">
        <v>65</v>
      </c>
      <c r="Q79" s="9">
        <f t="shared" si="39"/>
        <v>10</v>
      </c>
      <c r="R79" s="9">
        <f t="shared" si="40"/>
        <v>5</v>
      </c>
      <c r="S79" s="14" t="str" cm="1">
        <f t="array" ref="S79">INDEX('PS-ConceptMap-1'!$I$15:$N$274,Q79+1,R79)</f>
        <v>* group[=].element[=].target.equivalence = #unmatched</v>
      </c>
    </row>
    <row r="80" spans="16:19" x14ac:dyDescent="0.75">
      <c r="P80" s="9">
        <v>66</v>
      </c>
      <c r="Q80" s="9">
        <f t="shared" si="39"/>
        <v>10</v>
      </c>
      <c r="R80" s="9">
        <f t="shared" si="40"/>
        <v>6</v>
      </c>
      <c r="S80" s="14" t="str" cm="1">
        <f t="array" ref="S80">INDEX('PS-ConceptMap-1'!$I$15:$N$274,Q80+1,R80)</f>
        <v>* group[=].element[=].target.comment = ##34#Covered by other resources##34#</v>
      </c>
    </row>
    <row r="81" spans="16:19" x14ac:dyDescent="0.75">
      <c r="P81" s="9">
        <v>67</v>
      </c>
      <c r="Q81" s="9">
        <f t="shared" si="39"/>
        <v>11</v>
      </c>
      <c r="R81" s="9">
        <f t="shared" si="40"/>
        <v>1</v>
      </c>
      <c r="S81" s="14" t="str" cm="1">
        <f t="array" ref="S81">INDEX('PS-ConceptMap-1'!$I$15:$N$274,Q81+1,R81)</f>
        <v>* group[=].element[+].code = #PatientSummary.header.additionalInfo.reference</v>
      </c>
    </row>
    <row r="82" spans="16:19" x14ac:dyDescent="0.75">
      <c r="P82" s="9">
        <v>68</v>
      </c>
      <c r="Q82" s="9">
        <f t="shared" si="39"/>
        <v>11</v>
      </c>
      <c r="R82" s="9">
        <f t="shared" si="40"/>
        <v>2</v>
      </c>
      <c r="S82" s="14" t="str" cm="1">
        <f t="array" ref="S82">INDEX('PS-ConceptMap-1'!$I$15:$N$274,Q82+1,R82)</f>
        <v>* group[=].element[=].display = ##34#A.1.6.1 External reference##34#</v>
      </c>
    </row>
    <row r="83" spans="16:19" x14ac:dyDescent="0.75">
      <c r="P83" s="9">
        <v>69</v>
      </c>
      <c r="Q83" s="9">
        <f t="shared" si="39"/>
        <v>11</v>
      </c>
      <c r="R83" s="9">
        <f t="shared" si="40"/>
        <v>3</v>
      </c>
      <c r="S83" s="14" t="str" cm="1">
        <f t="array" ref="S83">INDEX('PS-ConceptMap-1'!$I$15:$N$274,Q83+1,R83)</f>
        <v>//-- unmatched</v>
      </c>
    </row>
    <row r="84" spans="16:19" x14ac:dyDescent="0.75">
      <c r="P84" s="9">
        <v>70</v>
      </c>
      <c r="Q84" s="9">
        <f t="shared" si="39"/>
        <v>11</v>
      </c>
      <c r="R84" s="9">
        <f t="shared" si="40"/>
        <v>4</v>
      </c>
      <c r="S84" s="14" t="str" cm="1">
        <f t="array" ref="S84">INDEX('PS-ConceptMap-1'!$I$15:$N$274,Q84+1,R84)</f>
        <v>//-- unmatched</v>
      </c>
    </row>
    <row r="85" spans="16:19" x14ac:dyDescent="0.75">
      <c r="P85" s="9">
        <v>71</v>
      </c>
      <c r="Q85" s="9">
        <f t="shared" si="39"/>
        <v>11</v>
      </c>
      <c r="R85" s="9">
        <f t="shared" si="40"/>
        <v>5</v>
      </c>
      <c r="S85" s="14" t="str" cm="1">
        <f t="array" ref="S85">INDEX('PS-ConceptMap-1'!$I$15:$N$274,Q85+1,R85)</f>
        <v>* group[=].element[=].target.equivalence = #unmatched</v>
      </c>
    </row>
    <row r="86" spans="16:19" x14ac:dyDescent="0.75">
      <c r="P86" s="9">
        <v>72</v>
      </c>
      <c r="Q86" s="9">
        <f t="shared" si="39"/>
        <v>11</v>
      </c>
      <c r="R86" s="9">
        <f t="shared" si="40"/>
        <v>6</v>
      </c>
      <c r="S86" s="14" t="str" cm="1">
        <f t="array" ref="S86">INDEX('PS-ConceptMap-1'!$I$15:$N$274,Q86+1,R86)</f>
        <v>* group[=].element[=].target.comment = ##34#Covered by other resources##34#</v>
      </c>
    </row>
    <row r="87" spans="16:19" x14ac:dyDescent="0.75">
      <c r="P87" s="9">
        <v>73</v>
      </c>
      <c r="Q87" s="9">
        <f t="shared" si="39"/>
        <v>12</v>
      </c>
      <c r="R87" s="9">
        <f t="shared" si="40"/>
        <v>1</v>
      </c>
      <c r="S87" s="14" t="str" cm="1">
        <f t="array" ref="S87">INDEX('PS-ConceptMap-1'!$I$15:$N$274,Q87+1,R87)</f>
        <v>* group[=].element[+].code = #PatientSummary.header.additionalInfo.relatedWith</v>
      </c>
    </row>
    <row r="88" spans="16:19" x14ac:dyDescent="0.75">
      <c r="P88" s="9">
        <v>74</v>
      </c>
      <c r="Q88" s="9">
        <f t="shared" si="39"/>
        <v>12</v>
      </c>
      <c r="R88" s="9">
        <f t="shared" si="40"/>
        <v>2</v>
      </c>
      <c r="S88" s="14" t="str" cm="1">
        <f t="array" ref="S88">INDEX('PS-ConceptMap-1'!$I$15:$N$274,Q88+1,R88)</f>
        <v>* group[=].element[=].display = ##34#A.1.6.2 Related with##34#</v>
      </c>
    </row>
    <row r="89" spans="16:19" x14ac:dyDescent="0.75">
      <c r="P89" s="9">
        <v>75</v>
      </c>
      <c r="Q89" s="9">
        <f t="shared" si="39"/>
        <v>12</v>
      </c>
      <c r="R89" s="9">
        <f t="shared" si="40"/>
        <v>3</v>
      </c>
      <c r="S89" s="14" t="str" cm="1">
        <f t="array" ref="S89">INDEX('PS-ConceptMap-1'!$I$15:$N$274,Q89+1,R89)</f>
        <v>//-- unmatched</v>
      </c>
    </row>
    <row r="90" spans="16:19" x14ac:dyDescent="0.75">
      <c r="P90" s="9">
        <v>76</v>
      </c>
      <c r="Q90" s="9">
        <f t="shared" si="39"/>
        <v>12</v>
      </c>
      <c r="R90" s="9">
        <f t="shared" si="40"/>
        <v>4</v>
      </c>
      <c r="S90" s="14" t="str" cm="1">
        <f t="array" ref="S90">INDEX('PS-ConceptMap-1'!$I$15:$N$274,Q90+1,R90)</f>
        <v>//-- unmatched</v>
      </c>
    </row>
    <row r="91" spans="16:19" x14ac:dyDescent="0.75">
      <c r="P91" s="9">
        <v>77</v>
      </c>
      <c r="Q91" s="9">
        <f t="shared" si="39"/>
        <v>12</v>
      </c>
      <c r="R91" s="9">
        <f t="shared" si="40"/>
        <v>5</v>
      </c>
      <c r="S91" s="14" t="str" cm="1">
        <f t="array" ref="S91">INDEX('PS-ConceptMap-1'!$I$15:$N$274,Q91+1,R91)</f>
        <v>* group[=].element[=].target.equivalence = #unmatched</v>
      </c>
    </row>
    <row r="92" spans="16:19" x14ac:dyDescent="0.75">
      <c r="P92" s="9">
        <v>78</v>
      </c>
      <c r="Q92" s="9">
        <f t="shared" si="39"/>
        <v>12</v>
      </c>
      <c r="R92" s="9">
        <f t="shared" si="40"/>
        <v>6</v>
      </c>
      <c r="S92" s="14" t="str" cm="1">
        <f t="array" ref="S92">INDEX('PS-ConceptMap-1'!$I$15:$N$274,Q92+1,R92)</f>
        <v>* group[=].element[=].target.comment = ##34#Covered by other resources##34#</v>
      </c>
    </row>
    <row r="93" spans="16:19" x14ac:dyDescent="0.75">
      <c r="P93" s="9">
        <v>79</v>
      </c>
      <c r="Q93" s="9">
        <f t="shared" si="39"/>
        <v>13</v>
      </c>
      <c r="R93" s="9">
        <f t="shared" si="40"/>
        <v>1</v>
      </c>
      <c r="S93" s="14" t="str" cm="1">
        <f t="array" ref="S93">INDEX('PS-ConceptMap-1'!$I$15:$N$274,Q93+1,R93)</f>
        <v>* group[=].element[+].code = #PatientSummary.body</v>
      </c>
    </row>
    <row r="94" spans="16:19" x14ac:dyDescent="0.75">
      <c r="P94" s="9">
        <v>80</v>
      </c>
      <c r="Q94" s="9">
        <f t="shared" si="39"/>
        <v>13</v>
      </c>
      <c r="R94" s="9">
        <f t="shared" si="40"/>
        <v>2</v>
      </c>
      <c r="S94" s="14" t="str" cm="1">
        <f t="array" ref="S94">INDEX('PS-ConceptMap-1'!$I$15:$N$274,Q94+1,R94)</f>
        <v>* group[=].element[=].display = ##34#A.2 Patient summary body data elements##34#</v>
      </c>
    </row>
    <row r="95" spans="16:19" x14ac:dyDescent="0.75">
      <c r="P95" s="9">
        <v>81</v>
      </c>
      <c r="Q95" s="9">
        <f t="shared" si="39"/>
        <v>13</v>
      </c>
      <c r="R95" s="9">
        <f t="shared" si="40"/>
        <v>3</v>
      </c>
      <c r="S95" s="14" t="str" cm="1">
        <f t="array" ref="S95">INDEX('PS-ConceptMap-1'!$I$15:$N$274,Q95+1,R95)</f>
        <v>* group[=].element[=].target.code = #Composition.section</v>
      </c>
    </row>
    <row r="96" spans="16:19" x14ac:dyDescent="0.75">
      <c r="P96" s="9">
        <v>82</v>
      </c>
      <c r="Q96" s="9">
        <f t="shared" si="39"/>
        <v>13</v>
      </c>
      <c r="R96" s="9">
        <f t="shared" si="40"/>
        <v>4</v>
      </c>
      <c r="S96" s="14" t="str" cm="1">
        <f t="array" ref="S96">INDEX('PS-ConceptMap-1'!$I$15:$N$274,Q96+1,R96)</f>
        <v>* group[=].element[=].target.display = ##34###34#</v>
      </c>
    </row>
    <row r="97" spans="16:19" x14ac:dyDescent="0.75">
      <c r="P97" s="9">
        <v>83</v>
      </c>
      <c r="Q97" s="9">
        <f t="shared" si="39"/>
        <v>13</v>
      </c>
      <c r="R97" s="9">
        <f t="shared" si="40"/>
        <v>5</v>
      </c>
      <c r="S97" s="14" t="str" cm="1">
        <f t="array" ref="S97">INDEX('PS-ConceptMap-1'!$I$15:$N$274,Q97+1,R97)</f>
        <v>* group[=].element[=].target.equivalence = #relatedto</v>
      </c>
    </row>
    <row r="98" spans="16:19" x14ac:dyDescent="0.75">
      <c r="P98" s="9">
        <v>84</v>
      </c>
      <c r="Q98" s="9">
        <f t="shared" si="39"/>
        <v>13</v>
      </c>
      <c r="R98" s="9">
        <f t="shared" si="40"/>
        <v>6</v>
      </c>
      <c r="S98" s="14" t="str" cm="1">
        <f t="array" ref="S98">INDEX('PS-ConceptMap-1'!$I$15:$N$274,Q98+1,R98)</f>
        <v/>
      </c>
    </row>
    <row r="99" spans="16:19" x14ac:dyDescent="0.75">
      <c r="P99" s="9">
        <v>85</v>
      </c>
      <c r="Q99" s="9">
        <f t="shared" si="39"/>
        <v>14</v>
      </c>
      <c r="R99" s="9">
        <f t="shared" si="40"/>
        <v>1</v>
      </c>
      <c r="S99" s="14" t="str" cm="1">
        <f t="array" ref="S99">INDEX('PS-ConceptMap-1'!$I$15:$N$274,Q99+1,R99)</f>
        <v>* group[=].element[+].code = #PatientSummary.body.alerts</v>
      </c>
    </row>
    <row r="100" spans="16:19" x14ac:dyDescent="0.75">
      <c r="P100" s="9">
        <v>86</v>
      </c>
      <c r="Q100" s="9">
        <f t="shared" si="39"/>
        <v>14</v>
      </c>
      <c r="R100" s="9">
        <f t="shared" si="40"/>
        <v>2</v>
      </c>
      <c r="S100" s="14" t="str" cm="1">
        <f t="array" ref="S100">INDEX('PS-ConceptMap-1'!$I$15:$N$274,Q100+1,R100)</f>
        <v>* group[=].element[=].display = ##34#A.2.1 Alerts##34#</v>
      </c>
    </row>
    <row r="101" spans="16:19" x14ac:dyDescent="0.75">
      <c r="P101" s="9">
        <v>87</v>
      </c>
      <c r="Q101" s="9">
        <f t="shared" si="39"/>
        <v>14</v>
      </c>
      <c r="R101" s="9">
        <f t="shared" si="40"/>
        <v>3</v>
      </c>
      <c r="S101" s="14" t="str" cm="1">
        <f t="array" ref="S101">INDEX('PS-ConceptMap-1'!$I$15:$N$274,Q101+1,R101)</f>
        <v>* group[=].element[=].target.code = #Composition.section</v>
      </c>
    </row>
    <row r="102" spans="16:19" x14ac:dyDescent="0.75">
      <c r="P102" s="9">
        <v>88</v>
      </c>
      <c r="Q102" s="9">
        <f t="shared" si="39"/>
        <v>14</v>
      </c>
      <c r="R102" s="9">
        <f t="shared" si="40"/>
        <v>4</v>
      </c>
      <c r="S102" s="14" t="str" cm="1">
        <f t="array" ref="S102">INDEX('PS-ConceptMap-1'!$I$15:$N$274,Q102+1,R102)</f>
        <v>* group[=].element[=].target.display = ##34###34#</v>
      </c>
    </row>
    <row r="103" spans="16:19" x14ac:dyDescent="0.75">
      <c r="P103" s="9">
        <v>89</v>
      </c>
      <c r="Q103" s="9">
        <f t="shared" si="39"/>
        <v>14</v>
      </c>
      <c r="R103" s="9">
        <f t="shared" si="40"/>
        <v>5</v>
      </c>
      <c r="S103" s="14" t="str" cm="1">
        <f t="array" ref="S103">INDEX('PS-ConceptMap-1'!$I$15:$N$274,Q103+1,R103)</f>
        <v>* group[=].element[=].target.equivalence = #relatedto</v>
      </c>
    </row>
    <row r="104" spans="16:19" x14ac:dyDescent="0.75">
      <c r="P104" s="9">
        <v>90</v>
      </c>
      <c r="Q104" s="9">
        <f t="shared" si="39"/>
        <v>14</v>
      </c>
      <c r="R104" s="9">
        <f t="shared" si="40"/>
        <v>6</v>
      </c>
      <c r="S104" s="14" t="str" cm="1">
        <f t="array" ref="S104">INDEX('PS-ConceptMap-1'!$I$15:$N$274,Q104+1,R104)</f>
        <v/>
      </c>
    </row>
    <row r="105" spans="16:19" x14ac:dyDescent="0.75">
      <c r="P105" s="9">
        <v>91</v>
      </c>
      <c r="Q105" s="9">
        <f t="shared" si="39"/>
        <v>15</v>
      </c>
      <c r="R105" s="9">
        <f t="shared" si="40"/>
        <v>1</v>
      </c>
      <c r="S105" s="14" t="str" cm="1">
        <f t="array" ref="S105">INDEX('PS-ConceptMap-1'!$I$15:$N$274,Q105+1,R105)</f>
        <v>* group[=].element[+].code = #PatientSummary.body.alerts.allergy</v>
      </c>
    </row>
    <row r="106" spans="16:19" x14ac:dyDescent="0.75">
      <c r="P106" s="9">
        <v>92</v>
      </c>
      <c r="Q106" s="9">
        <f t="shared" si="39"/>
        <v>15</v>
      </c>
      <c r="R106" s="9">
        <f t="shared" si="40"/>
        <v>2</v>
      </c>
      <c r="S106" s="14" t="str" cm="1">
        <f t="array" ref="S106">INDEX('PS-ConceptMap-1'!$I$15:$N$274,Q106+1,R106)</f>
        <v>* group[=].element[=].display = ##34#A.2.1.1 Allergy##34#</v>
      </c>
    </row>
    <row r="107" spans="16:19" x14ac:dyDescent="0.75">
      <c r="P107" s="9">
        <v>93</v>
      </c>
      <c r="Q107" s="9">
        <f t="shared" si="39"/>
        <v>15</v>
      </c>
      <c r="R107" s="9">
        <f t="shared" si="40"/>
        <v>3</v>
      </c>
      <c r="S107" s="14" t="str" cm="1">
        <f t="array" ref="S107">INDEX('PS-ConceptMap-1'!$I$15:$N$274,Q107+1,R107)</f>
        <v>* group[=].element[=].target.code = #Composition.section:sectionAllergies.entry</v>
      </c>
    </row>
    <row r="108" spans="16:19" x14ac:dyDescent="0.75">
      <c r="P108" s="9">
        <v>94</v>
      </c>
      <c r="Q108" s="9">
        <f t="shared" si="39"/>
        <v>15</v>
      </c>
      <c r="R108" s="9">
        <f t="shared" si="40"/>
        <v>4</v>
      </c>
      <c r="S108" s="14" t="str" cm="1">
        <f t="array" ref="S108">INDEX('PS-ConceptMap-1'!$I$15:$N$274,Q108+1,R108)</f>
        <v>* group[=].element[=].target.display = ##34###34#</v>
      </c>
    </row>
    <row r="109" spans="16:19" x14ac:dyDescent="0.75">
      <c r="P109" s="9">
        <v>95</v>
      </c>
      <c r="Q109" s="9">
        <f t="shared" ref="Q109:Q172" si="41">IF(MOD(P109,$Q$8)=0,P109/$Q$8-1,INT(P109/$Q$8))</f>
        <v>15</v>
      </c>
      <c r="R109" s="9">
        <f t="shared" ref="R109:R172" si="42">IF(MOD(P109,$Q$8)=0,$Q$8,MOD(P109,$Q$8))</f>
        <v>5</v>
      </c>
      <c r="S109" s="14" t="str" cm="1">
        <f t="array" ref="S109">INDEX('PS-ConceptMap-1'!$I$15:$N$274,Q109+1,R109)</f>
        <v>* group[=].element[=].target.equivalence = #equivalent</v>
      </c>
    </row>
    <row r="110" spans="16:19" x14ac:dyDescent="0.75">
      <c r="P110" s="9">
        <v>96</v>
      </c>
      <c r="Q110" s="9">
        <f t="shared" si="41"/>
        <v>15</v>
      </c>
      <c r="R110" s="9">
        <f t="shared" si="42"/>
        <v>6</v>
      </c>
      <c r="S110" s="14" t="str" cm="1">
        <f t="array" ref="S110">INDEX('PS-ConceptMap-1'!$I$15:$N$274,Q110+1,R110)</f>
        <v/>
      </c>
    </row>
    <row r="111" spans="16:19" x14ac:dyDescent="0.75">
      <c r="P111" s="9">
        <v>97</v>
      </c>
      <c r="Q111" s="9">
        <f t="shared" si="41"/>
        <v>16</v>
      </c>
      <c r="R111" s="9">
        <f t="shared" si="42"/>
        <v>1</v>
      </c>
      <c r="S111" s="14" t="str" cm="1">
        <f t="array" ref="S111">INDEX('PS-ConceptMap-1'!$I$15:$N$274,Q111+1,R111)</f>
        <v>* group[=].element[+].code = #PatientSummary.body.alerts.alert</v>
      </c>
    </row>
    <row r="112" spans="16:19" ht="29.5" x14ac:dyDescent="0.75">
      <c r="P112" s="9">
        <v>98</v>
      </c>
      <c r="Q112" s="9">
        <f t="shared" si="41"/>
        <v>16</v>
      </c>
      <c r="R112" s="9">
        <f t="shared" si="42"/>
        <v>2</v>
      </c>
      <c r="S112" s="14" t="str" cm="1">
        <f t="array" ref="S112">INDEX('PS-ConceptMap-1'!$I$15:$N$274,Q112+1,R112)</f>
        <v>* group[=].element[=].display = ##34#A.2.1.2 Medical alert information (other alerts not included in allergies)##34#</v>
      </c>
    </row>
    <row r="113" spans="16:19" x14ac:dyDescent="0.75">
      <c r="P113" s="9">
        <v>99</v>
      </c>
      <c r="Q113" s="9">
        <f t="shared" si="41"/>
        <v>16</v>
      </c>
      <c r="R113" s="9">
        <f t="shared" si="42"/>
        <v>3</v>
      </c>
      <c r="S113" s="14" t="str" cm="1">
        <f t="array" ref="S113">INDEX('PS-ConceptMap-1'!$I$15:$N$274,Q113+1,R113)</f>
        <v>* group[=].element[=].target.code = #Composition.section:sectionAlert</v>
      </c>
    </row>
    <row r="114" spans="16:19" x14ac:dyDescent="0.75">
      <c r="P114" s="9">
        <v>100</v>
      </c>
      <c r="Q114" s="9">
        <f t="shared" si="41"/>
        <v>16</v>
      </c>
      <c r="R114" s="9">
        <f t="shared" si="42"/>
        <v>4</v>
      </c>
      <c r="S114" s="14" t="str" cm="1">
        <f t="array" ref="S114">INDEX('PS-ConceptMap-1'!$I$15:$N$274,Q114+1,R114)</f>
        <v>* group[=].element[=].target.display = ##34###34#</v>
      </c>
    </row>
    <row r="115" spans="16:19" x14ac:dyDescent="0.75">
      <c r="P115" s="9">
        <v>101</v>
      </c>
      <c r="Q115" s="9">
        <f t="shared" si="41"/>
        <v>16</v>
      </c>
      <c r="R115" s="9">
        <f t="shared" si="42"/>
        <v>5</v>
      </c>
      <c r="S115" s="14" t="str" cm="1">
        <f t="array" ref="S115">INDEX('PS-ConceptMap-1'!$I$15:$N$274,Q115+1,R115)</f>
        <v>* group[=].element[=].target.equivalence = #relatedto</v>
      </c>
    </row>
    <row r="116" spans="16:19" x14ac:dyDescent="0.75">
      <c r="P116" s="9">
        <v>102</v>
      </c>
      <c r="Q116" s="9">
        <f t="shared" si="41"/>
        <v>16</v>
      </c>
      <c r="R116" s="9">
        <f t="shared" si="42"/>
        <v>6</v>
      </c>
      <c r="S116" s="14" t="str" cm="1">
        <f t="array" ref="S116">INDEX('PS-ConceptMap-1'!$I$15:$N$274,Q116+1,R116)</f>
        <v/>
      </c>
    </row>
    <row r="117" spans="16:19" x14ac:dyDescent="0.75">
      <c r="P117" s="9">
        <v>103</v>
      </c>
      <c r="Q117" s="9">
        <f t="shared" si="41"/>
        <v>17</v>
      </c>
      <c r="R117" s="9">
        <f t="shared" si="42"/>
        <v>1</v>
      </c>
      <c r="S117" s="14" t="str" cm="1">
        <f t="array" ref="S117">INDEX('PS-ConceptMap-1'!$I$15:$N$274,Q117+1,R117)</f>
        <v>* group[=].element[+].code = #PatientSummary.body.alerts.alert.description</v>
      </c>
    </row>
    <row r="118" spans="16:19" x14ac:dyDescent="0.75">
      <c r="P118" s="9">
        <v>104</v>
      </c>
      <c r="Q118" s="9">
        <f t="shared" si="41"/>
        <v>17</v>
      </c>
      <c r="R118" s="9">
        <f t="shared" si="42"/>
        <v>2</v>
      </c>
      <c r="S118" s="14" t="str" cm="1">
        <f t="array" ref="S118">INDEX('PS-ConceptMap-1'!$I$15:$N$274,Q118+1,R118)</f>
        <v>* group[=].element[=].display = ##34#A.2.1.2.1 Healthcare alert description##34#</v>
      </c>
    </row>
    <row r="119" spans="16:19" x14ac:dyDescent="0.75">
      <c r="P119" s="9">
        <v>105</v>
      </c>
      <c r="Q119" s="9">
        <f t="shared" si="41"/>
        <v>17</v>
      </c>
      <c r="R119" s="9">
        <f t="shared" si="42"/>
        <v>3</v>
      </c>
      <c r="S119" s="14" t="str" cm="1">
        <f t="array" ref="S119">INDEX('PS-ConceptMap-1'!$I$15:$N$274,Q119+1,R119)</f>
        <v>* group[=].element[=].target.code = #Composition.section:sectionAlert.text</v>
      </c>
    </row>
    <row r="120" spans="16:19" x14ac:dyDescent="0.75">
      <c r="P120" s="9">
        <v>106</v>
      </c>
      <c r="Q120" s="9">
        <f t="shared" si="41"/>
        <v>17</v>
      </c>
      <c r="R120" s="9">
        <f t="shared" si="42"/>
        <v>4</v>
      </c>
      <c r="S120" s="14" t="str" cm="1">
        <f t="array" ref="S120">INDEX('PS-ConceptMap-1'!$I$15:$N$274,Q120+1,R120)</f>
        <v>* group[=].element[=].target.display = ##34###34#</v>
      </c>
    </row>
    <row r="121" spans="16:19" x14ac:dyDescent="0.75">
      <c r="P121" s="9">
        <v>107</v>
      </c>
      <c r="Q121" s="9">
        <f t="shared" si="41"/>
        <v>17</v>
      </c>
      <c r="R121" s="9">
        <f t="shared" si="42"/>
        <v>5</v>
      </c>
      <c r="S121" s="14" t="str" cm="1">
        <f t="array" ref="S121">INDEX('PS-ConceptMap-1'!$I$15:$N$274,Q121+1,R121)</f>
        <v>* group[=].element[=].target.equivalence = #relatedto</v>
      </c>
    </row>
    <row r="122" spans="16:19" x14ac:dyDescent="0.75">
      <c r="P122" s="9">
        <v>108</v>
      </c>
      <c r="Q122" s="9">
        <f t="shared" si="41"/>
        <v>17</v>
      </c>
      <c r="R122" s="9">
        <f t="shared" si="42"/>
        <v>6</v>
      </c>
      <c r="S122" s="14" t="str" cm="1">
        <f t="array" ref="S122">INDEX('PS-ConceptMap-1'!$I$15:$N$274,Q122+1,R122)</f>
        <v/>
      </c>
    </row>
    <row r="123" spans="16:19" x14ac:dyDescent="0.75">
      <c r="P123" s="9">
        <v>109</v>
      </c>
      <c r="Q123" s="9">
        <f t="shared" si="41"/>
        <v>18</v>
      </c>
      <c r="R123" s="9">
        <f t="shared" si="42"/>
        <v>1</v>
      </c>
      <c r="S123" s="14" t="str" cm="1">
        <f t="array" ref="S123">INDEX('PS-ConceptMap-1'!$I$15:$N$274,Q123+1,R123)</f>
        <v>* group[=].element[+].code = #PatientSummary.body.alerts.alert.description</v>
      </c>
    </row>
    <row r="124" spans="16:19" x14ac:dyDescent="0.75">
      <c r="P124" s="9">
        <v>110</v>
      </c>
      <c r="Q124" s="9">
        <f t="shared" si="41"/>
        <v>18</v>
      </c>
      <c r="R124" s="9">
        <f t="shared" si="42"/>
        <v>2</v>
      </c>
      <c r="S124" s="14" t="str" cm="1">
        <f t="array" ref="S124">INDEX('PS-ConceptMap-1'!$I$15:$N$274,Q124+1,R124)</f>
        <v>* group[=].element[=].display = ##34#A.2.1.2.1 Healthcare alert description##34#</v>
      </c>
    </row>
    <row r="125" spans="16:19" ht="29.5" x14ac:dyDescent="0.75">
      <c r="P125" s="9">
        <v>111</v>
      </c>
      <c r="Q125" s="9">
        <f t="shared" si="41"/>
        <v>18</v>
      </c>
      <c r="R125" s="9">
        <f t="shared" si="42"/>
        <v>3</v>
      </c>
      <c r="S125" s="14" t="str" cm="1">
        <f t="array" ref="S125">INDEX('PS-ConceptMap-1'!$I$15:$N$274,Q125+1,R125)</f>
        <v>* group[=].element[=].target.code = #Composition.section:sectionAlert.entry.code.text</v>
      </c>
    </row>
    <row r="126" spans="16:19" x14ac:dyDescent="0.75">
      <c r="P126" s="9">
        <v>112</v>
      </c>
      <c r="Q126" s="9">
        <f t="shared" si="41"/>
        <v>18</v>
      </c>
      <c r="R126" s="9">
        <f t="shared" si="42"/>
        <v>4</v>
      </c>
      <c r="S126" s="14" t="str" cm="1">
        <f t="array" ref="S126">INDEX('PS-ConceptMap-1'!$I$15:$N$274,Q126+1,R126)</f>
        <v>* group[=].element[=].target.display = ##34###34#</v>
      </c>
    </row>
    <row r="127" spans="16:19" x14ac:dyDescent="0.75">
      <c r="P127" s="9">
        <v>113</v>
      </c>
      <c r="Q127" s="9">
        <f t="shared" si="41"/>
        <v>18</v>
      </c>
      <c r="R127" s="9">
        <f t="shared" si="42"/>
        <v>5</v>
      </c>
      <c r="S127" s="14" t="str" cm="1">
        <f t="array" ref="S127">INDEX('PS-ConceptMap-1'!$I$15:$N$274,Q127+1,R127)</f>
        <v>* group[=].element[=].target.equivalence = #relatedto</v>
      </c>
    </row>
    <row r="128" spans="16:19" x14ac:dyDescent="0.75">
      <c r="P128" s="9">
        <v>114</v>
      </c>
      <c r="Q128" s="9">
        <f t="shared" si="41"/>
        <v>18</v>
      </c>
      <c r="R128" s="9">
        <f t="shared" si="42"/>
        <v>6</v>
      </c>
      <c r="S128" s="14" t="str" cm="1">
        <f t="array" ref="S128">INDEX('PS-ConceptMap-1'!$I$15:$N$274,Q128+1,R128)</f>
        <v>* group[=].element[=].target.comment = ##34#entry of type Flag##34#</v>
      </c>
    </row>
    <row r="129" spans="16:19" x14ac:dyDescent="0.75">
      <c r="P129" s="9">
        <v>115</v>
      </c>
      <c r="Q129" s="9">
        <f t="shared" si="41"/>
        <v>19</v>
      </c>
      <c r="R129" s="9">
        <f t="shared" si="42"/>
        <v>1</v>
      </c>
      <c r="S129" s="14" t="str" cm="1">
        <f t="array" ref="S129">INDEX('PS-ConceptMap-1'!$I$15:$N$274,Q129+1,R129)</f>
        <v>* group[=].element[+].code = #PatientSummary.body.medicalHistory</v>
      </c>
    </row>
    <row r="130" spans="16:19" x14ac:dyDescent="0.75">
      <c r="P130" s="9">
        <v>116</v>
      </c>
      <c r="Q130" s="9">
        <f t="shared" si="41"/>
        <v>19</v>
      </c>
      <c r="R130" s="9">
        <f t="shared" si="42"/>
        <v>2</v>
      </c>
      <c r="S130" s="14" t="str" cm="1">
        <f t="array" ref="S130">INDEX('PS-ConceptMap-1'!$I$15:$N$274,Q130+1,R130)</f>
        <v>* group[=].element[=].display = ##34#A.2.2 Medical history##34#</v>
      </c>
    </row>
    <row r="131" spans="16:19" x14ac:dyDescent="0.75">
      <c r="P131" s="9">
        <v>117</v>
      </c>
      <c r="Q131" s="9">
        <f t="shared" si="41"/>
        <v>19</v>
      </c>
      <c r="R131" s="9">
        <f t="shared" si="42"/>
        <v>3</v>
      </c>
      <c r="S131" s="14" t="str" cm="1">
        <f t="array" ref="S131">INDEX('PS-ConceptMap-1'!$I$15:$N$274,Q131+1,R131)</f>
        <v>* group[=].element[=].target.code = #Composition.section</v>
      </c>
    </row>
    <row r="132" spans="16:19" x14ac:dyDescent="0.75">
      <c r="P132" s="9">
        <v>118</v>
      </c>
      <c r="Q132" s="9">
        <f t="shared" si="41"/>
        <v>19</v>
      </c>
      <c r="R132" s="9">
        <f t="shared" si="42"/>
        <v>4</v>
      </c>
      <c r="S132" s="14" t="str" cm="1">
        <f t="array" ref="S132">INDEX('PS-ConceptMap-1'!$I$15:$N$274,Q132+1,R132)</f>
        <v>* group[=].element[=].target.display = ##34###34#</v>
      </c>
    </row>
    <row r="133" spans="16:19" x14ac:dyDescent="0.75">
      <c r="P133" s="9">
        <v>119</v>
      </c>
      <c r="Q133" s="9">
        <f t="shared" si="41"/>
        <v>19</v>
      </c>
      <c r="R133" s="9">
        <f t="shared" si="42"/>
        <v>5</v>
      </c>
      <c r="S133" s="14" t="str" cm="1">
        <f t="array" ref="S133">INDEX('PS-ConceptMap-1'!$I$15:$N$274,Q133+1,R133)</f>
        <v>* group[=].element[=].target.equivalence = #relatedto</v>
      </c>
    </row>
    <row r="134" spans="16:19" x14ac:dyDescent="0.75">
      <c r="P134" s="9">
        <v>120</v>
      </c>
      <c r="Q134" s="9">
        <f t="shared" si="41"/>
        <v>19</v>
      </c>
      <c r="R134" s="9">
        <f t="shared" si="42"/>
        <v>6</v>
      </c>
      <c r="S134" s="14" t="str" cm="1">
        <f t="array" ref="S134">INDEX('PS-ConceptMap-1'!$I$15:$N$274,Q134+1,R134)</f>
        <v/>
      </c>
    </row>
    <row r="135" spans="16:19" x14ac:dyDescent="0.75">
      <c r="P135" s="9">
        <v>121</v>
      </c>
      <c r="Q135" s="9">
        <f t="shared" si="41"/>
        <v>20</v>
      </c>
      <c r="R135" s="9">
        <f t="shared" si="42"/>
        <v>1</v>
      </c>
      <c r="S135" s="14" t="str" cm="1">
        <f t="array" ref="S135">INDEX('PS-ConceptMap-1'!$I$15:$N$274,Q135+1,R135)</f>
        <v>* group[=].element[+].code = #PatientSummary.body.medicalHistory.vaccination</v>
      </c>
    </row>
    <row r="136" spans="16:19" ht="29.5" x14ac:dyDescent="0.75">
      <c r="P136" s="9">
        <v>122</v>
      </c>
      <c r="Q136" s="9">
        <f t="shared" si="41"/>
        <v>20</v>
      </c>
      <c r="R136" s="9">
        <f t="shared" si="42"/>
        <v>2</v>
      </c>
      <c r="S136" s="14" t="str" cm="1">
        <f t="array" ref="S136">INDEX('PS-ConceptMap-1'!$I$15:$N$274,Q136+1,R136)</f>
        <v>* group[=].element[=].display = ##34#A.2.2.1 Vaccination/ prophylaxis information##34#</v>
      </c>
    </row>
    <row r="137" spans="16:19" ht="29.5" x14ac:dyDescent="0.75">
      <c r="P137" s="9">
        <v>123</v>
      </c>
      <c r="Q137" s="9">
        <f t="shared" si="41"/>
        <v>20</v>
      </c>
      <c r="R137" s="9">
        <f t="shared" si="42"/>
        <v>3</v>
      </c>
      <c r="S137" s="14" t="str" cm="1">
        <f t="array" ref="S137">INDEX('PS-ConceptMap-1'!$I$15:$N$274,Q137+1,R137)</f>
        <v>* group[=].element[=].target.code = #Composition.section:sectionImmunizations.entry</v>
      </c>
    </row>
    <row r="138" spans="16:19" x14ac:dyDescent="0.75">
      <c r="P138" s="9">
        <v>124</v>
      </c>
      <c r="Q138" s="9">
        <f t="shared" si="41"/>
        <v>20</v>
      </c>
      <c r="R138" s="9">
        <f t="shared" si="42"/>
        <v>4</v>
      </c>
      <c r="S138" s="14" t="str" cm="1">
        <f t="array" ref="S138">INDEX('PS-ConceptMap-1'!$I$15:$N$274,Q138+1,R138)</f>
        <v>* group[=].element[=].target.display = ##34###34#</v>
      </c>
    </row>
    <row r="139" spans="16:19" x14ac:dyDescent="0.75">
      <c r="P139" s="9">
        <v>125</v>
      </c>
      <c r="Q139" s="9">
        <f t="shared" si="41"/>
        <v>20</v>
      </c>
      <c r="R139" s="9">
        <f t="shared" si="42"/>
        <v>5</v>
      </c>
      <c r="S139" s="14" t="str" cm="1">
        <f t="array" ref="S139">INDEX('PS-ConceptMap-1'!$I$15:$N$274,Q139+1,R139)</f>
        <v>* group[=].element[=].target.equivalence = #equivalent</v>
      </c>
    </row>
    <row r="140" spans="16:19" x14ac:dyDescent="0.75">
      <c r="P140" s="9">
        <v>126</v>
      </c>
      <c r="Q140" s="9">
        <f t="shared" si="41"/>
        <v>20</v>
      </c>
      <c r="R140" s="9">
        <f t="shared" si="42"/>
        <v>6</v>
      </c>
      <c r="S140" s="14" t="str" cm="1">
        <f t="array" ref="S140">INDEX('PS-ConceptMap-1'!$I$15:$N$274,Q140+1,R140)</f>
        <v/>
      </c>
    </row>
    <row r="141" spans="16:19" x14ac:dyDescent="0.75">
      <c r="P141" s="9">
        <v>127</v>
      </c>
      <c r="Q141" s="9">
        <f t="shared" si="41"/>
        <v>21</v>
      </c>
      <c r="R141" s="9">
        <f t="shared" si="42"/>
        <v>1</v>
      </c>
      <c r="S141" s="14" t="str" cm="1">
        <f t="array" ref="S141">INDEX('PS-ConceptMap-1'!$I$15:$N$274,Q141+1,R141)</f>
        <v>* group[=].element[+].code = #PatientSummary.body.medicalHistory.inactiveProblem</v>
      </c>
    </row>
    <row r="142" spans="16:19" ht="29.5" x14ac:dyDescent="0.75">
      <c r="P142" s="9">
        <v>128</v>
      </c>
      <c r="Q142" s="9">
        <f t="shared" si="41"/>
        <v>21</v>
      </c>
      <c r="R142" s="9">
        <f t="shared" si="42"/>
        <v>2</v>
      </c>
      <c r="S142" s="14" t="str" cm="1">
        <f t="array" ref="S142">INDEX('PS-ConceptMap-1'!$I$15:$N$274,Q142+1,R142)</f>
        <v>* group[=].element[=].display = ##34#A.2.2.2 Resolved, closed or inactive problems##34#</v>
      </c>
    </row>
    <row r="143" spans="16:19" x14ac:dyDescent="0.75">
      <c r="P143" s="9">
        <v>129</v>
      </c>
      <c r="Q143" s="9">
        <f t="shared" si="41"/>
        <v>21</v>
      </c>
      <c r="R143" s="9">
        <f t="shared" si="42"/>
        <v>3</v>
      </c>
      <c r="S143" s="14" t="str" cm="1">
        <f t="array" ref="S143">INDEX('PS-ConceptMap-1'!$I$15:$N$274,Q143+1,R143)</f>
        <v>* group[=].element[=].target.code = #Composition.section:sectionPastIllnessHx.entry</v>
      </c>
    </row>
    <row r="144" spans="16:19" x14ac:dyDescent="0.75">
      <c r="P144" s="9">
        <v>130</v>
      </c>
      <c r="Q144" s="9">
        <f t="shared" si="41"/>
        <v>21</v>
      </c>
      <c r="R144" s="9">
        <f t="shared" si="42"/>
        <v>4</v>
      </c>
      <c r="S144" s="14" t="str" cm="1">
        <f t="array" ref="S144">INDEX('PS-ConceptMap-1'!$I$15:$N$274,Q144+1,R144)</f>
        <v>* group[=].element[=].target.display = ##34###34#</v>
      </c>
    </row>
    <row r="145" spans="16:19" x14ac:dyDescent="0.75">
      <c r="P145" s="9">
        <v>131</v>
      </c>
      <c r="Q145" s="9">
        <f t="shared" si="41"/>
        <v>21</v>
      </c>
      <c r="R145" s="9">
        <f t="shared" si="42"/>
        <v>5</v>
      </c>
      <c r="S145" s="14" t="str" cm="1">
        <f t="array" ref="S145">INDEX('PS-ConceptMap-1'!$I$15:$N$274,Q145+1,R145)</f>
        <v>* group[=].element[=].target.equivalence = #equivalent</v>
      </c>
    </row>
    <row r="146" spans="16:19" x14ac:dyDescent="0.75">
      <c r="P146" s="9">
        <v>132</v>
      </c>
      <c r="Q146" s="9">
        <f t="shared" si="41"/>
        <v>21</v>
      </c>
      <c r="R146" s="9">
        <f t="shared" si="42"/>
        <v>6</v>
      </c>
      <c r="S146" s="14" t="str" cm="1">
        <f t="array" ref="S146">INDEX('PS-ConceptMap-1'!$I$15:$N$274,Q146+1,R146)</f>
        <v/>
      </c>
    </row>
    <row r="147" spans="16:19" x14ac:dyDescent="0.75">
      <c r="P147" s="9">
        <v>133</v>
      </c>
      <c r="Q147" s="9">
        <f t="shared" si="41"/>
        <v>22</v>
      </c>
      <c r="R147" s="9">
        <f t="shared" si="42"/>
        <v>1</v>
      </c>
      <c r="S147" s="14" t="str" cm="1">
        <f t="array" ref="S147">INDEX('PS-ConceptMap-1'!$I$15:$N$274,Q147+1,R147)</f>
        <v>* group[=].element[+].code = #PatientSummary.body.medicalHistory.anamnesis</v>
      </c>
    </row>
    <row r="148" spans="16:19" x14ac:dyDescent="0.75">
      <c r="P148" s="9">
        <v>134</v>
      </c>
      <c r="Q148" s="9">
        <f t="shared" si="41"/>
        <v>22</v>
      </c>
      <c r="R148" s="9">
        <f t="shared" si="42"/>
        <v>2</v>
      </c>
      <c r="S148" s="14" t="str" cm="1">
        <f t="array" ref="S148">INDEX('PS-ConceptMap-1'!$I$15:$N$274,Q148+1,R148)</f>
        <v>* group[=].element[=].display = ##34#A.2.2.3 Medical history##34#</v>
      </c>
    </row>
    <row r="149" spans="16:19" x14ac:dyDescent="0.75">
      <c r="P149" s="9">
        <v>135</v>
      </c>
      <c r="Q149" s="9">
        <f t="shared" si="41"/>
        <v>22</v>
      </c>
      <c r="R149" s="9">
        <f t="shared" si="42"/>
        <v>3</v>
      </c>
      <c r="S149" s="14" t="str" cm="1">
        <f t="array" ref="S149">INDEX('PS-ConceptMap-1'!$I$15:$N$274,Q149+1,R149)</f>
        <v>* group[=].element[=].target.code = #Composition</v>
      </c>
    </row>
    <row r="150" spans="16:19" x14ac:dyDescent="0.75">
      <c r="P150" s="9">
        <v>136</v>
      </c>
      <c r="Q150" s="9">
        <f t="shared" si="41"/>
        <v>22</v>
      </c>
      <c r="R150" s="9">
        <f t="shared" si="42"/>
        <v>4</v>
      </c>
      <c r="S150" s="14" t="str" cm="1">
        <f t="array" ref="S150">INDEX('PS-ConceptMap-1'!$I$15:$N$274,Q150+1,R150)</f>
        <v>* group[=].element[=].target.display = ##34###34#</v>
      </c>
    </row>
    <row r="151" spans="16:19" x14ac:dyDescent="0.75">
      <c r="P151" s="9">
        <v>137</v>
      </c>
      <c r="Q151" s="9">
        <f t="shared" si="41"/>
        <v>22</v>
      </c>
      <c r="R151" s="9">
        <f t="shared" si="42"/>
        <v>5</v>
      </c>
      <c r="S151" s="14" t="str" cm="1">
        <f t="array" ref="S151">INDEX('PS-ConceptMap-1'!$I$15:$N$274,Q151+1,R151)</f>
        <v>* group[=].element[=].target.equivalence = #relatedto</v>
      </c>
    </row>
    <row r="152" spans="16:19" x14ac:dyDescent="0.75">
      <c r="P152" s="9">
        <v>138</v>
      </c>
      <c r="Q152" s="9">
        <f t="shared" si="41"/>
        <v>22</v>
      </c>
      <c r="R152" s="9">
        <f t="shared" si="42"/>
        <v>6</v>
      </c>
      <c r="S152" s="14" t="str" cm="1">
        <f t="array" ref="S152">INDEX('PS-ConceptMap-1'!$I$15:$N$274,Q152+1,R152)</f>
        <v/>
      </c>
    </row>
    <row r="153" spans="16:19" x14ac:dyDescent="0.75">
      <c r="P153" s="9">
        <v>139</v>
      </c>
      <c r="Q153" s="9">
        <f t="shared" si="41"/>
        <v>23</v>
      </c>
      <c r="R153" s="9">
        <f t="shared" si="42"/>
        <v>1</v>
      </c>
      <c r="S153" s="14" t="str" cm="1">
        <f t="array" ref="S153">INDEX('PS-ConceptMap-1'!$I$15:$N$274,Q153+1,R153)</f>
        <v>* group[=].element[+].code = #PatientSummary.body.medicalHistory.medicalDevices</v>
      </c>
    </row>
    <row r="154" spans="16:19" x14ac:dyDescent="0.75">
      <c r="P154" s="9">
        <v>140</v>
      </c>
      <c r="Q154" s="9">
        <f t="shared" si="41"/>
        <v>23</v>
      </c>
      <c r="R154" s="9">
        <f t="shared" si="42"/>
        <v>2</v>
      </c>
      <c r="S154" s="14" t="str" cm="1">
        <f t="array" ref="S154">INDEX('PS-ConceptMap-1'!$I$15:$N$274,Q154+1,R154)</f>
        <v>* group[=].element[=].display = ##34#A.2.3.2 Medical devices and implants##34#</v>
      </c>
    </row>
    <row r="155" spans="16:19" x14ac:dyDescent="0.75">
      <c r="P155" s="9">
        <v>141</v>
      </c>
      <c r="Q155" s="9">
        <f t="shared" si="41"/>
        <v>23</v>
      </c>
      <c r="R155" s="9">
        <f t="shared" si="42"/>
        <v>3</v>
      </c>
      <c r="S155" s="14" t="str" cm="1">
        <f t="array" ref="S155">INDEX('PS-ConceptMap-1'!$I$15:$N$274,Q155+1,R155)</f>
        <v>* group[=].element[=].target.code = #Composition. section:sectionMedicalDevices</v>
      </c>
    </row>
    <row r="156" spans="16:19" x14ac:dyDescent="0.75">
      <c r="P156" s="9">
        <v>142</v>
      </c>
      <c r="Q156" s="9">
        <f t="shared" si="41"/>
        <v>23</v>
      </c>
      <c r="R156" s="9">
        <f t="shared" si="42"/>
        <v>4</v>
      </c>
      <c r="S156" s="14" t="str" cm="1">
        <f t="array" ref="S156">INDEX('PS-ConceptMap-1'!$I$15:$N$274,Q156+1,R156)</f>
        <v>* group[=].element[=].target.display = ##34###34#</v>
      </c>
    </row>
    <row r="157" spans="16:19" x14ac:dyDescent="0.75">
      <c r="P157" s="9">
        <v>143</v>
      </c>
      <c r="Q157" s="9">
        <f t="shared" si="41"/>
        <v>23</v>
      </c>
      <c r="R157" s="9">
        <f t="shared" si="42"/>
        <v>5</v>
      </c>
      <c r="S157" s="14" t="str" cm="1">
        <f t="array" ref="S157">INDEX('PS-ConceptMap-1'!$I$15:$N$274,Q157+1,R157)</f>
        <v>* group[=].element[=].target.equivalence = #equivalent</v>
      </c>
    </row>
    <row r="158" spans="16:19" x14ac:dyDescent="0.75">
      <c r="P158" s="9">
        <v>144</v>
      </c>
      <c r="Q158" s="9">
        <f t="shared" si="41"/>
        <v>23</v>
      </c>
      <c r="R158" s="9">
        <f t="shared" si="42"/>
        <v>6</v>
      </c>
      <c r="S158" s="14" t="str" cm="1">
        <f t="array" ref="S158">INDEX('PS-ConceptMap-1'!$I$15:$N$274,Q158+1,R158)</f>
        <v/>
      </c>
    </row>
    <row r="159" spans="16:19" x14ac:dyDescent="0.75">
      <c r="P159" s="9">
        <v>145</v>
      </c>
      <c r="Q159" s="9">
        <f t="shared" si="41"/>
        <v>24</v>
      </c>
      <c r="R159" s="9">
        <f t="shared" si="42"/>
        <v>1</v>
      </c>
      <c r="S159" s="14" t="str" cm="1">
        <f t="array" ref="S159">INDEX('PS-ConceptMap-1'!$I$15:$N$274,Q159+1,R159)</f>
        <v>* group[=].element[+].code = #PatientSummary.body.medicalHistory.procedures</v>
      </c>
    </row>
    <row r="160" spans="16:19" x14ac:dyDescent="0.75">
      <c r="P160" s="9">
        <v>146</v>
      </c>
      <c r="Q160" s="9">
        <f t="shared" si="41"/>
        <v>24</v>
      </c>
      <c r="R160" s="9">
        <f t="shared" si="42"/>
        <v>2</v>
      </c>
      <c r="S160" s="14" t="str" cm="1">
        <f t="array" ref="S160">INDEX('PS-ConceptMap-1'!$I$15:$N$274,Q160+1,R160)</f>
        <v>* group[=].element[=].display = ##34#A.2.3.3 Procedures##34#</v>
      </c>
    </row>
    <row r="161" spans="16:19" x14ac:dyDescent="0.75">
      <c r="P161" s="9">
        <v>147</v>
      </c>
      <c r="Q161" s="9">
        <f t="shared" si="41"/>
        <v>24</v>
      </c>
      <c r="R161" s="9">
        <f t="shared" si="42"/>
        <v>3</v>
      </c>
      <c r="S161" s="14" t="str" cm="1">
        <f t="array" ref="S161">INDEX('PS-ConceptMap-1'!$I$15:$N$274,Q161+1,R161)</f>
        <v>* group[=].element[=].target.code = #Composition.section:sectionProceduresHx</v>
      </c>
    </row>
    <row r="162" spans="16:19" x14ac:dyDescent="0.75">
      <c r="P162" s="9">
        <v>148</v>
      </c>
      <c r="Q162" s="9">
        <f t="shared" si="41"/>
        <v>24</v>
      </c>
      <c r="R162" s="9">
        <f t="shared" si="42"/>
        <v>4</v>
      </c>
      <c r="S162" s="14" t="str" cm="1">
        <f t="array" ref="S162">INDEX('PS-ConceptMap-1'!$I$15:$N$274,Q162+1,R162)</f>
        <v>* group[=].element[=].target.display = ##34###34#</v>
      </c>
    </row>
    <row r="163" spans="16:19" x14ac:dyDescent="0.75">
      <c r="P163" s="9">
        <v>149</v>
      </c>
      <c r="Q163" s="9">
        <f t="shared" si="41"/>
        <v>24</v>
      </c>
      <c r="R163" s="9">
        <f t="shared" si="42"/>
        <v>5</v>
      </c>
      <c r="S163" s="14" t="str" cm="1">
        <f t="array" ref="S163">INDEX('PS-ConceptMap-1'!$I$15:$N$274,Q163+1,R163)</f>
        <v>* group[=].element[=].target.equivalence = #equivalent</v>
      </c>
    </row>
    <row r="164" spans="16:19" x14ac:dyDescent="0.75">
      <c r="P164" s="9">
        <v>150</v>
      </c>
      <c r="Q164" s="9">
        <f t="shared" si="41"/>
        <v>24</v>
      </c>
      <c r="R164" s="9">
        <f t="shared" si="42"/>
        <v>6</v>
      </c>
      <c r="S164" s="14" t="str" cm="1">
        <f t="array" ref="S164">INDEX('PS-ConceptMap-1'!$I$15:$N$274,Q164+1,R164)</f>
        <v/>
      </c>
    </row>
    <row r="165" spans="16:19" x14ac:dyDescent="0.75">
      <c r="P165" s="9">
        <v>151</v>
      </c>
      <c r="Q165" s="9">
        <f t="shared" si="41"/>
        <v>25</v>
      </c>
      <c r="R165" s="9">
        <f t="shared" si="42"/>
        <v>1</v>
      </c>
      <c r="S165" s="14" t="str" cm="1">
        <f t="array" ref="S165">INDEX('PS-ConceptMap-1'!$I$15:$N$274,Q165+1,R165)</f>
        <v>* group[=].element[+].code = #PatientSummary.body.medicalHistory.functionalStatus</v>
      </c>
    </row>
    <row r="166" spans="16:19" x14ac:dyDescent="0.75">
      <c r="P166" s="9">
        <v>152</v>
      </c>
      <c r="Q166" s="9">
        <f t="shared" si="41"/>
        <v>25</v>
      </c>
      <c r="R166" s="9">
        <f t="shared" si="42"/>
        <v>2</v>
      </c>
      <c r="S166" s="14" t="str" cm="1">
        <f t="array" ref="S166">INDEX('PS-ConceptMap-1'!$I$15:$N$274,Q166+1,R166)</f>
        <v>* group[=].element[=].display = ##34#A.2.3.4 Functional status##34#</v>
      </c>
    </row>
    <row r="167" spans="16:19" x14ac:dyDescent="0.75">
      <c r="P167" s="9">
        <v>153</v>
      </c>
      <c r="Q167" s="9">
        <f t="shared" si="41"/>
        <v>25</v>
      </c>
      <c r="R167" s="9">
        <f t="shared" si="42"/>
        <v>3</v>
      </c>
      <c r="S167" s="14" t="str" cm="1">
        <f t="array" ref="S167">INDEX('PS-ConceptMap-1'!$I$15:$N$274,Q167+1,R167)</f>
        <v>* group[=].element[=].target.code = #Composition.section:sectionFunctionalStatus</v>
      </c>
    </row>
    <row r="168" spans="16:19" x14ac:dyDescent="0.75">
      <c r="P168" s="9">
        <v>154</v>
      </c>
      <c r="Q168" s="9">
        <f t="shared" si="41"/>
        <v>25</v>
      </c>
      <c r="R168" s="9">
        <f t="shared" si="42"/>
        <v>4</v>
      </c>
      <c r="S168" s="14" t="str" cm="1">
        <f t="array" ref="S168">INDEX('PS-ConceptMap-1'!$I$15:$N$274,Q168+1,R168)</f>
        <v>* group[=].element[=].target.display = ##34###34#</v>
      </c>
    </row>
    <row r="169" spans="16:19" x14ac:dyDescent="0.75">
      <c r="P169" s="9">
        <v>155</v>
      </c>
      <c r="Q169" s="9">
        <f t="shared" si="41"/>
        <v>25</v>
      </c>
      <c r="R169" s="9">
        <f t="shared" si="42"/>
        <v>5</v>
      </c>
      <c r="S169" s="14" t="str" cm="1">
        <f t="array" ref="S169">INDEX('PS-ConceptMap-1'!$I$15:$N$274,Q169+1,R169)</f>
        <v>* group[=].element[=].target.equivalence = #equivalent</v>
      </c>
    </row>
    <row r="170" spans="16:19" x14ac:dyDescent="0.75">
      <c r="P170" s="9">
        <v>156</v>
      </c>
      <c r="Q170" s="9">
        <f t="shared" si="41"/>
        <v>25</v>
      </c>
      <c r="R170" s="9">
        <f t="shared" si="42"/>
        <v>6</v>
      </c>
      <c r="S170" s="14" t="str" cm="1">
        <f t="array" ref="S170">INDEX('PS-ConceptMap-1'!$I$15:$N$274,Q170+1,R170)</f>
        <v/>
      </c>
    </row>
    <row r="171" spans="16:19" x14ac:dyDescent="0.75">
      <c r="P171" s="9">
        <v>157</v>
      </c>
      <c r="Q171" s="9">
        <f t="shared" si="41"/>
        <v>26</v>
      </c>
      <c r="R171" s="9">
        <f t="shared" si="42"/>
        <v>1</v>
      </c>
      <c r="S171" s="14" t="str" cm="1">
        <f t="array" ref="S171">INDEX('PS-ConceptMap-1'!$I$15:$N$274,Q171+1,R171)</f>
        <v>* group[=].element[+].code = #PatientSummary.body.medicationSummary</v>
      </c>
    </row>
    <row r="172" spans="16:19" x14ac:dyDescent="0.75">
      <c r="P172" s="9">
        <v>158</v>
      </c>
      <c r="Q172" s="9">
        <f t="shared" si="41"/>
        <v>26</v>
      </c>
      <c r="R172" s="9">
        <f t="shared" si="42"/>
        <v>2</v>
      </c>
      <c r="S172" s="14" t="str" cm="1">
        <f t="array" ref="S172">INDEX('PS-ConceptMap-1'!$I$15:$N$274,Q172+1,R172)</f>
        <v>* group[=].element[=].display = ##34#A.2.4 Medication summary##34#</v>
      </c>
    </row>
    <row r="173" spans="16:19" x14ac:dyDescent="0.75">
      <c r="P173" s="9">
        <v>159</v>
      </c>
      <c r="Q173" s="9">
        <f t="shared" ref="Q173:Q231" si="43">IF(MOD(P173,$Q$8)=0,P173/$Q$8-1,INT(P173/$Q$8))</f>
        <v>26</v>
      </c>
      <c r="R173" s="9">
        <f t="shared" ref="R173:R231" si="44">IF(MOD(P173,$Q$8)=0,$Q$8,MOD(P173,$Q$8))</f>
        <v>3</v>
      </c>
      <c r="S173" s="14" t="str" cm="1">
        <f t="array" ref="S173">INDEX('PS-ConceptMap-1'!$I$15:$N$274,Q173+1,R173)</f>
        <v>* group[=].element[=].target.code = #Composition.section:sectionMedications</v>
      </c>
    </row>
    <row r="174" spans="16:19" x14ac:dyDescent="0.75">
      <c r="P174" s="9">
        <v>160</v>
      </c>
      <c r="Q174" s="9">
        <f t="shared" si="43"/>
        <v>26</v>
      </c>
      <c r="R174" s="9">
        <f t="shared" si="44"/>
        <v>4</v>
      </c>
      <c r="S174" s="14" t="str" cm="1">
        <f t="array" ref="S174">INDEX('PS-ConceptMap-1'!$I$15:$N$274,Q174+1,R174)</f>
        <v>* group[=].element[=].target.display = ##34###34#</v>
      </c>
    </row>
    <row r="175" spans="16:19" x14ac:dyDescent="0.75">
      <c r="P175" s="9">
        <v>161</v>
      </c>
      <c r="Q175" s="9">
        <f t="shared" si="43"/>
        <v>26</v>
      </c>
      <c r="R175" s="9">
        <f t="shared" si="44"/>
        <v>5</v>
      </c>
      <c r="S175" s="14" t="str" cm="1">
        <f t="array" ref="S175">INDEX('PS-ConceptMap-1'!$I$15:$N$274,Q175+1,R175)</f>
        <v>* group[=].element[=].target.equivalence = #equivalent</v>
      </c>
    </row>
    <row r="176" spans="16:19" x14ac:dyDescent="0.75">
      <c r="P176" s="9">
        <v>162</v>
      </c>
      <c r="Q176" s="9">
        <f t="shared" si="43"/>
        <v>26</v>
      </c>
      <c r="R176" s="9">
        <f t="shared" si="44"/>
        <v>6</v>
      </c>
      <c r="S176" s="14" t="str" cm="1">
        <f t="array" ref="S176">INDEX('PS-ConceptMap-1'!$I$15:$N$274,Q176+1,R176)</f>
        <v/>
      </c>
    </row>
    <row r="177" spans="16:19" ht="29.5" x14ac:dyDescent="0.75">
      <c r="P177" s="9">
        <v>163</v>
      </c>
      <c r="Q177" s="9">
        <f t="shared" si="43"/>
        <v>27</v>
      </c>
      <c r="R177" s="9">
        <f t="shared" si="44"/>
        <v>1</v>
      </c>
      <c r="S177" s="14" t="str" cm="1">
        <f t="array" ref="S177">INDEX('PS-ConceptMap-1'!$I$15:$N$274,Q177+1,R177)</f>
        <v>* group[=].element[+].code = #PatientSummary.body.medicationSummary.medication</v>
      </c>
    </row>
    <row r="178" spans="16:19" ht="29.5" x14ac:dyDescent="0.75">
      <c r="P178" s="9">
        <v>164</v>
      </c>
      <c r="Q178" s="9">
        <f t="shared" si="43"/>
        <v>27</v>
      </c>
      <c r="R178" s="9">
        <f t="shared" si="44"/>
        <v>2</v>
      </c>
      <c r="S178" s="14" t="str" cm="1">
        <f t="array" ref="S178">INDEX('PS-ConceptMap-1'!$I$15:$N$274,Q178+1,R178)</f>
        <v>* group[=].element[=].display = ##34#A.2.4.1 Current and relevant past medicines##34#</v>
      </c>
    </row>
    <row r="179" spans="16:19" x14ac:dyDescent="0.75">
      <c r="P179" s="9">
        <v>165</v>
      </c>
      <c r="Q179" s="9">
        <f t="shared" si="43"/>
        <v>27</v>
      </c>
      <c r="R179" s="9">
        <f t="shared" si="44"/>
        <v>3</v>
      </c>
      <c r="S179" s="14" t="str" cm="1">
        <f t="array" ref="S179">INDEX('PS-ConceptMap-1'!$I$15:$N$274,Q179+1,R179)</f>
        <v>* group[=].element[=].target.code = #Composition.section:sectionMedications.entry</v>
      </c>
    </row>
    <row r="180" spans="16:19" x14ac:dyDescent="0.75">
      <c r="P180" s="9">
        <v>166</v>
      </c>
      <c r="Q180" s="9">
        <f t="shared" si="43"/>
        <v>27</v>
      </c>
      <c r="R180" s="9">
        <f t="shared" si="44"/>
        <v>4</v>
      </c>
      <c r="S180" s="14" t="str" cm="1">
        <f t="array" ref="S180">INDEX('PS-ConceptMap-1'!$I$15:$N$274,Q180+1,R180)</f>
        <v>* group[=].element[=].target.display = ##34###34#</v>
      </c>
    </row>
    <row r="181" spans="16:19" x14ac:dyDescent="0.75">
      <c r="P181" s="9">
        <v>167</v>
      </c>
      <c r="Q181" s="9">
        <f t="shared" si="43"/>
        <v>27</v>
      </c>
      <c r="R181" s="9">
        <f t="shared" si="44"/>
        <v>5</v>
      </c>
      <c r="S181" s="14" t="str" cm="1">
        <f t="array" ref="S181">INDEX('PS-ConceptMap-1'!$I$15:$N$274,Q181+1,R181)</f>
        <v>* group[=].element[=].target.equivalence = #equivalent</v>
      </c>
    </row>
    <row r="182" spans="16:19" x14ac:dyDescent="0.75">
      <c r="P182" s="9">
        <v>168</v>
      </c>
      <c r="Q182" s="9">
        <f t="shared" si="43"/>
        <v>27</v>
      </c>
      <c r="R182" s="9">
        <f t="shared" si="44"/>
        <v>6</v>
      </c>
      <c r="S182" s="14" t="str" cm="1">
        <f t="array" ref="S182">INDEX('PS-ConceptMap-1'!$I$15:$N$274,Q182+1,R182)</f>
        <v/>
      </c>
    </row>
    <row r="183" spans="16:19" x14ac:dyDescent="0.75">
      <c r="P183" s="9">
        <v>169</v>
      </c>
      <c r="Q183" s="9">
        <f t="shared" si="43"/>
        <v>28</v>
      </c>
      <c r="R183" s="9">
        <f t="shared" si="44"/>
        <v>1</v>
      </c>
      <c r="S183" s="14" t="str" cm="1">
        <f t="array" ref="S183">INDEX('PS-ConceptMap-1'!$I$15:$N$274,Q183+1,R183)</f>
        <v>* group[=].element[+].code = #PatientSummary.body.socialHistory</v>
      </c>
    </row>
    <row r="184" spans="16:19" x14ac:dyDescent="0.75">
      <c r="P184" s="9">
        <v>170</v>
      </c>
      <c r="Q184" s="9">
        <f t="shared" si="43"/>
        <v>28</v>
      </c>
      <c r="R184" s="9">
        <f t="shared" si="44"/>
        <v>2</v>
      </c>
      <c r="S184" s="14" t="str" cm="1">
        <f t="array" ref="S184">INDEX('PS-ConceptMap-1'!$I$15:$N$274,Q184+1,R184)</f>
        <v>* group[=].element[=].display = ##34#A.2.5 Social history##34#</v>
      </c>
    </row>
    <row r="185" spans="16:19" x14ac:dyDescent="0.75">
      <c r="P185" s="9">
        <v>171</v>
      </c>
      <c r="Q185" s="9">
        <f t="shared" si="43"/>
        <v>28</v>
      </c>
      <c r="R185" s="9">
        <f t="shared" si="44"/>
        <v>3</v>
      </c>
      <c r="S185" s="14" t="str" cm="1">
        <f t="array" ref="S185">INDEX('PS-ConceptMap-1'!$I$15:$N$274,Q185+1,R185)</f>
        <v>* group[=].element[=].target.code = #Composition.section:sectionSocialHistory</v>
      </c>
    </row>
    <row r="186" spans="16:19" x14ac:dyDescent="0.75">
      <c r="P186" s="9">
        <v>172</v>
      </c>
      <c r="Q186" s="9">
        <f t="shared" si="43"/>
        <v>28</v>
      </c>
      <c r="R186" s="9">
        <f t="shared" si="44"/>
        <v>4</v>
      </c>
      <c r="S186" s="14" t="str" cm="1">
        <f t="array" ref="S186">INDEX('PS-ConceptMap-1'!$I$15:$N$274,Q186+1,R186)</f>
        <v>* group[=].element[=].target.display = ##34###34#</v>
      </c>
    </row>
    <row r="187" spans="16:19" x14ac:dyDescent="0.75">
      <c r="P187" s="9">
        <v>173</v>
      </c>
      <c r="Q187" s="9">
        <f t="shared" si="43"/>
        <v>28</v>
      </c>
      <c r="R187" s="9">
        <f t="shared" si="44"/>
        <v>5</v>
      </c>
      <c r="S187" s="14" t="str" cm="1">
        <f t="array" ref="S187">INDEX('PS-ConceptMap-1'!$I$15:$N$274,Q187+1,R187)</f>
        <v>* group[=].element[=].target.equivalence = #equivalent</v>
      </c>
    </row>
    <row r="188" spans="16:19" x14ac:dyDescent="0.75">
      <c r="P188" s="9">
        <v>174</v>
      </c>
      <c r="Q188" s="9">
        <f t="shared" si="43"/>
        <v>28</v>
      </c>
      <c r="R188" s="9">
        <f t="shared" si="44"/>
        <v>6</v>
      </c>
      <c r="S188" s="14" t="str" cm="1">
        <f t="array" ref="S188">INDEX('PS-ConceptMap-1'!$I$15:$N$274,Q188+1,R188)</f>
        <v/>
      </c>
    </row>
    <row r="189" spans="16:19" x14ac:dyDescent="0.75">
      <c r="P189" s="9">
        <v>175</v>
      </c>
      <c r="Q189" s="9">
        <f t="shared" si="43"/>
        <v>29</v>
      </c>
      <c r="R189" s="9">
        <f t="shared" si="44"/>
        <v>1</v>
      </c>
      <c r="S189" s="14" t="str" cm="1">
        <f t="array" ref="S189">INDEX('PS-ConceptMap-1'!$I$15:$N$274,Q189+1,R189)</f>
        <v>* group[=].element[+].code = #PatientSummary.body.pregnancyHistory</v>
      </c>
    </row>
    <row r="190" spans="16:19" x14ac:dyDescent="0.75">
      <c r="P190" s="9">
        <v>176</v>
      </c>
      <c r="Q190" s="9">
        <f t="shared" si="43"/>
        <v>29</v>
      </c>
      <c r="R190" s="9">
        <f t="shared" si="44"/>
        <v>2</v>
      </c>
      <c r="S190" s="14" t="str" cm="1">
        <f t="array" ref="S190">INDEX('PS-ConceptMap-1'!$I$15:$N$274,Q190+1,R190)</f>
        <v>* group[=].element[=].display = ##34#A.2.6 Pregnancy history##34#</v>
      </c>
    </row>
    <row r="191" spans="16:19" x14ac:dyDescent="0.75">
      <c r="P191" s="9">
        <v>177</v>
      </c>
      <c r="Q191" s="9">
        <f t="shared" si="43"/>
        <v>29</v>
      </c>
      <c r="R191" s="9">
        <f t="shared" si="44"/>
        <v>3</v>
      </c>
      <c r="S191" s="14" t="str" cm="1">
        <f t="array" ref="S191">INDEX('PS-ConceptMap-1'!$I$15:$N$274,Q191+1,R191)</f>
        <v>* group[=].element[=].target.code = #Composition.section:sectionPregnancyHx</v>
      </c>
    </row>
    <row r="192" spans="16:19" x14ac:dyDescent="0.75">
      <c r="P192" s="9">
        <v>178</v>
      </c>
      <c r="Q192" s="9">
        <f t="shared" si="43"/>
        <v>29</v>
      </c>
      <c r="R192" s="9">
        <f t="shared" si="44"/>
        <v>4</v>
      </c>
      <c r="S192" s="14" t="str" cm="1">
        <f t="array" ref="S192">INDEX('PS-ConceptMap-1'!$I$15:$N$274,Q192+1,R192)</f>
        <v>* group[=].element[=].target.display = ##34###34#</v>
      </c>
    </row>
    <row r="193" spans="16:19" x14ac:dyDescent="0.75">
      <c r="P193" s="9">
        <v>179</v>
      </c>
      <c r="Q193" s="9">
        <f t="shared" si="43"/>
        <v>29</v>
      </c>
      <c r="R193" s="9">
        <f t="shared" si="44"/>
        <v>5</v>
      </c>
      <c r="S193" s="14" t="str" cm="1">
        <f t="array" ref="S193">INDEX('PS-ConceptMap-1'!$I$15:$N$274,Q193+1,R193)</f>
        <v>* group[=].element[=].target.equivalence = #equivalent</v>
      </c>
    </row>
    <row r="194" spans="16:19" x14ac:dyDescent="0.75">
      <c r="P194" s="9">
        <v>180</v>
      </c>
      <c r="Q194" s="9">
        <f t="shared" si="43"/>
        <v>29</v>
      </c>
      <c r="R194" s="9">
        <f t="shared" si="44"/>
        <v>6</v>
      </c>
      <c r="S194" s="14" t="str" cm="1">
        <f t="array" ref="S194">INDEX('PS-ConceptMap-1'!$I$15:$N$274,Q194+1,R194)</f>
        <v/>
      </c>
    </row>
    <row r="195" spans="16:19" x14ac:dyDescent="0.75">
      <c r="P195" s="9">
        <v>181</v>
      </c>
      <c r="Q195" s="9">
        <f t="shared" si="43"/>
        <v>30</v>
      </c>
      <c r="R195" s="9">
        <f t="shared" si="44"/>
        <v>1</v>
      </c>
      <c r="S195" s="14" t="str" cm="1">
        <f t="array" ref="S195">INDEX('PS-ConceptMap-1'!$I$15:$N$274,Q195+1,R195)</f>
        <v>* group[=].element[+].code = #PatientSummary.body.patientData</v>
      </c>
    </row>
    <row r="196" spans="16:19" x14ac:dyDescent="0.75">
      <c r="P196" s="9">
        <v>182</v>
      </c>
      <c r="Q196" s="9">
        <f t="shared" si="43"/>
        <v>30</v>
      </c>
      <c r="R196" s="9">
        <f t="shared" si="44"/>
        <v>2</v>
      </c>
      <c r="S196" s="14" t="str" cm="1">
        <f t="array" ref="S196">INDEX('PS-ConceptMap-1'!$I$15:$N$274,Q196+1,R196)</f>
        <v>* group[=].element[=].display = ##34#A.2.7 Patient provided data##34#</v>
      </c>
    </row>
    <row r="197" spans="16:19" x14ac:dyDescent="0.75">
      <c r="P197" s="9">
        <v>183</v>
      </c>
      <c r="Q197" s="9">
        <f t="shared" si="43"/>
        <v>30</v>
      </c>
      <c r="R197" s="9">
        <f t="shared" si="44"/>
        <v>3</v>
      </c>
      <c r="S197" s="14" t="str" cm="1">
        <f t="array" ref="S197">INDEX('PS-ConceptMap-1'!$I$15:$N$274,Q197+1,R197)</f>
        <v>* group[=].element[=].target.code = #Composition.section</v>
      </c>
    </row>
    <row r="198" spans="16:19" x14ac:dyDescent="0.75">
      <c r="P198" s="9">
        <v>184</v>
      </c>
      <c r="Q198" s="9">
        <f t="shared" si="43"/>
        <v>30</v>
      </c>
      <c r="R198" s="9">
        <f t="shared" si="44"/>
        <v>4</v>
      </c>
      <c r="S198" s="14" t="str" cm="1">
        <f t="array" ref="S198">INDEX('PS-ConceptMap-1'!$I$15:$N$274,Q198+1,R198)</f>
        <v>* group[=].element[=].target.display = ##34###34#</v>
      </c>
    </row>
    <row r="199" spans="16:19" x14ac:dyDescent="0.75">
      <c r="P199" s="9">
        <v>185</v>
      </c>
      <c r="Q199" s="9">
        <f t="shared" si="43"/>
        <v>30</v>
      </c>
      <c r="R199" s="9">
        <f t="shared" si="44"/>
        <v>5</v>
      </c>
      <c r="S199" s="14" t="str" cm="1">
        <f t="array" ref="S199">INDEX('PS-ConceptMap-1'!$I$15:$N$274,Q199+1,R199)</f>
        <v>* group[=].element[=].target.equivalence = #relatedto</v>
      </c>
    </row>
    <row r="200" spans="16:19" x14ac:dyDescent="0.75">
      <c r="P200" s="9">
        <v>186</v>
      </c>
      <c r="Q200" s="9">
        <f t="shared" si="43"/>
        <v>30</v>
      </c>
      <c r="R200" s="9">
        <f t="shared" si="44"/>
        <v>6</v>
      </c>
      <c r="S200" s="14" t="str" cm="1">
        <f t="array" ref="S200">INDEX('PS-ConceptMap-1'!$I$15:$N$274,Q200+1,R200)</f>
        <v/>
      </c>
    </row>
    <row r="201" spans="16:19" x14ac:dyDescent="0.75">
      <c r="P201" s="9">
        <v>187</v>
      </c>
      <c r="Q201" s="9">
        <f t="shared" si="43"/>
        <v>31</v>
      </c>
      <c r="R201" s="9">
        <f t="shared" si="44"/>
        <v>1</v>
      </c>
      <c r="S201" s="14" t="str" cm="1">
        <f t="array" ref="S201">INDEX('PS-ConceptMap-1'!$I$15:$N$274,Q201+1,R201)</f>
        <v>* group[=].element[+].code = #PatientSummary.body.patientData.travelHistory</v>
      </c>
    </row>
    <row r="202" spans="16:19" x14ac:dyDescent="0.75">
      <c r="P202" s="9">
        <v>188</v>
      </c>
      <c r="Q202" s="9">
        <f t="shared" si="43"/>
        <v>31</v>
      </c>
      <c r="R202" s="9">
        <f t="shared" si="44"/>
        <v>2</v>
      </c>
      <c r="S202" s="14" t="str" cm="1">
        <f t="array" ref="S202">INDEX('PS-ConceptMap-1'!$I$15:$N$274,Q202+1,R202)</f>
        <v>* group[=].element[=].display = ##34#A.2.7.1 Travel history##34#</v>
      </c>
    </row>
    <row r="203" spans="16:19" x14ac:dyDescent="0.75">
      <c r="P203" s="9">
        <v>189</v>
      </c>
      <c r="Q203" s="9">
        <f t="shared" si="43"/>
        <v>31</v>
      </c>
      <c r="R203" s="9">
        <f t="shared" si="44"/>
        <v>3</v>
      </c>
      <c r="S203" s="14" t="str" cm="1">
        <f t="array" ref="S203">INDEX('PS-ConceptMap-1'!$I$15:$N$274,Q203+1,R203)</f>
        <v>* group[=].element[=].target.code = #Composition.section:sectionTravelHx</v>
      </c>
    </row>
    <row r="204" spans="16:19" x14ac:dyDescent="0.75">
      <c r="P204" s="9">
        <v>190</v>
      </c>
      <c r="Q204" s="9">
        <f t="shared" si="43"/>
        <v>31</v>
      </c>
      <c r="R204" s="9">
        <f t="shared" si="44"/>
        <v>4</v>
      </c>
      <c r="S204" s="14" t="str" cm="1">
        <f t="array" ref="S204">INDEX('PS-ConceptMap-1'!$I$15:$N$274,Q204+1,R204)</f>
        <v>* group[=].element[=].target.display = ##34###34#</v>
      </c>
    </row>
    <row r="205" spans="16:19" x14ac:dyDescent="0.75">
      <c r="P205" s="9">
        <v>191</v>
      </c>
      <c r="Q205" s="9">
        <f t="shared" si="43"/>
        <v>31</v>
      </c>
      <c r="R205" s="9">
        <f t="shared" si="44"/>
        <v>5</v>
      </c>
      <c r="S205" s="14" t="str" cm="1">
        <f t="array" ref="S205">INDEX('PS-ConceptMap-1'!$I$15:$N$274,Q205+1,R205)</f>
        <v>* group[=].element[=].target.equivalence = #relatedto</v>
      </c>
    </row>
    <row r="206" spans="16:19" x14ac:dyDescent="0.75">
      <c r="P206" s="9">
        <v>192</v>
      </c>
      <c r="Q206" s="9">
        <f t="shared" si="43"/>
        <v>31</v>
      </c>
      <c r="R206" s="9">
        <f t="shared" si="44"/>
        <v>6</v>
      </c>
      <c r="S206" s="14" t="str" cm="1">
        <f t="array" ref="S206">INDEX('PS-ConceptMap-1'!$I$15:$N$274,Q206+1,R206)</f>
        <v/>
      </c>
    </row>
    <row r="207" spans="16:19" x14ac:dyDescent="0.75">
      <c r="P207" s="9">
        <v>193</v>
      </c>
      <c r="Q207" s="9">
        <f t="shared" si="43"/>
        <v>32</v>
      </c>
      <c r="R207" s="9">
        <f t="shared" si="44"/>
        <v>1</v>
      </c>
      <c r="S207" s="14" t="str" cm="1">
        <f t="array" ref="S207">INDEX('PS-ConceptMap-1'!$I$15:$N$274,Q207+1,R207)</f>
        <v>* group[=].element[+].code = #PatientSummary.body.patientData.advanceDirective</v>
      </c>
    </row>
    <row r="208" spans="16:19" x14ac:dyDescent="0.75">
      <c r="P208" s="9">
        <v>194</v>
      </c>
      <c r="Q208" s="9">
        <f t="shared" si="43"/>
        <v>32</v>
      </c>
      <c r="R208" s="9">
        <f t="shared" si="44"/>
        <v>2</v>
      </c>
      <c r="S208" s="14" t="str" cm="1">
        <f t="array" ref="S208">INDEX('PS-ConceptMap-1'!$I$15:$N$274,Q208+1,R208)</f>
        <v>* group[=].element[=].display = ##34#A.2.7.2 Advance Directive##34#</v>
      </c>
    </row>
    <row r="209" spans="16:19" x14ac:dyDescent="0.75">
      <c r="P209" s="9">
        <v>195</v>
      </c>
      <c r="Q209" s="9">
        <f t="shared" si="43"/>
        <v>32</v>
      </c>
      <c r="R209" s="9">
        <f t="shared" si="44"/>
        <v>3</v>
      </c>
      <c r="S209" s="14" t="str" cm="1">
        <f t="array" ref="S209">INDEX('PS-ConceptMap-1'!$I$15:$N$274,Q209+1,R209)</f>
        <v>* group[=].element[=].target.code = #Composition.section:sectionAdvanceDirectives</v>
      </c>
    </row>
    <row r="210" spans="16:19" x14ac:dyDescent="0.75">
      <c r="P210" s="9">
        <v>196</v>
      </c>
      <c r="Q210" s="9">
        <f t="shared" si="43"/>
        <v>32</v>
      </c>
      <c r="R210" s="9">
        <f t="shared" si="44"/>
        <v>4</v>
      </c>
      <c r="S210" s="14" t="str" cm="1">
        <f t="array" ref="S210">INDEX('PS-ConceptMap-1'!$I$15:$N$274,Q210+1,R210)</f>
        <v>* group[=].element[=].target.display = ##34###34#</v>
      </c>
    </row>
    <row r="211" spans="16:19" x14ac:dyDescent="0.75">
      <c r="P211" s="9">
        <v>197</v>
      </c>
      <c r="Q211" s="9">
        <f t="shared" si="43"/>
        <v>32</v>
      </c>
      <c r="R211" s="9">
        <f t="shared" si="44"/>
        <v>5</v>
      </c>
      <c r="S211" s="14" t="str" cm="1">
        <f t="array" ref="S211">INDEX('PS-ConceptMap-1'!$I$15:$N$274,Q211+1,R211)</f>
        <v>* group[=].element[=].target.equivalence = #equivalent</v>
      </c>
    </row>
    <row r="212" spans="16:19" x14ac:dyDescent="0.75">
      <c r="P212" s="9">
        <v>198</v>
      </c>
      <c r="Q212" s="9">
        <f t="shared" si="43"/>
        <v>32</v>
      </c>
      <c r="R212" s="9">
        <f t="shared" si="44"/>
        <v>6</v>
      </c>
      <c r="S212" s="14" t="str" cm="1">
        <f t="array" ref="S212">INDEX('PS-ConceptMap-1'!$I$15:$N$274,Q212+1,R212)</f>
        <v/>
      </c>
    </row>
    <row r="213" spans="16:19" x14ac:dyDescent="0.75">
      <c r="P213" s="9">
        <v>199</v>
      </c>
      <c r="Q213" s="9">
        <f t="shared" si="43"/>
        <v>33</v>
      </c>
      <c r="R213" s="9">
        <f t="shared" si="44"/>
        <v>1</v>
      </c>
      <c r="S213" s="14" t="str" cm="1">
        <f t="array" ref="S213">INDEX('PS-ConceptMap-1'!$I$15:$N$274,Q213+1,R213)</f>
        <v>* group[=].element[+].code = #PatientSummary.body.results</v>
      </c>
    </row>
    <row r="214" spans="16:19" x14ac:dyDescent="0.75">
      <c r="P214" s="9">
        <v>200</v>
      </c>
      <c r="Q214" s="9">
        <f t="shared" si="43"/>
        <v>33</v>
      </c>
      <c r="R214" s="9">
        <f t="shared" si="44"/>
        <v>2</v>
      </c>
      <c r="S214" s="14" t="str" cm="1">
        <f t="array" ref="S214">INDEX('PS-ConceptMap-1'!$I$15:$N$274,Q214+1,R214)</f>
        <v>* group[=].element[=].display = ##34#A.2.8 Results##34#</v>
      </c>
    </row>
    <row r="215" spans="16:19" x14ac:dyDescent="0.75">
      <c r="P215" s="9">
        <v>201</v>
      </c>
      <c r="Q215" s="9">
        <f t="shared" si="43"/>
        <v>33</v>
      </c>
      <c r="R215" s="9">
        <f t="shared" si="44"/>
        <v>3</v>
      </c>
      <c r="S215" s="14" t="str" cm="1">
        <f t="array" ref="S215">INDEX('PS-ConceptMap-1'!$I$15:$N$274,Q215+1,R215)</f>
        <v>* group[=].element[=].target.code = #Composition.section:sectionResults</v>
      </c>
    </row>
    <row r="216" spans="16:19" x14ac:dyDescent="0.75">
      <c r="P216" s="9">
        <v>202</v>
      </c>
      <c r="Q216" s="9">
        <f t="shared" si="43"/>
        <v>33</v>
      </c>
      <c r="R216" s="9">
        <f t="shared" si="44"/>
        <v>4</v>
      </c>
      <c r="S216" s="14" t="str" cm="1">
        <f t="array" ref="S216">INDEX('PS-ConceptMap-1'!$I$15:$N$274,Q216+1,R216)</f>
        <v>* group[=].element[=].target.display = ##34###34#</v>
      </c>
    </row>
    <row r="217" spans="16:19" x14ac:dyDescent="0.75">
      <c r="P217" s="9">
        <v>203</v>
      </c>
      <c r="Q217" s="9">
        <f t="shared" si="43"/>
        <v>33</v>
      </c>
      <c r="R217" s="9">
        <f t="shared" si="44"/>
        <v>5</v>
      </c>
      <c r="S217" s="14" t="str" cm="1">
        <f t="array" ref="S217">INDEX('PS-ConceptMap-1'!$I$15:$N$274,Q217+1,R217)</f>
        <v>* group[=].element[=].target.equivalence = #equivalent</v>
      </c>
    </row>
    <row r="218" spans="16:19" x14ac:dyDescent="0.75">
      <c r="P218" s="9">
        <v>204</v>
      </c>
      <c r="Q218" s="9">
        <f t="shared" si="43"/>
        <v>33</v>
      </c>
      <c r="R218" s="9">
        <f t="shared" si="44"/>
        <v>6</v>
      </c>
      <c r="S218" s="14" t="str" cm="1">
        <f t="array" ref="S218">INDEX('PS-ConceptMap-1'!$I$15:$N$274,Q218+1,R218)</f>
        <v/>
      </c>
    </row>
    <row r="219" spans="16:19" x14ac:dyDescent="0.75">
      <c r="P219" s="9">
        <v>205</v>
      </c>
      <c r="Q219" s="9">
        <f t="shared" si="43"/>
        <v>34</v>
      </c>
      <c r="R219" s="9">
        <f t="shared" si="44"/>
        <v>1</v>
      </c>
      <c r="S219" s="14" t="str" cm="1">
        <f t="array" ref="S219">INDEX('PS-ConceptMap-1'!$I$15:$N$274,Q219+1,R219)</f>
        <v>* group[=].element[+].code = #PatientSummary.body.planOfCare</v>
      </c>
    </row>
    <row r="220" spans="16:19" x14ac:dyDescent="0.75">
      <c r="P220" s="9">
        <v>206</v>
      </c>
      <c r="Q220" s="9">
        <f t="shared" si="43"/>
        <v>34</v>
      </c>
      <c r="R220" s="9">
        <f t="shared" si="44"/>
        <v>2</v>
      </c>
      <c r="S220" s="14" t="str" cm="1">
        <f t="array" ref="S220">INDEX('PS-ConceptMap-1'!$I$15:$N$274,Q220+1,R220)</f>
        <v>* group[=].element[=].display = ##34#A.2.9 Plan of Care##34#</v>
      </c>
    </row>
    <row r="221" spans="16:19" x14ac:dyDescent="0.75">
      <c r="P221" s="9">
        <v>207</v>
      </c>
      <c r="Q221" s="9">
        <f t="shared" si="43"/>
        <v>34</v>
      </c>
      <c r="R221" s="9">
        <f t="shared" si="44"/>
        <v>3</v>
      </c>
      <c r="S221" s="14" t="str" cm="1">
        <f t="array" ref="S221">INDEX('PS-ConceptMap-1'!$I$15:$N$274,Q221+1,R221)</f>
        <v>* group[=].element[=].target.code = #Composition.section:sectionPlanOfCare</v>
      </c>
    </row>
    <row r="222" spans="16:19" x14ac:dyDescent="0.75">
      <c r="P222" s="9">
        <v>208</v>
      </c>
      <c r="Q222" s="9">
        <f t="shared" si="43"/>
        <v>34</v>
      </c>
      <c r="R222" s="9">
        <f t="shared" si="44"/>
        <v>4</v>
      </c>
      <c r="S222" s="14" t="str" cm="1">
        <f t="array" ref="S222">INDEX('PS-ConceptMap-1'!$I$15:$N$274,Q222+1,R222)</f>
        <v>* group[=].element[=].target.display = ##34###34#</v>
      </c>
    </row>
    <row r="223" spans="16:19" x14ac:dyDescent="0.75">
      <c r="P223" s="9">
        <v>209</v>
      </c>
      <c r="Q223" s="9">
        <f t="shared" si="43"/>
        <v>34</v>
      </c>
      <c r="R223" s="9">
        <f t="shared" si="44"/>
        <v>5</v>
      </c>
      <c r="S223" s="14" t="str" cm="1">
        <f t="array" ref="S223">INDEX('PS-ConceptMap-1'!$I$15:$N$274,Q223+1,R223)</f>
        <v>* group[=].element[=].target.equivalence = #equivalent</v>
      </c>
    </row>
    <row r="224" spans="16:19" x14ac:dyDescent="0.75">
      <c r="P224" s="9">
        <v>210</v>
      </c>
      <c r="Q224" s="9">
        <f t="shared" si="43"/>
        <v>34</v>
      </c>
      <c r="R224" s="9">
        <f t="shared" si="44"/>
        <v>6</v>
      </c>
      <c r="S224" s="14" t="str" cm="1">
        <f t="array" ref="S224">INDEX('PS-ConceptMap-1'!$I$15:$N$274,Q224+1,R224)</f>
        <v/>
      </c>
    </row>
    <row r="225" spans="16:19" x14ac:dyDescent="0.75">
      <c r="P225" s="9">
        <v>211</v>
      </c>
      <c r="Q225" s="9">
        <f t="shared" si="43"/>
        <v>35</v>
      </c>
      <c r="R225" s="9">
        <f t="shared" si="44"/>
        <v>1</v>
      </c>
      <c r="S225" s="14" cm="1">
        <f t="array" ref="S225">INDEX('PS-ConceptMap-1'!$I$15:$N$274,Q225+1,R225)</f>
        <v>0</v>
      </c>
    </row>
    <row r="226" spans="16:19" x14ac:dyDescent="0.75">
      <c r="P226" s="9">
        <v>212</v>
      </c>
      <c r="Q226" s="9">
        <f t="shared" si="43"/>
        <v>35</v>
      </c>
      <c r="R226" s="9">
        <f t="shared" si="44"/>
        <v>2</v>
      </c>
      <c r="S226" s="14" cm="1">
        <f t="array" ref="S226">INDEX('PS-ConceptMap-1'!$I$15:$N$274,Q226+1,R226)</f>
        <v>0</v>
      </c>
    </row>
    <row r="227" spans="16:19" x14ac:dyDescent="0.75">
      <c r="P227" s="9">
        <v>213</v>
      </c>
      <c r="Q227" s="9">
        <f t="shared" si="43"/>
        <v>35</v>
      </c>
      <c r="R227" s="9">
        <f t="shared" si="44"/>
        <v>3</v>
      </c>
      <c r="S227" s="14" cm="1">
        <f t="array" ref="S227">INDEX('PS-ConceptMap-1'!$I$15:$N$274,Q227+1,R227)</f>
        <v>0</v>
      </c>
    </row>
    <row r="228" spans="16:19" x14ac:dyDescent="0.75">
      <c r="P228" s="9">
        <v>214</v>
      </c>
      <c r="Q228" s="9">
        <f t="shared" si="43"/>
        <v>35</v>
      </c>
      <c r="R228" s="9">
        <f t="shared" si="44"/>
        <v>4</v>
      </c>
      <c r="S228" s="14" cm="1">
        <f t="array" ref="S228">INDEX('PS-ConceptMap-1'!$I$15:$N$274,Q228+1,R228)</f>
        <v>0</v>
      </c>
    </row>
    <row r="229" spans="16:19" x14ac:dyDescent="0.75">
      <c r="P229" s="9">
        <v>215</v>
      </c>
      <c r="Q229" s="9">
        <f t="shared" si="43"/>
        <v>35</v>
      </c>
      <c r="R229" s="9">
        <f t="shared" si="44"/>
        <v>5</v>
      </c>
      <c r="S229" s="14" cm="1">
        <f t="array" ref="S229">INDEX('PS-ConceptMap-1'!$I$15:$N$274,Q229+1,R229)</f>
        <v>0</v>
      </c>
    </row>
    <row r="230" spans="16:19" x14ac:dyDescent="0.75">
      <c r="P230" s="9">
        <v>216</v>
      </c>
      <c r="Q230" s="9">
        <f t="shared" si="43"/>
        <v>35</v>
      </c>
      <c r="R230" s="9">
        <f t="shared" si="44"/>
        <v>6</v>
      </c>
      <c r="S230" s="14" cm="1">
        <f t="array" ref="S230">INDEX('PS-ConceptMap-1'!$I$15:$N$274,Q230+1,R230)</f>
        <v>0</v>
      </c>
    </row>
    <row r="231" spans="16:19" x14ac:dyDescent="0.75">
      <c r="P231" s="9">
        <v>217</v>
      </c>
      <c r="Q231" s="9">
        <f t="shared" si="43"/>
        <v>36</v>
      </c>
      <c r="R231" s="9">
        <f t="shared" si="44"/>
        <v>1</v>
      </c>
      <c r="S231" s="14" cm="1">
        <f t="array" ref="S231">INDEX('PS-ConceptMap-1'!$I$15:$N$274,Q231+1,R231)</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'PS-ConceptMap-1'!C3</f>
        <v>PatientSummary2FHIR</v>
      </c>
      <c r="D3" s="66" t="s">
        <v>391</v>
      </c>
      <c r="E3" t="str">
        <f>'PS-ConceptMap-1'!E3</f>
        <v>http://hl7.eu/fhir/ig/xpandh/ps/StructureDefinition/PatientSummary</v>
      </c>
    </row>
    <row r="4" spans="1:19" x14ac:dyDescent="0.75">
      <c r="B4" s="66" t="s">
        <v>19</v>
      </c>
      <c r="C4" s="49" t="s">
        <v>784</v>
      </c>
      <c r="D4" s="66" t="s">
        <v>392</v>
      </c>
      <c r="E4" s="77" t="s">
        <v>1179</v>
      </c>
    </row>
    <row r="5" spans="1:19" x14ac:dyDescent="0.75">
      <c r="B5" s="66" t="s">
        <v>13</v>
      </c>
      <c r="C5" s="10" t="s">
        <v>1123</v>
      </c>
      <c r="D5" s="66"/>
      <c r="E5" s="10"/>
    </row>
    <row r="6" spans="1:19" x14ac:dyDescent="0.75">
      <c r="B6" s="66" t="s">
        <v>35</v>
      </c>
      <c r="C6" s="65" t="s">
        <v>1178</v>
      </c>
      <c r="D6" s="66" t="s">
        <v>389</v>
      </c>
      <c r="E6" t="s">
        <v>1178</v>
      </c>
    </row>
    <row r="7" spans="1:19" x14ac:dyDescent="0.75">
      <c r="B7" s="66" t="s">
        <v>18</v>
      </c>
      <c r="C7" s="73" t="s">
        <v>810</v>
      </c>
      <c r="D7" s="66" t="s">
        <v>390</v>
      </c>
      <c r="E7" t="s">
        <v>1180</v>
      </c>
    </row>
    <row r="8" spans="1:19" ht="44.25" x14ac:dyDescent="0.75">
      <c r="B8" s="66" t="s">
        <v>387</v>
      </c>
      <c r="C8" s="10" t="s">
        <v>1123</v>
      </c>
      <c r="D8" s="66"/>
      <c r="E8" s="10"/>
      <c r="I8" s="14" t="s">
        <v>364</v>
      </c>
      <c r="J8" s="14" t="s">
        <v>365</v>
      </c>
      <c r="K8" s="14" t="s">
        <v>366</v>
      </c>
      <c r="L8" s="14" t="s">
        <v>367</v>
      </c>
      <c r="M8" s="9" t="s">
        <v>368</v>
      </c>
      <c r="P8" s="62" t="s">
        <v>369</v>
      </c>
      <c r="Q8" s="62">
        <v>6</v>
      </c>
    </row>
    <row r="9" spans="1:19" ht="29.5" x14ac:dyDescent="0.75">
      <c r="B9" s="66" t="s">
        <v>388</v>
      </c>
      <c r="C9" s="1" t="s">
        <v>725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830</v>
      </c>
      <c r="C14" s="9"/>
      <c r="D14" s="4" t="s">
        <v>180</v>
      </c>
      <c r="E14" s="8"/>
      <c r="F14" s="9"/>
      <c r="G14" s="9"/>
      <c r="I14" s="14"/>
      <c r="J14" s="9"/>
      <c r="K14" s="9"/>
      <c r="L14" s="9"/>
      <c r="M14" s="64"/>
      <c r="N14" s="67"/>
    </row>
    <row r="15" spans="1:19" ht="44.25" x14ac:dyDescent="0.75">
      <c r="A15" s="22"/>
      <c r="B15" s="8" t="str">
        <f>PS!B8</f>
        <v>header</v>
      </c>
      <c r="C15" s="8" t="str">
        <f>PS!C8</f>
        <v>A.1 Report header data elements</v>
      </c>
      <c r="D15" s="14"/>
      <c r="E15" s="56"/>
      <c r="F15" s="68" t="s">
        <v>376</v>
      </c>
      <c r="G15" s="68"/>
      <c r="H15" s="69"/>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 si="4">"* group[=].element[+].code = #"&amp;$B$14&amp;"."&amp;B16</f>
        <v>* group[=].element[+].code = #PatientSummary.header.subject</v>
      </c>
      <c r="J16" s="14" t="str">
        <f t="shared" si="0"/>
        <v>* group[=].element[=].display = ##34#A.1.1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47.5" x14ac:dyDescent="0.75">
      <c r="A17" s="22"/>
      <c r="B17" s="9" t="str">
        <f>PS!B10</f>
        <v>header.insuranceInfo</v>
      </c>
      <c r="C17" s="9" t="str">
        <f>PS!C10</f>
        <v>A.1.3 Insurance information</v>
      </c>
      <c r="D17" s="14" t="s">
        <v>1289</v>
      </c>
      <c r="E17" s="9"/>
      <c r="F17" s="68" t="s">
        <v>376</v>
      </c>
      <c r="G17" s="14" t="s">
        <v>1290</v>
      </c>
      <c r="H17" s="69"/>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#Composition.extension:basedOn-vaccination-or-requisition.insurance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##34#extension(http://hl7.eu/fhir/ig/xpandh/ps/StructureDefinition/composition-basedOn-vaccination-or-requisition).resolve().ofType(ServiceRequest).insurance.resolve().ofType(Coverage)##34#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73.75" x14ac:dyDescent="0.75">
      <c r="A18" s="22"/>
      <c r="B18" s="9" t="str">
        <f>PS!B11</f>
        <v>header.documentData</v>
      </c>
      <c r="C18" s="9" t="str">
        <f>PS!C11</f>
        <v>A.1.4 Document data</v>
      </c>
      <c r="D18" s="14" t="s">
        <v>465</v>
      </c>
      <c r="E18" s="9"/>
      <c r="F18" s="68" t="s">
        <v>375</v>
      </c>
      <c r="G18" s="68"/>
      <c r="H18" s="69"/>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466</v>
      </c>
      <c r="E19" s="9"/>
      <c r="F19" s="68" t="s">
        <v>376</v>
      </c>
      <c r="G19" s="68"/>
      <c r="H19" s="69"/>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467</v>
      </c>
      <c r="E20" s="9"/>
      <c r="F20" s="68" t="s">
        <v>375</v>
      </c>
      <c r="G20" s="75" t="s">
        <v>573</v>
      </c>
      <c r="H20" s="69"/>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467</v>
      </c>
      <c r="E21" s="9"/>
      <c r="F21" s="68" t="s">
        <v>375</v>
      </c>
      <c r="G21" s="75" t="s">
        <v>574</v>
      </c>
      <c r="H21" s="69"/>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8" t="s">
        <v>376</v>
      </c>
      <c r="G22" s="76"/>
      <c r="H22" s="69"/>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A1.2 Patient/subject##34#</v>
      </c>
    </row>
    <row r="23" spans="1:19" ht="103.25" x14ac:dyDescent="0.75">
      <c r="A23" s="22"/>
      <c r="B23" s="9" t="str">
        <f>PS!B16</f>
        <v>header.participant.author</v>
      </c>
      <c r="C23" s="9" t="str">
        <f>PS!C16</f>
        <v>A.1.5.1 Author organization</v>
      </c>
      <c r="D23" s="14" t="s">
        <v>212</v>
      </c>
      <c r="E23" s="14"/>
      <c r="F23" s="68" t="s">
        <v>375</v>
      </c>
      <c r="G23" s="75" t="s">
        <v>501</v>
      </c>
      <c r="H23" s="69"/>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432</v>
      </c>
      <c r="E24" s="14"/>
      <c r="F24" s="68" t="s">
        <v>375</v>
      </c>
      <c r="G24" s="68"/>
      <c r="H24" s="69"/>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385</v>
      </c>
      <c r="E25" s="14"/>
      <c r="F25" s="68" t="s">
        <v>376</v>
      </c>
      <c r="G25" s="75" t="s">
        <v>1181</v>
      </c>
      <c r="H25" s="69"/>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394</v>
      </c>
      <c r="E26" s="14"/>
      <c r="F26" s="68" t="s">
        <v>375</v>
      </c>
      <c r="G26" s="68"/>
      <c r="H26" s="69"/>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395</v>
      </c>
      <c r="E27" s="14"/>
      <c r="F27" s="68" t="s">
        <v>375</v>
      </c>
      <c r="G27" s="68"/>
      <c r="H27" s="69"/>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526</v>
      </c>
      <c r="E28" s="14"/>
      <c r="F28" s="68" t="s">
        <v>376</v>
      </c>
      <c r="G28" s="68"/>
      <c r="H28" s="69"/>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396</v>
      </c>
      <c r="E29" s="14"/>
      <c r="F29" s="68" t="s">
        <v>375</v>
      </c>
      <c r="G29" s="68"/>
      <c r="H29" s="69"/>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#Composition.extension:basedOn-vaccination-or-requisition.insurance</v>
      </c>
    </row>
    <row r="30" spans="1:19" ht="44.25" x14ac:dyDescent="0.75">
      <c r="B30" s="9" t="e">
        <f>PS!#REF!</f>
        <v>#REF!</v>
      </c>
      <c r="C30" s="9" t="e">
        <f>PS!#REF!</f>
        <v>#REF!</v>
      </c>
      <c r="D30" s="1" t="s">
        <v>503</v>
      </c>
      <c r="E30" s="14"/>
      <c r="F30" s="68" t="s">
        <v>375</v>
      </c>
      <c r="G30" s="14"/>
      <c r="H30" s="69"/>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502</v>
      </c>
      <c r="E31" s="14"/>
      <c r="F31" s="68" t="s">
        <v>375</v>
      </c>
      <c r="G31" s="68"/>
      <c r="H31" s="69"/>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504</v>
      </c>
      <c r="E32" s="14"/>
      <c r="F32" s="68" t="s">
        <v>375</v>
      </c>
      <c r="G32" s="68" t="s">
        <v>505</v>
      </c>
      <c r="H32" s="69"/>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##34#extension(http://hl7.eu/fhir/ig/xpandh/ps/StructureDefinition/composition-basedOn-vaccination-or-requisition).resolve().ofType(ServiceRequest).insurance.resolve().ofType(Coverage)##34#</v>
      </c>
    </row>
    <row r="33" spans="1:19" ht="132.75" x14ac:dyDescent="0.75">
      <c r="B33" s="9" t="e">
        <f>PS!#REF!</f>
        <v>#REF!</v>
      </c>
      <c r="C33" s="9" t="e">
        <f>PS!#REF!</f>
        <v>#REF!</v>
      </c>
      <c r="D33" s="14" t="s">
        <v>1289</v>
      </c>
      <c r="E33" s="14"/>
      <c r="F33" s="68" t="s">
        <v>376</v>
      </c>
      <c r="G33" s="14" t="s">
        <v>1291</v>
      </c>
      <c r="H33" s="69"/>
      <c r="I33" s="14" t="e">
        <f t="shared" si="8"/>
        <v>#REF!</v>
      </c>
      <c r="J33" s="14" t="e">
        <f t="shared" si="9"/>
        <v>#REF!</v>
      </c>
      <c r="K33" s="14" t="str">
        <f t="shared" si="10"/>
        <v>* group[=].element[=].target.code = #Composition.extension:basedOn-vaccination-or-requisition.insurance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##34#extension(http://hl7.eu/fhir/ig/xpandh/ps/StructureDefinition/composition-basedOn-vaccination-or-requisition).resolve().ofType(ServiceRequest)##34#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689</v>
      </c>
      <c r="E34" s="14"/>
      <c r="F34" s="68" t="s">
        <v>376</v>
      </c>
      <c r="G34" s="68" t="s">
        <v>397</v>
      </c>
      <c r="H34" s="69"/>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690</v>
      </c>
      <c r="E35" s="14"/>
      <c r="F35" s="68" t="s">
        <v>376</v>
      </c>
      <c r="G35" s="68" t="s">
        <v>397</v>
      </c>
      <c r="H35" s="69"/>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194</v>
      </c>
      <c r="C36" s="9" t="s">
        <v>102</v>
      </c>
      <c r="D36" s="14" t="s">
        <v>691</v>
      </c>
      <c r="E36" s="14"/>
      <c r="F36" s="68" t="s">
        <v>376</v>
      </c>
      <c r="G36" s="68" t="s">
        <v>398</v>
      </c>
      <c r="H36" s="69"/>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195</v>
      </c>
      <c r="C37" s="9" t="s">
        <v>130</v>
      </c>
      <c r="D37" s="14" t="s">
        <v>692</v>
      </c>
      <c r="E37" s="14"/>
      <c r="F37" s="68" t="s">
        <v>376</v>
      </c>
      <c r="G37" s="68" t="s">
        <v>398</v>
      </c>
      <c r="H37" s="69"/>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8"/>
      <c r="G38" s="68"/>
      <c r="H38" s="69"/>
      <c r="K38" s="69"/>
      <c r="L38" s="69"/>
      <c r="M38" s="67"/>
      <c r="N38" s="67"/>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69"/>
      <c r="L39" s="69"/>
      <c r="M39" s="67"/>
      <c r="N39" s="67"/>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69"/>
      <c r="L40" s="69"/>
      <c r="M40" s="67"/>
      <c r="N40" s="67"/>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69"/>
      <c r="L41" s="69"/>
      <c r="M41" s="67"/>
      <c r="N41" s="67"/>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69"/>
      <c r="K42" s="69"/>
      <c r="L42" s="69"/>
      <c r="M42" s="67"/>
      <c r="N42" s="67"/>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69"/>
      <c r="K43" s="69"/>
      <c r="L43" s="69"/>
      <c r="M43" s="67"/>
      <c r="N43" s="67"/>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69"/>
      <c r="K44" s="69"/>
      <c r="L44" s="69"/>
      <c r="M44" s="67"/>
      <c r="N44" s="67"/>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69"/>
      <c r="K45" s="69"/>
      <c r="L45" s="69"/>
      <c r="M45" s="69"/>
      <c r="N45" s="69"/>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69"/>
      <c r="K46" s="69"/>
      <c r="L46" s="69"/>
      <c r="M46" s="69"/>
      <c r="N46" s="69"/>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69"/>
      <c r="K47" s="69"/>
      <c r="L47" s="69"/>
      <c r="M47" s="69"/>
      <c r="N47" s="69"/>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69"/>
      <c r="K48" s="69"/>
      <c r="L48" s="69"/>
      <c r="M48" s="69"/>
      <c r="N48" s="69"/>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69"/>
      <c r="K49" s="69"/>
      <c r="L49" s="69"/>
      <c r="M49" s="69"/>
      <c r="N49" s="69"/>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69"/>
      <c r="K50" s="69"/>
      <c r="L50" s="69"/>
      <c r="M50" s="69"/>
      <c r="N50" s="69"/>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69"/>
      <c r="K51" s="69"/>
      <c r="L51" s="69"/>
      <c r="M51" s="69"/>
      <c r="N51" s="69"/>
      <c r="P51" s="9">
        <v>37</v>
      </c>
      <c r="Q51" s="9">
        <f t="shared" si="6"/>
        <v>6</v>
      </c>
      <c r="R51" s="9">
        <f t="shared" si="7"/>
        <v>1</v>
      </c>
      <c r="S51" s="14" t="str" cm="1">
        <f t="array" ref="S51">INDEX('PS-ConceptMap-2'!$I$15:$N$272,Q51+1,R51)</f>
        <v>* group[=].element[+].code = #PatientSummary.header.documentData.natureOfIPS</v>
      </c>
    </row>
    <row r="52" spans="1:19" x14ac:dyDescent="0.75">
      <c r="D52"/>
      <c r="E52"/>
      <c r="J52" s="69"/>
      <c r="K52" s="69"/>
      <c r="L52" s="69"/>
      <c r="M52" s="69"/>
      <c r="N52" s="69"/>
      <c r="P52" s="9">
        <v>38</v>
      </c>
      <c r="Q52" s="9">
        <f t="shared" si="6"/>
        <v>6</v>
      </c>
      <c r="R52" s="9">
        <f t="shared" si="7"/>
        <v>2</v>
      </c>
      <c r="S52" s="14" t="str" cm="1">
        <f t="array" ref="S52">INDEX('PS-ConceptMap-2'!$I$15:$N$272,Q52+1,R52)</f>
        <v>* group[=].element[=].display = ##34#A.1.4.3 Nature of the PS##34#</v>
      </c>
    </row>
    <row r="53" spans="1:19" x14ac:dyDescent="0.75">
      <c r="D53"/>
      <c r="E53"/>
      <c r="J53" s="69"/>
      <c r="K53" s="69"/>
      <c r="L53" s="69"/>
      <c r="M53" s="69"/>
      <c r="N53" s="69"/>
      <c r="P53" s="9">
        <v>39</v>
      </c>
      <c r="Q53" s="9">
        <f t="shared" si="6"/>
        <v>6</v>
      </c>
      <c r="R53" s="9">
        <f t="shared" si="7"/>
        <v>3</v>
      </c>
      <c r="S53" s="14" t="str" cm="1">
        <f t="array" ref="S53">INDEX('PS-ConceptMap-2'!$I$15:$N$272,Q53+1,R53)</f>
        <v>* group[=].element[=].target.code = #Composition.attester.party</v>
      </c>
    </row>
    <row r="54" spans="1:19" x14ac:dyDescent="0.75">
      <c r="D54"/>
      <c r="E54"/>
      <c r="J54" s="69"/>
      <c r="K54" s="69"/>
      <c r="L54" s="69"/>
      <c r="M54" s="69"/>
      <c r="N54" s="69"/>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#Composition.extension:basedOn-vaccination-or-requisition.insurance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##34#extension(http://hl7.eu/fhir/ig/xpandh/ps/StructureDefinition/composition-basedOn-vaccination-or-requisition).resolve().ofType(ServiceRequest)##34#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3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1122</v>
      </c>
    </row>
    <row r="3" spans="2:7" x14ac:dyDescent="0.75">
      <c r="B3" s="32" t="s">
        <v>37</v>
      </c>
    </row>
    <row r="4" spans="2:7" x14ac:dyDescent="0.75">
      <c r="B4" s="70" t="str">
        <f>"Instance: "&amp;'PS-ConceptMap-1'!C4</f>
        <v>Instance: patientSummary2FHIR-eu-ps</v>
      </c>
    </row>
    <row r="5" spans="2:7" x14ac:dyDescent="0.75">
      <c r="B5" s="70" t="s">
        <v>379</v>
      </c>
    </row>
    <row r="6" spans="2:7" x14ac:dyDescent="0.75">
      <c r="B6" s="70" t="s">
        <v>380</v>
      </c>
    </row>
    <row r="7" spans="2:7" x14ac:dyDescent="0.75">
      <c r="B7" s="70" t="s">
        <v>386</v>
      </c>
    </row>
    <row r="8" spans="2:7" x14ac:dyDescent="0.75">
      <c r="B8" s="70" t="str">
        <f>"* name = ##34#"&amp;'PS-ConceptMap-1'!C3&amp;"##34#"</f>
        <v>* name = ##34#PatientSummary2FHIR##34#</v>
      </c>
    </row>
    <row r="9" spans="2:7" x14ac:dyDescent="0.75">
      <c r="B9" s="70" t="str">
        <f>"* title = ##34#"&amp;'PS-ConceptMap-1'!C5&amp;"##34#"</f>
        <v>* title = ##34#eHN Patient Summary to this guide Map##34#</v>
      </c>
    </row>
    <row r="10" spans="2:7" x14ac:dyDescent="0.75">
      <c r="B10" s="70" t="s">
        <v>381</v>
      </c>
    </row>
    <row r="11" spans="2:7" x14ac:dyDescent="0.75">
      <c r="B11" s="70" t="s">
        <v>382</v>
      </c>
    </row>
    <row r="12" spans="2:7" x14ac:dyDescent="0.75">
      <c r="B12" s="70" t="str">
        <f>"* description = ##34#"&amp;'PS-ConceptMap-1'!C8&amp;"##34#"</f>
        <v>* description = ##34#eHN Patient Summary to this guide Map##34#</v>
      </c>
    </row>
    <row r="13" spans="2:7" x14ac:dyDescent="0.75">
      <c r="B13" s="70" t="str">
        <f>"* purpose = ##34#"&amp;'PS-ConceptMap-1'!C9&amp;"##34#"</f>
        <v>* purpose = ##34#It shows how the Patient Summary data set defined by the EU eHN guidelines is mapped into this guide##34#</v>
      </c>
    </row>
    <row r="14" spans="2:7" x14ac:dyDescent="0.75">
      <c r="B14" s="71" t="str">
        <f>"* sourceUri = ##34#"&amp;'PS-ConceptMap-1'!E3&amp;"##34#"</f>
        <v>* sourceUri = ##34#http://hl7.eu/fhir/ig/xpandh/ps/StructureDefinition/PatientSummary##34#</v>
      </c>
    </row>
    <row r="15" spans="2:7" x14ac:dyDescent="0.75">
      <c r="B15" s="71" t="str">
        <f>"* targetUri = ##34#"&amp;'PS-ConceptMap-1'!E4&amp;"##34#"</f>
        <v>* targetUri = ##34#http://hl7.eu/fhir/ig/xpandh/ps/StructureDefinition/Bundle-eu-ps##34#</v>
      </c>
    </row>
    <row r="16" spans="2:7" x14ac:dyDescent="0.75">
      <c r="B16" s="70"/>
    </row>
    <row r="17" spans="2:7" x14ac:dyDescent="0.75">
      <c r="B17" s="72" t="str">
        <f>"* group[+].source = ##34#"&amp;'PS-ConceptMap-1'!E6&amp;"##34#"</f>
        <v>* group[+].source = ##34#http://hl7.eu/fhir/ig/xpandh/ps/StructureDefinition/PatientSummary##34#</v>
      </c>
    </row>
    <row r="18" spans="2:7" x14ac:dyDescent="0.75">
      <c r="B18" s="72" t="str">
        <f>"* group[=].target = ##34#"&amp;'PS-ConceptMap-1'!E7&amp;"##34#"</f>
        <v>* group[=].target = ##34#http://hl7.eu/fhir/ig/xpandh/ps/StructureDefinition/Composition-eu-ps##34#</v>
      </c>
    </row>
    <row r="19" spans="2:7" x14ac:dyDescent="0.75">
      <c r="B19" s="74"/>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9"/>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#PatientSummary.body.medicalHistory.medicalDevices</v>
      </c>
    </row>
    <row r="159" spans="2:2" x14ac:dyDescent="0.75">
      <c r="B159" s="14" t="str">
        <f>IF('PS-ConceptMap-1'!S154=0,"//---END",'PS-ConceptMap-1'!S154)</f>
        <v>* group[=].element[=].display = ##34#A.2.3.2 Medical devices and implants##34#</v>
      </c>
    </row>
    <row r="160" spans="2:2" x14ac:dyDescent="0.75">
      <c r="B160" s="14" t="str">
        <f>IF('PS-ConceptMap-1'!S155=0,"//---END",'PS-ConceptMap-1'!S155)</f>
        <v>* group[=].element[=].target.code = #Composition. section:sectionMedicalDevices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#PatientSummary.body.medicalHistory.procedures</v>
      </c>
    </row>
    <row r="165" spans="2:2" x14ac:dyDescent="0.75">
      <c r="B165" s="14" t="str">
        <f>IF('PS-ConceptMap-1'!S160=0,"//---END",'PS-ConceptMap-1'!S160)</f>
        <v>* group[=].element[=].display = ##34#A.2.3.3 Procedures##34#</v>
      </c>
    </row>
    <row r="166" spans="2:2" x14ac:dyDescent="0.75">
      <c r="B166" s="14" t="str">
        <f>IF('PS-ConceptMap-1'!S161=0,"//---END",'PS-ConceptMap-1'!S161)</f>
        <v>* group[=].element[=].target.code = #Composition.section:sectionProceduresHx</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#PatientSummary.body.medicalHistory.functionalStatus</v>
      </c>
    </row>
    <row r="171" spans="2:2" x14ac:dyDescent="0.75">
      <c r="B171" s="14" t="str">
        <f>IF('PS-ConceptMap-1'!S166=0,"//---END",'PS-ConceptMap-1'!S166)</f>
        <v>* group[=].element[=].display = ##34#A.2.3.4 Functional status##34#</v>
      </c>
    </row>
    <row r="172" spans="2:2" x14ac:dyDescent="0.75">
      <c r="B172" s="14" t="str">
        <f>IF('PS-ConceptMap-1'!S167=0,"//---END",'PS-ConceptMap-1'!S167)</f>
        <v>* group[=].element[=].target.code = #Composition.section:sectionFunctionalStatus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#PatientSummary.body.medicationSummary</v>
      </c>
    </row>
    <row r="177" spans="2:2" x14ac:dyDescent="0.75">
      <c r="B177" s="14" t="str">
        <f>IF('PS-ConceptMap-1'!S172=0,"//---END",'PS-ConceptMap-1'!S172)</f>
        <v>* group[=].element[=].display = ##34#A.2.4 Medication summary##34#</v>
      </c>
    </row>
    <row r="178" spans="2:2" x14ac:dyDescent="0.75">
      <c r="B178" s="14" t="str">
        <f>IF('PS-ConceptMap-1'!S173=0,"//---END",'PS-ConceptMap-1'!S173)</f>
        <v>* group[=].element[=].target.code = #Composition.section:sectionMedications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#PatientSummary.body.medicationSummary.medication</v>
      </c>
    </row>
    <row r="183" spans="2:2" x14ac:dyDescent="0.75">
      <c r="B183" s="14" t="str">
        <f>IF('PS-ConceptMap-1'!S178=0,"//---END",'PS-ConceptMap-1'!S178)</f>
        <v>* group[=].element[=].display = ##34#A.2.4.1 Current and relevant past medicines##34#</v>
      </c>
    </row>
    <row r="184" spans="2:2" x14ac:dyDescent="0.75">
      <c r="B184" s="14" t="str">
        <f>IF('PS-ConceptMap-1'!S179=0,"//---END",'PS-ConceptMap-1'!S179)</f>
        <v>* group[=].element[=].target.code = #Composition.section:sectionMedications.entry</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#PatientSummary.body.socialHistory</v>
      </c>
    </row>
    <row r="189" spans="2:2" x14ac:dyDescent="0.75">
      <c r="B189" s="14" t="str">
        <f>IF('PS-ConceptMap-1'!S184=0,"//---END",'PS-ConceptMap-1'!S184)</f>
        <v>* group[=].element[=].display = ##34#A.2.5 Social history##34#</v>
      </c>
    </row>
    <row r="190" spans="2:2" x14ac:dyDescent="0.75">
      <c r="B190" s="14" t="str">
        <f>IF('PS-ConceptMap-1'!S185=0,"//---END",'PS-ConceptMap-1'!S185)</f>
        <v>* group[=].element[=].target.code = #Composition.section:sectionSocialHistory</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#PatientSummary.body.pregnancyHistory</v>
      </c>
    </row>
    <row r="195" spans="2:2" x14ac:dyDescent="0.75">
      <c r="B195" s="14" t="str">
        <f>IF('PS-ConceptMap-1'!S190=0,"//---END",'PS-ConceptMap-1'!S190)</f>
        <v>* group[=].element[=].display = ##34#A.2.6 Pregnancy history##34#</v>
      </c>
    </row>
    <row r="196" spans="2:2" x14ac:dyDescent="0.75">
      <c r="B196" s="14" t="str">
        <f>IF('PS-ConceptMap-1'!S191=0,"//---END",'PS-ConceptMap-1'!S191)</f>
        <v>* group[=].element[=].target.code = #Composition.section:sectionPregnancyHx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#PatientSummary.body.patientData</v>
      </c>
    </row>
    <row r="201" spans="2:2" x14ac:dyDescent="0.75">
      <c r="B201" s="14" t="str">
        <f>IF('PS-ConceptMap-1'!S196=0,"//---END",'PS-ConceptMap-1'!S196)</f>
        <v>* group[=].element[=].display = ##34#A.2.7 Patient provided data##34#</v>
      </c>
    </row>
    <row r="202" spans="2:2" x14ac:dyDescent="0.75">
      <c r="B202" s="14" t="str">
        <f>IF('PS-ConceptMap-1'!S197=0,"//---END",'PS-ConceptMap-1'!S197)</f>
        <v>* group[=].element[=].target.code = #Composition.section</v>
      </c>
    </row>
    <row r="203" spans="2:2" x14ac:dyDescent="0.75">
      <c r="B203" s="14" t="str">
        <f>IF('PS-ConceptMap-1'!S198=0,"//---END",'PS-ConceptMap-1'!S198)</f>
        <v>* group[=].element[=].target.display = ##34###34#</v>
      </c>
    </row>
    <row r="204" spans="2:2" x14ac:dyDescent="0.75">
      <c r="B204" s="14" t="str">
        <f>IF('PS-ConceptMap-1'!S199=0,"//---END",'PS-ConceptMap-1'!S199)</f>
        <v>* group[=].element[=].target.equivalence = #relatedto</v>
      </c>
    </row>
    <row r="205" spans="2:2" x14ac:dyDescent="0.75">
      <c r="B205" s="14" t="str">
        <f>IF('PS-ConceptMap-1'!S200=0,"//---END",'PS-ConceptMap-1'!S200)</f>
        <v/>
      </c>
    </row>
    <row r="206" spans="2:2" x14ac:dyDescent="0.75">
      <c r="B206" s="14" t="str">
        <f>IF('PS-ConceptMap-1'!S201=0,"//---END",'PS-ConceptMap-1'!S201)</f>
        <v>* group[=].element[+].code = #PatientSummary.body.patientData.travelHistory</v>
      </c>
    </row>
    <row r="207" spans="2:2" x14ac:dyDescent="0.75">
      <c r="B207" s="14" t="str">
        <f>IF('PS-ConceptMap-1'!S202=0,"//---END",'PS-ConceptMap-1'!S202)</f>
        <v>* group[=].element[=].display = ##34#A.2.7.1 Travel history##34#</v>
      </c>
    </row>
    <row r="208" spans="2:2" x14ac:dyDescent="0.75">
      <c r="B208" s="14" t="str">
        <f>IF('PS-ConceptMap-1'!S203=0,"//---END",'PS-ConceptMap-1'!S203)</f>
        <v>* group[=].element[=].target.code = #Composition.section:sectionTravelHx</v>
      </c>
    </row>
    <row r="209" spans="2:2" x14ac:dyDescent="0.75">
      <c r="B209" s="14" t="str">
        <f>IF('PS-ConceptMap-1'!S204=0,"//---END",'PS-ConceptMap-1'!S204)</f>
        <v>* group[=].element[=].target.display = ##34###34#</v>
      </c>
    </row>
    <row r="210" spans="2:2" x14ac:dyDescent="0.75">
      <c r="B210" s="14" t="str">
        <f>IF('PS-ConceptMap-1'!S205=0,"//---END",'PS-ConceptMap-1'!S205)</f>
        <v>* group[=].element[=].target.equivalence = #relatedto</v>
      </c>
    </row>
    <row r="211" spans="2:2" x14ac:dyDescent="0.75">
      <c r="B211" s="14" t="str">
        <f>IF('PS-ConceptMap-1'!S206=0,"//---END",'PS-ConceptMap-1'!S206)</f>
        <v/>
      </c>
    </row>
    <row r="212" spans="2:2" x14ac:dyDescent="0.75">
      <c r="B212" s="14" t="str">
        <f>IF('PS-ConceptMap-1'!S207=0,"//---END",'PS-ConceptMap-1'!S207)</f>
        <v>* group[=].element[+].code = #PatientSummary.body.patientData.advanceDirective</v>
      </c>
    </row>
    <row r="213" spans="2:2" x14ac:dyDescent="0.75">
      <c r="B213" s="14" t="str">
        <f>IF('PS-ConceptMap-1'!S208=0,"//---END",'PS-ConceptMap-1'!S208)</f>
        <v>* group[=].element[=].display = ##34#A.2.7.2 Advance Directive##34#</v>
      </c>
    </row>
    <row r="214" spans="2:2" x14ac:dyDescent="0.75">
      <c r="B214" s="14" t="str">
        <f>IF('PS-ConceptMap-1'!S209=0,"//---END",'PS-ConceptMap-1'!S209)</f>
        <v>* group[=].element[=].target.code = #Composition.section:sectionAdvanceDirectives</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#PatientSummary.body.results</v>
      </c>
    </row>
    <row r="219" spans="2:2" x14ac:dyDescent="0.75">
      <c r="B219" s="14" t="str">
        <f>IF('PS-ConceptMap-1'!S214=0,"//---END",'PS-ConceptMap-1'!S214)</f>
        <v>* group[=].element[=].display = ##34#A.2.8 Results##34#</v>
      </c>
    </row>
    <row r="220" spans="2:2" x14ac:dyDescent="0.75">
      <c r="B220" s="14" t="str">
        <f>IF('PS-ConceptMap-1'!S215=0,"//---END",'PS-ConceptMap-1'!S215)</f>
        <v>* group[=].element[=].target.code = #Composition.section:sectionResults</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#PatientSummary.body.planOfCare</v>
      </c>
    </row>
    <row r="225" spans="2:2" x14ac:dyDescent="0.75">
      <c r="B225" s="14" t="str">
        <f>IF('PS-ConceptMap-1'!S220=0,"//---END",'PS-ConceptMap-1'!S220)</f>
        <v>* group[=].element[=].display = ##34#A.2.9 Plan of Care##34#</v>
      </c>
    </row>
    <row r="226" spans="2:2" x14ac:dyDescent="0.75">
      <c r="B226" s="14" t="str">
        <f>IF('PS-ConceptMap-1'!S221=0,"//---END",'PS-ConceptMap-1'!S221)</f>
        <v>* group[=].element[=].target.code = #Composition.section:sectionPlanOfCare</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//---END</v>
      </c>
    </row>
    <row r="231" spans="2:2" x14ac:dyDescent="0.75">
      <c r="B231" s="14" t="str">
        <f>IF('PS-ConceptMap-1'!S226=0,"//---END",'PS-ConceptMap-1'!S226)</f>
        <v>//---END</v>
      </c>
    </row>
    <row r="232" spans="2:2" x14ac:dyDescent="0.75">
      <c r="B232" s="14" t="str">
        <f>IF('PS-ConceptMap-1'!S227=0,"//---END",'PS-ConceptMap-1'!S227)</f>
        <v>//---END</v>
      </c>
    </row>
    <row r="233" spans="2:2" x14ac:dyDescent="0.75">
      <c r="B233" s="14" t="str">
        <f>IF('PS-ConceptMap-1'!S228=0,"//---END",'PS-ConceptMap-1'!S228)</f>
        <v>//---END</v>
      </c>
    </row>
    <row r="234" spans="2:2" x14ac:dyDescent="0.75">
      <c r="B234" s="14" t="str">
        <f>IF('PS-ConceptMap-1'!S229=0,"//---END",'PS-ConceptMap-1'!S229)</f>
        <v>//---END</v>
      </c>
    </row>
    <row r="235" spans="2:2" x14ac:dyDescent="0.75">
      <c r="B235" s="14" t="str">
        <f>IF('PS-ConceptMap-1'!S230=0,"//---END",'PS-ConceptMap-1'!S230)</f>
        <v>//---END</v>
      </c>
    </row>
    <row r="236" spans="2:2" x14ac:dyDescent="0.75">
      <c r="B236" s="14" t="str">
        <f>IF('PS-ConceptMap-1'!S231=0,"//---END",'PS-ConceptMap-1'!S231)</f>
        <v>//---END</v>
      </c>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D9" sqref="D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1345</v>
      </c>
      <c r="I4" s="24" t="str">
        <f>CONCATENATE("Logical: ",B4)</f>
        <v>Logical: MedicinePsEhn</v>
      </c>
    </row>
    <row r="5" spans="1:9" x14ac:dyDescent="0.75">
      <c r="A5" s="17" t="s">
        <v>19</v>
      </c>
      <c r="B5" s="33" t="s">
        <v>1344</v>
      </c>
      <c r="I5" s="24" t="str">
        <f>CONCATENATE("Id: ",B5)</f>
        <v>Id: Medicine</v>
      </c>
    </row>
    <row r="6" spans="1:9" x14ac:dyDescent="0.75">
      <c r="A6" s="17" t="s">
        <v>13</v>
      </c>
      <c r="B6" s="18" t="s">
        <v>1317</v>
      </c>
      <c r="I6" s="25" t="str">
        <f>CONCATENATE("Title: ##34#",B6,"##34#")</f>
        <v>Title: ##34#A.2.4.1 Current and relevant past medicines##34#</v>
      </c>
    </row>
    <row r="7" spans="1:9" ht="73.75" x14ac:dyDescent="0.75">
      <c r="A7" s="45" t="s">
        <v>5</v>
      </c>
      <c r="B7" s="52" t="s">
        <v>1346</v>
      </c>
      <c r="C7" s="12"/>
      <c r="D7" s="2"/>
      <c r="E7" s="51"/>
      <c r="F7" s="3" t="s">
        <v>9</v>
      </c>
      <c r="G7" s="3" t="s">
        <v>10</v>
      </c>
      <c r="I7" s="120"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1335</v>
      </c>
      <c r="C8" s="9" t="s">
        <v>1318</v>
      </c>
      <c r="D8" s="116" t="s">
        <v>1327</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1336</v>
      </c>
      <c r="C9" s="9" t="s">
        <v>1319</v>
      </c>
      <c r="D9" s="116" t="s">
        <v>956</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1269</v>
      </c>
      <c r="C10" s="9" t="s">
        <v>1320</v>
      </c>
      <c r="D10" s="116" t="s">
        <v>958</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1337</v>
      </c>
      <c r="C11" s="9" t="s">
        <v>1321</v>
      </c>
      <c r="D11" s="116" t="s">
        <v>960</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1338</v>
      </c>
      <c r="C12" s="9" t="s">
        <v>1322</v>
      </c>
      <c r="D12" s="116" t="s">
        <v>1333</v>
      </c>
      <c r="E12" s="9">
        <v>3</v>
      </c>
      <c r="F12" s="9" t="s">
        <v>11</v>
      </c>
      <c r="G12" s="9" t="s">
        <v>1334</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1339</v>
      </c>
      <c r="C13" s="9" t="s">
        <v>1323</v>
      </c>
      <c r="D13" s="116" t="s">
        <v>1332</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1340</v>
      </c>
      <c r="C14" s="9" t="s">
        <v>1324</v>
      </c>
      <c r="D14" s="116" t="s">
        <v>966</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1341</v>
      </c>
      <c r="C15" s="9" t="s">
        <v>1325</v>
      </c>
      <c r="D15" s="116" t="s">
        <v>1331</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1167</v>
      </c>
      <c r="C16" s="9" t="s">
        <v>1326</v>
      </c>
      <c r="D16" s="116" t="s">
        <v>1328</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3"/>
      <c r="B20" s="53"/>
      <c r="D20" s="54"/>
      <c r="E20" s="53"/>
      <c r="F20" s="53"/>
      <c r="G20" s="53"/>
      <c r="H20" s="121"/>
      <c r="I20" s="14" t="str">
        <f t="shared" si="0"/>
        <v>*  ..  ##34###34# ##334###334#</v>
      </c>
    </row>
    <row r="21" spans="1:11" ht="30.25" customHeight="1" x14ac:dyDescent="0.75">
      <c r="A21" s="53"/>
      <c r="B21" s="53"/>
      <c r="D21" s="54"/>
      <c r="E21" s="53"/>
      <c r="F21" s="53"/>
      <c r="G21" s="53"/>
      <c r="H21" s="22"/>
      <c r="I21" s="14"/>
    </row>
    <row r="22" spans="1:11" ht="30.25" customHeight="1" x14ac:dyDescent="0.75">
      <c r="A22" s="53"/>
      <c r="B22" s="53"/>
      <c r="D22" s="54"/>
      <c r="E22" s="53"/>
      <c r="F22" s="53"/>
      <c r="G22" s="53"/>
      <c r="H22" s="22"/>
      <c r="I22" s="14"/>
    </row>
    <row r="23" spans="1:11" ht="45" customHeight="1" x14ac:dyDescent="0.75">
      <c r="A23" s="53"/>
      <c r="B23" s="53"/>
      <c r="D23" s="54"/>
      <c r="E23" s="53"/>
      <c r="F23" s="53"/>
      <c r="G23" s="53"/>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7"/>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8"/>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30" t="s">
        <v>1343</v>
      </c>
      <c r="D38" s="131"/>
      <c r="E38" s="131"/>
      <c r="F38" s="132"/>
    </row>
    <row r="39" spans="2:9" ht="369.5" thickBot="1" x14ac:dyDescent="0.9">
      <c r="B39" t="str">
        <f t="shared" ref="B39:B48" si="2">CONCATENATE(C39," ",D39)</f>
        <v>A.2.4.1 Current and relevant past medicines</v>
      </c>
      <c r="C39" s="104" t="s">
        <v>1015</v>
      </c>
      <c r="D39" s="105" t="s">
        <v>951</v>
      </c>
      <c r="E39" s="105" t="s">
        <v>952</v>
      </c>
      <c r="F39" s="105"/>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104" t="s">
        <v>1016</v>
      </c>
      <c r="D40" s="105" t="s">
        <v>953</v>
      </c>
      <c r="E40" s="105" t="s">
        <v>954</v>
      </c>
      <c r="F40" s="105" t="s">
        <v>920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104" t="s">
        <v>1017</v>
      </c>
      <c r="D41" s="105" t="s">
        <v>955</v>
      </c>
      <c r="E41" s="105" t="s">
        <v>956</v>
      </c>
      <c r="F41" s="105"/>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104" t="s">
        <v>1018</v>
      </c>
      <c r="D42" s="105" t="s">
        <v>957</v>
      </c>
      <c r="E42" s="105" t="s">
        <v>958</v>
      </c>
      <c r="F42" s="105"/>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104" t="s">
        <v>1019</v>
      </c>
      <c r="D43" s="105" t="s">
        <v>959</v>
      </c>
      <c r="E43" s="105" t="s">
        <v>960</v>
      </c>
      <c r="F43" s="105"/>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104" t="s">
        <v>1020</v>
      </c>
      <c r="D44" s="105" t="s">
        <v>961</v>
      </c>
      <c r="E44" s="105" t="s">
        <v>962</v>
      </c>
      <c r="F44" s="105"/>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104" t="s">
        <v>1021</v>
      </c>
      <c r="D45" s="105" t="s">
        <v>963</v>
      </c>
      <c r="E45" s="105" t="s">
        <v>964</v>
      </c>
      <c r="F45" s="105"/>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104" t="s">
        <v>1022</v>
      </c>
      <c r="D46" s="105" t="s">
        <v>965</v>
      </c>
      <c r="E46" s="105" t="s">
        <v>966</v>
      </c>
      <c r="F46" s="105" t="s">
        <v>967</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104" t="s">
        <v>1023</v>
      </c>
      <c r="D47" s="105" t="s">
        <v>968</v>
      </c>
      <c r="E47" s="105" t="s">
        <v>1329</v>
      </c>
      <c r="F47" s="105" t="s">
        <v>1330</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104" t="s">
        <v>1024</v>
      </c>
      <c r="D48" s="105" t="s">
        <v>970</v>
      </c>
      <c r="E48" s="105" t="s">
        <v>971</v>
      </c>
      <c r="F48" s="105"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50" t="s">
        <v>1347</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44.25"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59"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59" x14ac:dyDescent="0.75">
      <c r="C10" s="14" t="str">
        <f>IF('A.2.4.1  Medicine'!I10="*  ..  ##34###34# ##334###334#","//--- END",'A.2.4.1  Medicine'!I10)</f>
        <v>* productName 1..* string ##34#A.2.4.1.3 Brand name##34# ##334#Brand name if biological medicinal product or when justified by the health professional (ref. Commission Directive 2012/52/EU)##334#</v>
      </c>
      <c r="E10" t="s">
        <v>189</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12" workbookViewId="0">
      <selection activeCell="P63" sqref="P63:S8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1350</v>
      </c>
      <c r="D3" s="66" t="s">
        <v>391</v>
      </c>
      <c r="E3" s="142" t="str">
        <f>"http://hl7.eu/fhir/ig/xpandh/ps/StructureDefinition/"&amp;'A.2.4.1  Medicine'!B5</f>
        <v>http://hl7.eu/fhir/ig/xpandh/ps/StructureDefinition/Medicine</v>
      </c>
      <c r="F3" s="141"/>
      <c r="G3" s="141"/>
    </row>
    <row r="4" spans="1:19" x14ac:dyDescent="0.75">
      <c r="B4" s="66" t="s">
        <v>19</v>
      </c>
      <c r="C4" s="49" t="s">
        <v>1351</v>
      </c>
      <c r="D4" s="66" t="s">
        <v>392</v>
      </c>
      <c r="E4" s="142" t="s">
        <v>1354</v>
      </c>
      <c r="F4" s="141"/>
      <c r="G4" s="141"/>
    </row>
    <row r="5" spans="1:19" x14ac:dyDescent="0.75">
      <c r="B5" s="66" t="s">
        <v>13</v>
      </c>
      <c r="C5" s="10" t="s">
        <v>1352</v>
      </c>
      <c r="D5" s="66"/>
      <c r="E5" s="10"/>
    </row>
    <row r="6" spans="1:19" x14ac:dyDescent="0.75">
      <c r="B6" s="66" t="s">
        <v>35</v>
      </c>
      <c r="C6" s="65"/>
      <c r="D6" s="66" t="s">
        <v>389</v>
      </c>
      <c r="E6" s="142" t="str">
        <f>E3</f>
        <v>http://hl7.eu/fhir/ig/xpandh/ps/StructureDefinition/Medicine</v>
      </c>
      <c r="F6" s="141"/>
      <c r="G6" s="141"/>
    </row>
    <row r="7" spans="1:19" x14ac:dyDescent="0.75">
      <c r="B7" s="66" t="s">
        <v>18</v>
      </c>
      <c r="C7" s="73"/>
      <c r="D7" s="66" t="s">
        <v>390</v>
      </c>
      <c r="E7" s="142" t="str">
        <f>E4</f>
        <v>http://hl7.eu/fhir/ig/xpandh/ps/StructureDefinition/MedicationStatement-ps-eu-xpandh</v>
      </c>
      <c r="F7" s="141"/>
      <c r="G7" s="141"/>
    </row>
    <row r="8" spans="1:19" ht="44.25" x14ac:dyDescent="0.75">
      <c r="B8" s="66" t="s">
        <v>387</v>
      </c>
      <c r="C8" s="10" t="s">
        <v>1353</v>
      </c>
      <c r="D8" s="66"/>
      <c r="E8"/>
      <c r="I8" s="14" t="s">
        <v>364</v>
      </c>
      <c r="J8" s="14" t="s">
        <v>365</v>
      </c>
      <c r="K8" s="14" t="s">
        <v>366</v>
      </c>
      <c r="L8" s="14" t="s">
        <v>367</v>
      </c>
      <c r="M8" s="9" t="s">
        <v>368</v>
      </c>
      <c r="P8" s="62" t="s">
        <v>369</v>
      </c>
      <c r="Q8" s="62">
        <v>6</v>
      </c>
    </row>
    <row r="9" spans="1:19" ht="29.5" x14ac:dyDescent="0.75">
      <c r="B9" s="66" t="s">
        <v>388</v>
      </c>
      <c r="C9" s="1" t="s">
        <v>1355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'A.2.4.1  Medicine'!B5</f>
        <v>Medicine</v>
      </c>
      <c r="C14" s="9"/>
      <c r="D14" t="s">
        <v>1356</v>
      </c>
      <c r="E14" s="122"/>
      <c r="F14" s="3"/>
      <c r="I14" s="14"/>
      <c r="J14" s="9"/>
      <c r="K14" s="9"/>
      <c r="L14" s="9"/>
      <c r="M14" s="64"/>
      <c r="N14" s="67"/>
    </row>
    <row r="15" spans="1:19" ht="73.75" x14ac:dyDescent="0.75">
      <c r="A15" s="22"/>
      <c r="B15" s="9" t="str">
        <f>'A.2.4.1  Medicine'!B8</f>
        <v>reason</v>
      </c>
      <c r="C15" s="9" t="str">
        <f>'A.2.4.1  Medicine'!C8</f>
        <v>A.2.4.1.1 Medication reason</v>
      </c>
      <c r="D15" s="14" t="s">
        <v>1357</v>
      </c>
      <c r="E15" s="14"/>
      <c r="F15" s="68" t="s">
        <v>375</v>
      </c>
      <c r="G15" s="9" t="s">
        <v>1360</v>
      </c>
      <c r="H15" s="69"/>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23" t="str">
        <f>'A.2.4.1  Medicine'!B8</f>
        <v>reason</v>
      </c>
      <c r="C16" s="123" t="str">
        <f>'A.2.4.1  Medicine'!C8</f>
        <v>A.2.4.1.1 Medication reason</v>
      </c>
      <c r="D16" s="14" t="s">
        <v>1358</v>
      </c>
      <c r="E16" s="14"/>
      <c r="F16" s="68" t="s">
        <v>375</v>
      </c>
      <c r="G16" s="9" t="s">
        <v>1359</v>
      </c>
      <c r="H16" s="69"/>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8" t="s">
        <v>377</v>
      </c>
      <c r="G17" s="4" t="s">
        <v>1361</v>
      </c>
      <c r="H17" s="69"/>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1362</v>
      </c>
      <c r="E18" s="14"/>
      <c r="F18" s="68" t="s">
        <v>375</v>
      </c>
      <c r="G18" s="14"/>
      <c r="H18" s="69"/>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1362</v>
      </c>
      <c r="E19" s="14"/>
      <c r="F19" s="68" t="s">
        <v>375</v>
      </c>
      <c r="G19" s="124" t="s">
        <v>1363</v>
      </c>
      <c r="H19" s="69"/>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1362</v>
      </c>
      <c r="E20" s="9"/>
      <c r="F20" s="68" t="s">
        <v>375</v>
      </c>
      <c r="G20" s="124" t="s">
        <v>1363</v>
      </c>
      <c r="H20" s="69"/>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1362</v>
      </c>
      <c r="E21" s="9"/>
      <c r="F21" s="68" t="s">
        <v>375</v>
      </c>
      <c r="G21" s="124" t="s">
        <v>1364</v>
      </c>
      <c r="H21" s="69"/>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1365</v>
      </c>
      <c r="E22" s="14"/>
      <c r="F22" s="68" t="s">
        <v>1366</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8" t="s">
        <v>377</v>
      </c>
      <c r="G23" s="4" t="s">
        <v>1361</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1367</v>
      </c>
      <c r="E24" s="14"/>
      <c r="F24" s="68" t="s">
        <v>375</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10" sqref="B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1368</v>
      </c>
    </row>
    <row r="3" spans="2:7" x14ac:dyDescent="0.75">
      <c r="B3" s="32" t="s">
        <v>37</v>
      </c>
    </row>
    <row r="4" spans="2:7" x14ac:dyDescent="0.75">
      <c r="B4" s="70" t="str">
        <f>"Instance: "&amp;'Medicine-ConceptMap-1'!C4</f>
        <v>Instance: Medicine2FHIR-eu-ps</v>
      </c>
    </row>
    <row r="5" spans="2:7" x14ac:dyDescent="0.75">
      <c r="B5" s="70" t="s">
        <v>379</v>
      </c>
    </row>
    <row r="6" spans="2:7" x14ac:dyDescent="0.75">
      <c r="B6" s="70" t="s">
        <v>380</v>
      </c>
    </row>
    <row r="7" spans="2:7" x14ac:dyDescent="0.75">
      <c r="B7" s="70" t="s">
        <v>386</v>
      </c>
    </row>
    <row r="8" spans="2:7" x14ac:dyDescent="0.75">
      <c r="B8" s="70" t="str">
        <f>"* name = ##34#"&amp;'Medicine-ConceptMap-1'!C3&amp;"##34#"</f>
        <v>* name = ##34#Medicine2Fhir##34#</v>
      </c>
    </row>
    <row r="9" spans="2:7" x14ac:dyDescent="0.75">
      <c r="B9" s="70" t="str">
        <f>"* title = ##34#"&amp;'Medicine-ConceptMap-1'!C5&amp;"##34#"</f>
        <v>* title = ##34#eHN Medicine to this guide Map##34#</v>
      </c>
    </row>
    <row r="10" spans="2:7" x14ac:dyDescent="0.75">
      <c r="B10" s="70" t="s">
        <v>381</v>
      </c>
    </row>
    <row r="11" spans="2:7" x14ac:dyDescent="0.75">
      <c r="B11" s="70" t="s">
        <v>382</v>
      </c>
    </row>
    <row r="12" spans="2:7" x14ac:dyDescent="0.75">
      <c r="B12" s="70" t="str">
        <f>"* description = ##34#"&amp;'Medicine-ConceptMap-1'!C8&amp;"##34#"</f>
        <v>* description = ##34#eHN Medicine Model to this guide Map##34#</v>
      </c>
    </row>
    <row r="13" spans="2:7" x14ac:dyDescent="0.75">
      <c r="B13" s="70" t="str">
        <f>"* purpose = ##34#"&amp;'Medicine-ConceptMap-1'!C9&amp;"##34#"</f>
        <v>* purpose = ##34#It shows how the Medicine  data set defined by the EU eHN guidelines is mapped into this guide##34#</v>
      </c>
    </row>
    <row r="14" spans="2:7" x14ac:dyDescent="0.75">
      <c r="B14" s="71" t="str">
        <f>"* sourceUri = ##34#"&amp;'Medicine-ConceptMap-1'!E3&amp;"##34#"</f>
        <v>* sourceUri = ##34#http://hl7.eu/fhir/ig/xpandh/ps/StructureDefinition/Medicine##34#</v>
      </c>
    </row>
    <row r="15" spans="2:7" x14ac:dyDescent="0.75">
      <c r="B15" s="71" t="str">
        <f>"* targetUri = ##34#"&amp;'Medicine-ConceptMap-1'!E4&amp;"##34#"</f>
        <v>* targetUri = ##34#http://hl7.eu/fhir/ig/xpandh/ps/StructureDefinition/MedicationStatement-ps-eu-xpandh##34#</v>
      </c>
    </row>
    <row r="16" spans="2:7" x14ac:dyDescent="0.75">
      <c r="B16" s="70"/>
    </row>
    <row r="17" spans="2:7" x14ac:dyDescent="0.75">
      <c r="B17" s="72" t="str">
        <f>"* group[+].source = ##34#"&amp;'Medicine-ConceptMap-1'!E6&amp;"##34#"</f>
        <v>* group[+].source = ##34#http://hl7.eu/fhir/ig/xpandh/ps/StructureDefinition/Medicine##34#</v>
      </c>
    </row>
    <row r="18" spans="2:7" x14ac:dyDescent="0.75">
      <c r="B18" s="72" t="str">
        <f>"* group[=].target = ##34#"&amp;'Medicine-ConceptMap-1'!E7&amp;"##34#"</f>
        <v>* group[=].target = ##34#http://hl7.eu/fhir/ig/xpandh/ps/StructureDefinition/MedicationStatement-ps-eu-xpandh##34#</v>
      </c>
    </row>
    <row r="19" spans="2:7" x14ac:dyDescent="0.75">
      <c r="B19" s="74"/>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VaccinationPsEhn</v>
      </c>
    </row>
    <row r="5" spans="1:11" x14ac:dyDescent="0.75">
      <c r="A5" s="17" t="s">
        <v>19</v>
      </c>
      <c r="B5" s="33" t="s">
        <v>1249</v>
      </c>
      <c r="I5" s="24" t="str">
        <f>CONCATENATE("Id: ",B5)</f>
        <v>Id: Vaccination</v>
      </c>
    </row>
    <row r="6" spans="1:11" x14ac:dyDescent="0.75">
      <c r="A6" s="17" t="s">
        <v>13</v>
      </c>
      <c r="B6" s="18" t="s">
        <v>1106</v>
      </c>
      <c r="I6" s="25" t="str">
        <f>CONCATENATE("Title: ##34#",B6,"##34#")</f>
        <v>Title: ##34#A.2.2.1 - Vaccination/ prophylaxis information##34#</v>
      </c>
    </row>
    <row r="7" spans="1:11" ht="29.5" x14ac:dyDescent="0.75">
      <c r="A7" s="45" t="s">
        <v>5</v>
      </c>
      <c r="B7" s="18" t="s">
        <v>1250</v>
      </c>
      <c r="C7" s="12"/>
      <c r="D7" s="2"/>
      <c r="E7" s="51"/>
      <c r="F7" s="3" t="s">
        <v>9</v>
      </c>
      <c r="G7" s="3" t="s">
        <v>10</v>
      </c>
      <c r="I7" s="25" t="str">
        <f>CONCATENATE("Description: "," ##334#",B7,"##334#",)</f>
        <v>Description:  ##334# Vaccination/ prophylaxis information. Sections A2.2.2.1 of the eHN guideline.##334#</v>
      </c>
    </row>
    <row r="8" spans="1:11" ht="44.25" x14ac:dyDescent="0.75">
      <c r="A8" s="9">
        <v>1</v>
      </c>
      <c r="B8" s="9" t="s">
        <v>1267</v>
      </c>
      <c r="C8" s="14" t="s">
        <v>1251</v>
      </c>
      <c r="D8" s="14" t="s">
        <v>1316</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1268</v>
      </c>
      <c r="C9" s="14" t="s">
        <v>1252</v>
      </c>
      <c r="D9" s="14" t="s">
        <v>1263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1269</v>
      </c>
      <c r="C10" s="14" t="s">
        <v>1253</v>
      </c>
      <c r="D10" s="116" t="s">
        <v>887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1270</v>
      </c>
      <c r="C11" s="14" t="s">
        <v>1254</v>
      </c>
      <c r="D11" s="116" t="s">
        <v>889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1271</v>
      </c>
      <c r="C12" s="14" t="s">
        <v>1255</v>
      </c>
      <c r="D12" s="116" t="s">
        <v>891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1272</v>
      </c>
      <c r="C13" s="14" t="s">
        <v>1256</v>
      </c>
      <c r="D13" s="116" t="s">
        <v>1283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1273</v>
      </c>
      <c r="C14" s="14" t="s">
        <v>1257</v>
      </c>
      <c r="D14" s="116" t="s">
        <v>894</v>
      </c>
      <c r="E14" s="9">
        <v>0</v>
      </c>
      <c r="F14" s="9" t="s">
        <v>11</v>
      </c>
      <c r="G14" s="9" t="s">
        <v>3</v>
      </c>
      <c r="H14" s="55"/>
      <c r="I14" s="14" t="str">
        <f t="shared" si="0"/>
        <v>* batchNumber 0..* string ##34#A.2.2.1.6 Batch/lot number##34# ##334#A distinctive combination of numbers and/or letters which specifically identifies a batch##334#</v>
      </c>
    </row>
    <row r="15" spans="1:11" ht="44.25" x14ac:dyDescent="0.75">
      <c r="A15" s="9">
        <v>8</v>
      </c>
      <c r="B15" s="9" t="s">
        <v>1274</v>
      </c>
      <c r="C15" s="14" t="s">
        <v>1258</v>
      </c>
      <c r="D15" s="14" t="s">
        <v>1264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1313</v>
      </c>
      <c r="C16" s="14" t="s">
        <v>1259</v>
      </c>
      <c r="D16" s="14" t="s">
        <v>898</v>
      </c>
      <c r="E16" s="9">
        <v>0</v>
      </c>
      <c r="F16" s="9" t="s">
        <v>11</v>
      </c>
      <c r="G16" s="48" t="s">
        <v>215</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8" t="s">
        <v>1276</v>
      </c>
      <c r="C17" s="9" t="s">
        <v>1260</v>
      </c>
      <c r="D17" s="14" t="s">
        <v>900</v>
      </c>
      <c r="E17" s="9">
        <v>0</v>
      </c>
      <c r="F17" s="9" t="s">
        <v>11</v>
      </c>
      <c r="G17" s="9" t="s">
        <v>212</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1275</v>
      </c>
      <c r="C18" s="9" t="s">
        <v>1261</v>
      </c>
      <c r="D18" s="14" t="s">
        <v>1265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1277</v>
      </c>
      <c r="C19" s="9" t="s">
        <v>1262</v>
      </c>
      <c r="D19" s="14" t="s">
        <v>1266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3"/>
      <c r="D29" s="144"/>
      <c r="E29" s="144"/>
      <c r="F29" s="145"/>
      <c r="I29" s="14"/>
    </row>
    <row r="30" spans="1:9" ht="45" thickBot="1" x14ac:dyDescent="0.9">
      <c r="B30" t="str">
        <f t="shared" ref="B30:B41" si="1">CONCATENATE(C30," ",D30)</f>
        <v>A.2.2.1.1 Disease or agent targeted</v>
      </c>
      <c r="C30" s="104" t="s">
        <v>978</v>
      </c>
      <c r="D30" s="105" t="s">
        <v>881</v>
      </c>
      <c r="E30" s="105" t="s">
        <v>882</v>
      </c>
      <c r="F30" s="105" t="s">
        <v>847</v>
      </c>
      <c r="I30" s="14"/>
    </row>
    <row r="31" spans="1:9" ht="104" thickBot="1" x14ac:dyDescent="0.9">
      <c r="B31" t="str">
        <f t="shared" si="1"/>
        <v>A.2.2.1.2 Vaccine/prophylaxis</v>
      </c>
      <c r="C31" s="104" t="s">
        <v>979</v>
      </c>
      <c r="D31" s="105" t="s">
        <v>883</v>
      </c>
      <c r="E31" s="105" t="s">
        <v>884</v>
      </c>
      <c r="F31" s="105" t="s">
        <v>885</v>
      </c>
      <c r="I31" s="14"/>
    </row>
    <row r="32" spans="1:9" ht="224.75" customHeight="1" thickBot="1" x14ac:dyDescent="0.9">
      <c r="B32" t="str">
        <f t="shared" si="1"/>
        <v>A.2.2.1.3 Vaccine medicinal product name</v>
      </c>
      <c r="C32" s="104" t="s">
        <v>980</v>
      </c>
      <c r="D32" s="105" t="s">
        <v>886</v>
      </c>
      <c r="E32" s="105" t="s">
        <v>887</v>
      </c>
      <c r="F32" s="105"/>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104" t="s">
        <v>981</v>
      </c>
      <c r="D33" s="105" t="s">
        <v>888</v>
      </c>
      <c r="E33" s="105" t="s">
        <v>889</v>
      </c>
      <c r="F33" s="105"/>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104" t="s">
        <v>982</v>
      </c>
      <c r="D34" s="105" t="s">
        <v>890</v>
      </c>
      <c r="E34" s="105" t="s">
        <v>891</v>
      </c>
      <c r="F34" s="105"/>
      <c r="I34" s="1" t="str">
        <f t="shared" si="2"/>
        <v xml:space="preserve">Marketing Authorisation Holder EMA's Organisations System data (SPOR) - Preferred system(s): </v>
      </c>
    </row>
    <row r="35" spans="2:9" ht="30.25" thickBot="1" x14ac:dyDescent="0.9">
      <c r="B35" t="str">
        <f t="shared" si="1"/>
        <v>A.2.2.1.5 Number in a series of vaccinations/doses</v>
      </c>
      <c r="C35" s="104" t="s">
        <v>983</v>
      </c>
      <c r="D35" s="105" t="s">
        <v>892</v>
      </c>
      <c r="E35" s="105" t="s">
        <v>1283</v>
      </c>
      <c r="F35" s="105"/>
      <c r="I35" s="1" t="str">
        <f t="shared" si="2"/>
        <v xml:space="preserve">Vaccination in the vaccination course - Preferred system(s): </v>
      </c>
    </row>
    <row r="36" spans="2:9" ht="15.5" customHeight="1" thickBot="1" x14ac:dyDescent="0.9">
      <c r="B36" t="str">
        <f t="shared" si="1"/>
        <v>A.2.2.1.6 Batch/lot number</v>
      </c>
      <c r="C36" s="104" t="s">
        <v>984</v>
      </c>
      <c r="D36" s="105" t="s">
        <v>893</v>
      </c>
      <c r="E36" s="105" t="s">
        <v>894</v>
      </c>
      <c r="F36" s="105"/>
    </row>
    <row r="37" spans="2:9" ht="80" customHeight="1" thickBot="1" x14ac:dyDescent="0.9">
      <c r="B37" t="str">
        <f t="shared" si="1"/>
        <v>A.2.2.1.7 Date of vaccination</v>
      </c>
      <c r="C37" s="104" t="s">
        <v>985</v>
      </c>
      <c r="D37" s="105" t="s">
        <v>895</v>
      </c>
      <c r="E37" s="105" t="s">
        <v>896</v>
      </c>
      <c r="F37" s="105" t="s">
        <v>94</v>
      </c>
      <c r="I37" s="1" t="str">
        <f t="shared" si="2"/>
        <v>The date when the vaccination was administered - Preferred system(s): ISO 8601</v>
      </c>
    </row>
    <row r="38" spans="2:9" ht="59.75" thickBot="1" x14ac:dyDescent="0.9">
      <c r="B38" t="str">
        <f t="shared" si="1"/>
        <v>A.2.2.1.8 Administering centre</v>
      </c>
      <c r="C38" s="104" t="s">
        <v>986</v>
      </c>
      <c r="D38" s="105" t="s">
        <v>897</v>
      </c>
      <c r="E38" s="105" t="s">
        <v>898</v>
      </c>
      <c r="F38" s="105"/>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104" t="s">
        <v>987</v>
      </c>
      <c r="D39" s="105" t="s">
        <v>899</v>
      </c>
      <c r="E39" s="105" t="s">
        <v>900</v>
      </c>
      <c r="F39" s="105"/>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104" t="s">
        <v>988</v>
      </c>
      <c r="D40" s="105" t="s">
        <v>901</v>
      </c>
      <c r="E40" s="105" t="s">
        <v>902</v>
      </c>
      <c r="F40" s="105" t="s">
        <v>513</v>
      </c>
      <c r="I40" s="1" t="str">
        <f t="shared" si="2"/>
        <v>The country in which the individual has been vaccinated - Preferred system(s): ISO 3166</v>
      </c>
    </row>
    <row r="41" spans="2:9" ht="45" thickBot="1" x14ac:dyDescent="0.9">
      <c r="B41" t="str">
        <f t="shared" si="1"/>
        <v>A.2.2.1.11 Next vaccination date</v>
      </c>
      <c r="C41" s="104" t="s">
        <v>989</v>
      </c>
      <c r="D41" s="105" t="s">
        <v>903</v>
      </c>
      <c r="E41" s="105" t="s">
        <v>904</v>
      </c>
      <c r="F41" s="105"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50" t="s">
        <v>1278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189</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1284</v>
      </c>
      <c r="D3" s="66" t="s">
        <v>391</v>
      </c>
      <c r="E3" t="str">
        <f>"http://hl7.eu/fhir/ig/xpandh/ps/StructureDefinition/"&amp;'A.2.2.1 Vaccination'!B5</f>
        <v>http://hl7.eu/fhir/ig/xpandh/ps/StructureDefinition/Vaccination</v>
      </c>
    </row>
    <row r="4" spans="1:19" x14ac:dyDescent="0.75">
      <c r="B4" s="66" t="s">
        <v>19</v>
      </c>
      <c r="C4" s="49" t="s">
        <v>1292</v>
      </c>
      <c r="D4" s="66" t="s">
        <v>392</v>
      </c>
      <c r="E4" s="141" t="s">
        <v>1280</v>
      </c>
      <c r="F4" s="141"/>
      <c r="G4" s="141"/>
    </row>
    <row r="5" spans="1:19" x14ac:dyDescent="0.75">
      <c r="B5" s="66" t="s">
        <v>13</v>
      </c>
      <c r="C5" s="10" t="s">
        <v>1285</v>
      </c>
      <c r="D5" s="66"/>
      <c r="E5" s="10"/>
    </row>
    <row r="6" spans="1:19" x14ac:dyDescent="0.75">
      <c r="B6" s="66" t="s">
        <v>35</v>
      </c>
      <c r="C6" s="65" t="s">
        <v>1178</v>
      </c>
      <c r="D6" s="66" t="s">
        <v>389</v>
      </c>
      <c r="E6" s="141" t="str">
        <f>E3</f>
        <v>http://hl7.eu/fhir/ig/xpandh/ps/StructureDefinition/Vaccination</v>
      </c>
      <c r="F6" s="141"/>
      <c r="G6" s="141"/>
    </row>
    <row r="7" spans="1:19" x14ac:dyDescent="0.75">
      <c r="B7" s="66" t="s">
        <v>18</v>
      </c>
      <c r="C7" s="73" t="s">
        <v>810</v>
      </c>
      <c r="D7" s="66" t="s">
        <v>390</v>
      </c>
      <c r="E7" s="141" t="s">
        <v>1280</v>
      </c>
      <c r="F7" s="141"/>
      <c r="G7" s="141"/>
    </row>
    <row r="8" spans="1:19" ht="44.25" x14ac:dyDescent="0.75">
      <c r="B8" s="66" t="s">
        <v>387</v>
      </c>
      <c r="C8" s="10" t="s">
        <v>1281</v>
      </c>
      <c r="D8" s="66"/>
      <c r="E8" s="10"/>
      <c r="I8" s="14" t="s">
        <v>364</v>
      </c>
      <c r="J8" s="14" t="s">
        <v>365</v>
      </c>
      <c r="K8" s="14" t="s">
        <v>366</v>
      </c>
      <c r="L8" s="14" t="s">
        <v>367</v>
      </c>
      <c r="M8" s="9" t="s">
        <v>368</v>
      </c>
      <c r="P8" s="62" t="s">
        <v>369</v>
      </c>
      <c r="Q8" s="62">
        <v>6</v>
      </c>
    </row>
    <row r="9" spans="1:19" ht="29.5" x14ac:dyDescent="0.75">
      <c r="B9" s="66" t="s">
        <v>388</v>
      </c>
      <c r="C9" s="1" t="s">
        <v>1282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'A.2.2.1 Vaccination'!B5</f>
        <v>Vaccination</v>
      </c>
      <c r="C14" s="9"/>
      <c r="D14" s="4" t="s">
        <v>1279</v>
      </c>
      <c r="E14" s="9"/>
      <c r="F14" s="9"/>
      <c r="G14" s="9"/>
      <c r="I14" s="14"/>
      <c r="J14" s="9"/>
      <c r="K14" s="9"/>
      <c r="L14" s="9"/>
      <c r="M14" s="64"/>
      <c r="N14" s="67"/>
    </row>
    <row r="15" spans="1:19" ht="73.75" customHeight="1" x14ac:dyDescent="0.75">
      <c r="A15" s="22"/>
      <c r="B15" s="9" t="str">
        <f>'A.2.2.1 Vaccination'!B8</f>
        <v>targetDisease</v>
      </c>
      <c r="C15" s="9" t="str">
        <f>'A.2.2.1 Vaccination'!C8</f>
        <v>A.2.2.1.1 Disease or agent targeted</v>
      </c>
      <c r="D15" s="14" t="s">
        <v>1298</v>
      </c>
      <c r="E15" s="9"/>
      <c r="F15" s="68" t="s">
        <v>375</v>
      </c>
      <c r="G15" s="68"/>
      <c r="H15" s="69"/>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1299</v>
      </c>
      <c r="E16" s="9"/>
      <c r="F16" s="68" t="s">
        <v>375</v>
      </c>
      <c r="G16" s="68"/>
      <c r="H16" s="69"/>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1315</v>
      </c>
      <c r="E17" s="9"/>
      <c r="F17" s="68" t="s">
        <v>376</v>
      </c>
      <c r="G17" s="102"/>
      <c r="H17" s="69"/>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7" t="s">
        <v>1314</v>
      </c>
      <c r="E18" s="9"/>
      <c r="F18" s="68" t="s">
        <v>376</v>
      </c>
      <c r="G18" s="88"/>
      <c r="H18" s="69"/>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1300</v>
      </c>
      <c r="E19" s="9"/>
      <c r="F19" s="68" t="s">
        <v>376</v>
      </c>
      <c r="G19" s="68"/>
      <c r="H19" s="69"/>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1301</v>
      </c>
      <c r="E20" s="9"/>
      <c r="F20" s="68" t="s">
        <v>376</v>
      </c>
      <c r="G20" s="14" t="s">
        <v>1303</v>
      </c>
      <c r="H20" s="69"/>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1302</v>
      </c>
      <c r="E21" s="9"/>
      <c r="F21" s="68" t="s">
        <v>376</v>
      </c>
      <c r="G21" s="14" t="s">
        <v>1303</v>
      </c>
      <c r="H21" s="69"/>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1304</v>
      </c>
      <c r="E22" s="9"/>
      <c r="F22" s="68" t="s">
        <v>375</v>
      </c>
      <c r="G22" s="14"/>
      <c r="H22" s="69"/>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1305</v>
      </c>
      <c r="E23" s="9"/>
      <c r="F23" s="68" t="s">
        <v>375</v>
      </c>
      <c r="G23" s="14"/>
      <c r="H23" s="69"/>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1309</v>
      </c>
      <c r="E24" s="9"/>
      <c r="F24" s="68" t="s">
        <v>376</v>
      </c>
      <c r="G24" s="4" t="s">
        <v>1306</v>
      </c>
      <c r="H24" s="69"/>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567</v>
      </c>
      <c r="E25" s="9"/>
      <c r="F25" s="68" t="s">
        <v>376</v>
      </c>
      <c r="G25" s="4" t="s">
        <v>1307</v>
      </c>
      <c r="H25" s="69"/>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1310</v>
      </c>
      <c r="E26" s="9"/>
      <c r="F26" s="68" t="s">
        <v>376</v>
      </c>
      <c r="G26" s="4" t="s">
        <v>1308</v>
      </c>
      <c r="H26" s="69"/>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1311</v>
      </c>
      <c r="E27" s="9"/>
      <c r="F27" s="68" t="s">
        <v>375</v>
      </c>
      <c r="G27" s="14"/>
      <c r="H27" s="69"/>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1312</v>
      </c>
      <c r="E28" s="9"/>
      <c r="F28" s="68" t="s">
        <v>375</v>
      </c>
      <c r="G28" s="68"/>
      <c r="H28" s="69"/>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8"/>
      <c r="G29" s="68"/>
      <c r="H29" s="69"/>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8"/>
      <c r="G30" s="68"/>
      <c r="H30" s="69"/>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8"/>
      <c r="G31" s="68"/>
      <c r="H31" s="69"/>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8"/>
      <c r="G32" s="68"/>
      <c r="H32" s="69"/>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8"/>
      <c r="G33" s="68"/>
      <c r="H33" s="69"/>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8"/>
      <c r="G34" s="68"/>
      <c r="H34" s="69"/>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8"/>
      <c r="G35" s="68"/>
      <c r="H35" s="69"/>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8"/>
      <c r="G36" s="68"/>
      <c r="H36" s="69"/>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8"/>
      <c r="G37" s="68"/>
      <c r="H37" s="69"/>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8"/>
      <c r="G38" s="68"/>
      <c r="H38" s="69"/>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8"/>
      <c r="G39" s="68"/>
      <c r="H39" s="69"/>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8"/>
      <c r="G40" s="68"/>
      <c r="H40" s="69"/>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8"/>
      <c r="G41" s="68"/>
      <c r="H41" s="69"/>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8"/>
      <c r="G42" s="68"/>
      <c r="H42" s="69"/>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8"/>
      <c r="G43" s="68"/>
      <c r="H43" s="69"/>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8"/>
      <c r="G44" s="69"/>
      <c r="H44" s="69"/>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4"/>
      <c r="F45" s="69"/>
      <c r="G45" s="69"/>
      <c r="H45" s="69"/>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9"/>
      <c r="G46" s="69"/>
      <c r="H46" s="69"/>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9"/>
      <c r="G47" s="69"/>
      <c r="H47" s="69"/>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9"/>
      <c r="G48" s="69"/>
      <c r="H48" s="69"/>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9"/>
      <c r="G49" s="69"/>
      <c r="H49" s="69"/>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9"/>
      <c r="G50" s="69"/>
      <c r="H50" s="69"/>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9"/>
      <c r="G51" s="69"/>
      <c r="H51" s="69"/>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9"/>
      <c r="G52" s="69"/>
      <c r="H52" s="69"/>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9"/>
      <c r="G53" s="69"/>
      <c r="H53" s="69"/>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9"/>
      <c r="G54" s="69"/>
      <c r="H54" s="69"/>
      <c r="J54" s="69"/>
      <c r="K54" s="69"/>
      <c r="L54" s="69"/>
      <c r="M54" s="69"/>
      <c r="N54" s="69"/>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9"/>
      <c r="G55" s="69"/>
      <c r="H55" s="69"/>
      <c r="J55" s="69"/>
      <c r="K55" s="69"/>
      <c r="L55" s="69"/>
      <c r="M55" s="69"/>
      <c r="N55" s="69"/>
      <c r="P55" s="9">
        <v>41</v>
      </c>
      <c r="Q55" s="9">
        <f t="shared" si="10"/>
        <v>6</v>
      </c>
      <c r="R55" s="9">
        <f t="shared" si="11"/>
        <v>5</v>
      </c>
      <c r="S55" s="14" t="str" cm="1">
        <f t="array" ref="S55">INDEX('Vaccination-ConceptMap-1'!$I$15:$N$180,Q55+1,R55)</f>
        <v>* group[=].element[=].target.equivalence = #relatedto</v>
      </c>
    </row>
    <row r="56" spans="1:19" ht="29.5" x14ac:dyDescent="0.75">
      <c r="F56" s="69"/>
      <c r="G56" s="69"/>
      <c r="H56" s="69"/>
      <c r="J56" s="69"/>
      <c r="K56" s="69"/>
      <c r="L56" s="69"/>
      <c r="M56" s="69"/>
      <c r="N56" s="69"/>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9"/>
      <c r="G57" s="69"/>
      <c r="H57" s="69"/>
      <c r="J57" s="69"/>
      <c r="K57" s="69"/>
      <c r="L57" s="69"/>
      <c r="M57" s="69"/>
      <c r="N57" s="69"/>
      <c r="P57" s="9">
        <v>43</v>
      </c>
      <c r="Q57" s="9">
        <f t="shared" si="10"/>
        <v>7</v>
      </c>
      <c r="R57" s="9">
        <f t="shared" si="11"/>
        <v>1</v>
      </c>
      <c r="S57" s="14" t="str" cm="1">
        <f t="array" ref="S57">INDEX('Vaccination-ConceptMap-1'!$I$15:$N$180,Q57+1,R57)</f>
        <v>* group[=].element[+].code = #Vaccination.batchNumber</v>
      </c>
    </row>
    <row r="58" spans="1:19" x14ac:dyDescent="0.75">
      <c r="F58" s="69"/>
      <c r="G58" s="69"/>
      <c r="H58" s="69"/>
      <c r="J58" s="69"/>
      <c r="K58" s="69"/>
      <c r="L58" s="69"/>
      <c r="M58" s="69"/>
      <c r="N58" s="69"/>
      <c r="P58" s="9">
        <v>44</v>
      </c>
      <c r="Q58" s="9">
        <f t="shared" si="10"/>
        <v>7</v>
      </c>
      <c r="R58" s="9">
        <f t="shared" si="11"/>
        <v>2</v>
      </c>
      <c r="S58" s="14" t="str" cm="1">
        <f t="array" ref="S58">INDEX('Vaccination-ConceptMap-1'!$I$15:$N$180,Q58+1,R58)</f>
        <v>* group[=].element[=].display = ##34#A.2.2.1.6 Batch/lot number##34#</v>
      </c>
    </row>
    <row r="59" spans="1:19" x14ac:dyDescent="0.75">
      <c r="F59" s="69"/>
      <c r="G59" s="69"/>
      <c r="H59" s="69"/>
      <c r="J59" s="69"/>
      <c r="K59" s="69"/>
      <c r="L59" s="69"/>
      <c r="M59" s="69"/>
      <c r="N59" s="69"/>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1293</v>
      </c>
    </row>
    <row r="3" spans="2:7" x14ac:dyDescent="0.75">
      <c r="B3" s="32" t="s">
        <v>37</v>
      </c>
    </row>
    <row r="4" spans="2:7" x14ac:dyDescent="0.75">
      <c r="B4" s="70" t="str">
        <f>"Instance: "&amp;'Vaccination-ConceptMap-1'!C4</f>
        <v>Instance: vaccination2FHIR-eu-ps</v>
      </c>
    </row>
    <row r="5" spans="2:7" x14ac:dyDescent="0.75">
      <c r="B5" s="70" t="s">
        <v>379</v>
      </c>
    </row>
    <row r="6" spans="2:7" x14ac:dyDescent="0.75">
      <c r="B6" s="70" t="s">
        <v>380</v>
      </c>
    </row>
    <row r="7" spans="2:7" x14ac:dyDescent="0.75">
      <c r="B7" s="70" t="s">
        <v>386</v>
      </c>
    </row>
    <row r="8" spans="2:7" x14ac:dyDescent="0.75">
      <c r="B8" s="70" t="str">
        <f>"* name = ##34#"&amp;'Vaccination-ConceptMap-1'!C3&amp;"##34#"</f>
        <v>* name = ##34#Vaccination2Fhir##34#</v>
      </c>
    </row>
    <row r="9" spans="2:7" x14ac:dyDescent="0.75">
      <c r="B9" s="70" t="str">
        <f>"* title = ##34#"&amp;'Vaccination-ConceptMap-1'!C5&amp;"##34#"</f>
        <v>* title = ##34#eHN Vaccination to this guide Map##34#</v>
      </c>
    </row>
    <row r="10" spans="2:7" x14ac:dyDescent="0.75">
      <c r="B10" s="70" t="s">
        <v>381</v>
      </c>
    </row>
    <row r="11" spans="2:7" x14ac:dyDescent="0.75">
      <c r="B11" s="70" t="s">
        <v>382</v>
      </c>
    </row>
    <row r="12" spans="2:7" x14ac:dyDescent="0.75">
      <c r="B12" s="70" t="str">
        <f>"* description = ##34#"&amp;'Vaccination-ConceptMap-1'!C8&amp;"##34#"</f>
        <v>* description = ##34#eHN Vaccination infos to this guide Map##34#</v>
      </c>
    </row>
    <row r="13" spans="2:7" x14ac:dyDescent="0.75">
      <c r="B13" s="70" t="str">
        <f>"* purpose = ##34#"&amp;'Vaccination-ConceptMap-1'!C9&amp;"##34#"</f>
        <v>* purpose = ##34#It shows how the Vaccination data set defined by the EU eHN guidelines is mapped into this guide##34#</v>
      </c>
    </row>
    <row r="14" spans="2:7" x14ac:dyDescent="0.75">
      <c r="B14" s="71" t="str">
        <f>"* sourceUri = ##34#"&amp;'Vaccination-ConceptMap-1'!E3&amp;"##34#"</f>
        <v>* sourceUri = ##34#http://hl7.eu/fhir/ig/xpandh/ps/StructureDefinition/Vaccination##34#</v>
      </c>
    </row>
    <row r="15" spans="2:7" x14ac:dyDescent="0.75">
      <c r="B15" s="71" t="str">
        <f>"* targetUri = ##34#"&amp;'Vaccination-ConceptMap-1'!E4&amp;"##34#"</f>
        <v>* targetUri = ##34#http://hl7.eu/fhir/ig/xpandh/ps/StructureDefinition/Immunization-ps-eu-xpandh##34#</v>
      </c>
    </row>
    <row r="16" spans="2:7" x14ac:dyDescent="0.75">
      <c r="B16" s="70"/>
    </row>
    <row r="17" spans="2:7" x14ac:dyDescent="0.75">
      <c r="B17" s="72" t="str">
        <f>"* group[+].source = ##34#"&amp;'Vaccination-ConceptMap-1'!E6&amp;"##34#"</f>
        <v>* group[+].source = ##34#http://hl7.eu/fhir/ig/xpandh/ps/StructureDefinition/Vaccination##34#</v>
      </c>
    </row>
    <row r="18" spans="2:7" x14ac:dyDescent="0.75">
      <c r="B18" s="72" t="str">
        <f>"* group[=].target = ##34#"&amp;'Vaccination-ConceptMap-1'!E7&amp;"##34#"</f>
        <v>* group[=].target = ##34#http://hl7.eu/fhir/ig/xpandh/ps/StructureDefinition/Immunization-ps-eu-xpandh##34#</v>
      </c>
    </row>
    <row r="19" spans="2:7" x14ac:dyDescent="0.75">
      <c r="B19" s="74"/>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9"/>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70"/>
    </row>
    <row r="114" spans="2:2" x14ac:dyDescent="0.75">
      <c r="B114" s="72"/>
    </row>
    <row r="115" spans="2:2" x14ac:dyDescent="0.75">
      <c r="B115" s="72"/>
    </row>
    <row r="116" spans="2:2" x14ac:dyDescent="0.75">
      <c r="B116"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647</v>
      </c>
      <c r="I4" s="24" t="str">
        <f>CONCATENATE("Logical: ",B4)</f>
        <v>Logical: SubjectPsEhn</v>
      </c>
    </row>
    <row r="5" spans="1:9" x14ac:dyDescent="0.75">
      <c r="A5" s="17" t="s">
        <v>19</v>
      </c>
      <c r="B5" s="33" t="s">
        <v>12</v>
      </c>
      <c r="I5" s="24" t="str">
        <f>CONCATENATE("Id: ",B5)</f>
        <v>Id: Subject</v>
      </c>
    </row>
    <row r="6" spans="1:9" x14ac:dyDescent="0.75">
      <c r="A6" s="17" t="s">
        <v>13</v>
      </c>
      <c r="B6" s="18" t="s">
        <v>514</v>
      </c>
      <c r="I6" s="25" t="str">
        <f>CONCATENATE("Title: ##34#",B6,"##34#")</f>
        <v>Title: ##34#A1.1, A1.2 - Subject of care##34#</v>
      </c>
    </row>
    <row r="7" spans="1:9" ht="30.25" thickBot="1" x14ac:dyDescent="0.9">
      <c r="A7" s="19" t="s">
        <v>5</v>
      </c>
      <c r="B7" s="46" t="s">
        <v>515</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182</v>
      </c>
      <c r="C8" s="9" t="s">
        <v>190</v>
      </c>
      <c r="D8" s="9" t="s">
        <v>190</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187</v>
      </c>
      <c r="C9" s="9" t="s">
        <v>654</v>
      </c>
      <c r="D9" s="14" t="s">
        <v>673</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184</v>
      </c>
      <c r="C10" s="9" t="s">
        <v>653</v>
      </c>
      <c r="D10" s="98" t="s">
        <v>674</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185</v>
      </c>
      <c r="C11" s="9" t="s">
        <v>720</v>
      </c>
      <c r="D11" s="98" t="s">
        <v>675</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186</v>
      </c>
      <c r="C12" s="9" t="s">
        <v>721</v>
      </c>
      <c r="D12" s="14" t="s">
        <v>676</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188</v>
      </c>
      <c r="C13" s="9" t="s">
        <v>181</v>
      </c>
      <c r="D13" s="14" t="s">
        <v>677</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655</v>
      </c>
      <c r="C14" s="9" t="s">
        <v>688</v>
      </c>
      <c r="D14" s="14" t="s">
        <v>678</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664</v>
      </c>
      <c r="C15" s="97" t="s">
        <v>582</v>
      </c>
      <c r="D15" s="97" t="s">
        <v>679</v>
      </c>
      <c r="E15" s="15">
        <v>0</v>
      </c>
      <c r="F15" s="97" t="s">
        <v>11</v>
      </c>
      <c r="G15" s="9" t="s">
        <v>4</v>
      </c>
      <c r="H15" s="22"/>
      <c r="I15" s="14" t="str">
        <f t="shared" si="0"/>
        <v>* telcomContact 0..* BackboneElement ##34#Address##34# ##334#Address##334#</v>
      </c>
    </row>
    <row r="16" spans="1:9" ht="29.5" x14ac:dyDescent="0.75">
      <c r="A16" s="9">
        <v>9</v>
      </c>
      <c r="B16" s="9" t="s">
        <v>665</v>
      </c>
      <c r="C16" s="97" t="s">
        <v>57</v>
      </c>
      <c r="D16" s="97" t="s">
        <v>57</v>
      </c>
      <c r="E16" s="15">
        <v>0</v>
      </c>
      <c r="F16" s="97" t="s">
        <v>11</v>
      </c>
      <c r="G16" s="9" t="s">
        <v>4</v>
      </c>
      <c r="H16" s="22"/>
      <c r="I16" s="14" t="str">
        <f t="shared" si="0"/>
        <v>* telcomContact.address 0..* BackboneElement ##34#A.1.2.1.1 Street##34# ##334#A.1.2.1.1 Street - Example: Rua dos Campeões##334#</v>
      </c>
    </row>
    <row r="17" spans="1:9" ht="29.5" x14ac:dyDescent="0.75">
      <c r="A17" s="9">
        <v>10</v>
      </c>
      <c r="B17" s="9" t="s">
        <v>666</v>
      </c>
      <c r="C17" s="97" t="s">
        <v>656</v>
      </c>
      <c r="D17" s="97" t="s">
        <v>680</v>
      </c>
      <c r="E17" s="15">
        <v>0</v>
      </c>
      <c r="F17" s="97">
        <v>1</v>
      </c>
      <c r="G17" s="9" t="s">
        <v>3</v>
      </c>
      <c r="H17" s="22"/>
      <c r="I17" s="14" t="str">
        <f t="shared" si="0"/>
        <v>* telcomContact.address.street 0..1 string ##34#A.1.2.1.2 House number##34# ##334#A.1.2.1.2 House number - Example: 246##334#</v>
      </c>
    </row>
    <row r="18" spans="1:9" ht="59" x14ac:dyDescent="0.75">
      <c r="A18" s="9">
        <v>11</v>
      </c>
      <c r="B18" s="9" t="s">
        <v>667</v>
      </c>
      <c r="C18" s="97" t="s">
        <v>657</v>
      </c>
      <c r="D18" s="97" t="s">
        <v>681</v>
      </c>
      <c r="E18" s="15">
        <v>0</v>
      </c>
      <c r="F18" s="97">
        <v>1</v>
      </c>
      <c r="G18" s="9" t="s">
        <v>3</v>
      </c>
      <c r="H18" s="22"/>
      <c r="I18" s="14" t="str">
        <f t="shared" si="0"/>
        <v>* telcomContact.address.houseNumber 0..1 string ##34#A.1.2.1.3 City##34# ##334#A.1.2.1.3 City - Example: Porto##334#</v>
      </c>
    </row>
    <row r="19" spans="1:9" ht="59" x14ac:dyDescent="0.75">
      <c r="A19" s="9">
        <v>12</v>
      </c>
      <c r="B19" s="9" t="s">
        <v>668</v>
      </c>
      <c r="C19" s="97" t="s">
        <v>658</v>
      </c>
      <c r="D19" s="97" t="s">
        <v>682</v>
      </c>
      <c r="E19" s="15">
        <v>0</v>
      </c>
      <c r="F19" s="97">
        <v>1</v>
      </c>
      <c r="G19" s="9" t="s">
        <v>3</v>
      </c>
      <c r="H19" s="22"/>
      <c r="I19" s="14" t="str">
        <f t="shared" si="0"/>
        <v>* telcomContact.address.city 0..1 string ##34#A.1.2.1.4 Post code##34# ##334#A.1.2.1.4 Post code - Example: 4500##334#</v>
      </c>
    </row>
    <row r="20" spans="1:9" ht="59" x14ac:dyDescent="0.75">
      <c r="A20" s="9">
        <v>13</v>
      </c>
      <c r="B20" s="9" t="s">
        <v>710</v>
      </c>
      <c r="C20" s="97" t="s">
        <v>659</v>
      </c>
      <c r="D20" s="97" t="s">
        <v>683</v>
      </c>
      <c r="E20" s="15">
        <v>0</v>
      </c>
      <c r="F20" s="97">
        <v>1</v>
      </c>
      <c r="G20" s="9" t="s">
        <v>3</v>
      </c>
      <c r="H20" s="22"/>
      <c r="I20" s="14" t="str">
        <f t="shared" si="0"/>
        <v>* telcomContact.address.postalCode 0..1 string ##34#A.1.2.1.5 State or province##34# ##334#A.1.2.1.5 State or province - Example: Vila Nova de Gaia##334#</v>
      </c>
    </row>
    <row r="21" spans="1:9" ht="59" x14ac:dyDescent="0.75">
      <c r="A21" s="9">
        <v>14</v>
      </c>
      <c r="B21" s="9" t="s">
        <v>669</v>
      </c>
      <c r="C21" s="97" t="s">
        <v>660</v>
      </c>
      <c r="D21" s="97" t="s">
        <v>684</v>
      </c>
      <c r="E21" s="15">
        <v>0</v>
      </c>
      <c r="F21" s="97">
        <v>1</v>
      </c>
      <c r="G21" s="9" t="s">
        <v>3</v>
      </c>
      <c r="H21" s="22"/>
      <c r="I21" s="14" t="str">
        <f t="shared" si="0"/>
        <v>* telcomContact.address.stateOrProvince 0..1 string ##34#A.1.2.1.6 Country##34# ##334#A.1.2.1.6 Country - Example: PT - Preferred system(s): ISO 3166##334#</v>
      </c>
    </row>
    <row r="22" spans="1:9" ht="59" x14ac:dyDescent="0.75">
      <c r="A22" s="9">
        <v>15</v>
      </c>
      <c r="B22" s="9" t="s">
        <v>670</v>
      </c>
      <c r="C22" s="9" t="s">
        <v>661</v>
      </c>
      <c r="D22" s="97" t="s">
        <v>685</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671</v>
      </c>
      <c r="C23" s="9" t="s">
        <v>662</v>
      </c>
      <c r="D23" s="97" t="s">
        <v>686</v>
      </c>
      <c r="E23" s="15">
        <v>0</v>
      </c>
      <c r="F23" s="9" t="s">
        <v>11</v>
      </c>
      <c r="G23" s="9" t="s">
        <v>191</v>
      </c>
      <c r="H23" s="22"/>
      <c r="I23" s="14" t="str">
        <f t="shared" si="0"/>
        <v>* telcomContact.telephone 0..* ContactPoint ##34#A.1.2.1.8 Email##34# ##334#A.1.2.1.8 Email - Example: jens@bigsmile.eu##334#</v>
      </c>
    </row>
    <row r="24" spans="1:9" ht="59.75" thickBot="1" x14ac:dyDescent="0.9">
      <c r="A24" s="9">
        <v>17</v>
      </c>
      <c r="B24" s="9" t="s">
        <v>672</v>
      </c>
      <c r="C24" s="9" t="s">
        <v>663</v>
      </c>
      <c r="D24" s="97" t="s">
        <v>687</v>
      </c>
      <c r="E24" s="15">
        <v>0</v>
      </c>
      <c r="F24" s="9" t="s">
        <v>11</v>
      </c>
      <c r="G24" s="9" t="s">
        <v>191</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757</v>
      </c>
      <c r="C25" s="9" t="s">
        <v>731</v>
      </c>
      <c r="D25" s="100" t="s">
        <v>607</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758</v>
      </c>
      <c r="C26" s="9" t="s">
        <v>732</v>
      </c>
      <c r="D26" s="83" t="s">
        <v>739</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759</v>
      </c>
      <c r="C27" s="9" t="s">
        <v>733</v>
      </c>
      <c r="D27" s="85" t="s">
        <v>740</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760</v>
      </c>
      <c r="C28" s="9" t="s">
        <v>734</v>
      </c>
      <c r="D28" s="85" t="s">
        <v>741</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761</v>
      </c>
      <c r="C29" s="9" t="s">
        <v>735</v>
      </c>
      <c r="D29" s="85" t="s">
        <v>742</v>
      </c>
      <c r="E29" s="15">
        <v>0</v>
      </c>
      <c r="F29" s="9" t="s">
        <v>11</v>
      </c>
      <c r="G29" s="9" t="s">
        <v>191</v>
      </c>
      <c r="H29" s="22"/>
      <c r="I29" s="14" t="str">
        <f t="shared" si="0"/>
        <v>* hpToContact.telephone 0..* ContactPoint ##34#A.1.2.2.5 Email##34# ##334#A.1.2.2.5 Email - Email of the HP/legal organisation##334#</v>
      </c>
    </row>
    <row r="30" spans="1:9" ht="45" thickBot="1" x14ac:dyDescent="0.9">
      <c r="A30" s="9">
        <v>23</v>
      </c>
      <c r="B30" s="9" t="s">
        <v>762</v>
      </c>
      <c r="C30" s="9" t="s">
        <v>736</v>
      </c>
      <c r="D30" s="85" t="s">
        <v>743</v>
      </c>
      <c r="E30" s="15">
        <v>0</v>
      </c>
      <c r="F30" s="9" t="s">
        <v>11</v>
      </c>
      <c r="G30" s="9" t="s">
        <v>191</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763</v>
      </c>
      <c r="C31" s="9" t="s">
        <v>737</v>
      </c>
      <c r="D31" s="85" t="s">
        <v>744</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764</v>
      </c>
      <c r="C32" s="9" t="s">
        <v>738</v>
      </c>
      <c r="D32" s="85" t="s">
        <v>745</v>
      </c>
      <c r="E32" s="15">
        <v>0</v>
      </c>
      <c r="F32" s="9" t="s">
        <v>11</v>
      </c>
      <c r="G32" s="9" t="s">
        <v>746</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765</v>
      </c>
      <c r="C33" s="9" t="s">
        <v>747</v>
      </c>
      <c r="D33" s="85" t="s">
        <v>754</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771</v>
      </c>
      <c r="C34" s="9" t="s">
        <v>748</v>
      </c>
      <c r="D34" s="85" t="s">
        <v>755</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3" t="s">
        <v>772</v>
      </c>
      <c r="C35" s="53" t="s">
        <v>749</v>
      </c>
      <c r="D35" s="85" t="s">
        <v>756</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773</v>
      </c>
      <c r="C36" s="9" t="s">
        <v>750</v>
      </c>
      <c r="D36" s="85" t="s">
        <v>766</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774</v>
      </c>
      <c r="C37" s="53" t="s">
        <v>751</v>
      </c>
      <c r="D37" s="40" t="s">
        <v>768</v>
      </c>
      <c r="E37" s="15">
        <v>0</v>
      </c>
      <c r="F37" s="9" t="s">
        <v>11</v>
      </c>
      <c r="G37" s="53" t="s">
        <v>3</v>
      </c>
      <c r="H37" s="22"/>
      <c r="I37" s="14" t="str">
        <f t="shared" si="0"/>
        <v>* contactPerson.familyName 0..* string ##34#A.1.2.3.5 Telephone no.##34# ##334#A.1.2.3.5 Telephone no. - Example: +45 20 7025 6161##334#</v>
      </c>
    </row>
    <row r="38" spans="1:11" ht="30.25" thickBot="1" x14ac:dyDescent="0.9">
      <c r="A38" s="9">
        <v>31</v>
      </c>
      <c r="B38" s="53" t="s">
        <v>775</v>
      </c>
      <c r="C38" s="53" t="s">
        <v>752</v>
      </c>
      <c r="D38" s="85" t="s">
        <v>769</v>
      </c>
      <c r="E38" s="15">
        <v>0</v>
      </c>
      <c r="F38" s="9" t="s">
        <v>11</v>
      </c>
      <c r="G38" s="53" t="s">
        <v>191</v>
      </c>
      <c r="H38" s="22"/>
      <c r="I38" s="14" t="str">
        <f t="shared" si="0"/>
        <v>* contactPerson.telephone 0..* ContactPoint ##34#A.1.2.3.6 Email##34# ##334#A.1.2.3.6 Email - Email of the contact person/legal guardian##334#</v>
      </c>
    </row>
    <row r="39" spans="1:11" ht="15.5" thickBot="1" x14ac:dyDescent="0.9">
      <c r="A39" s="9">
        <v>32</v>
      </c>
      <c r="B39" s="9" t="s">
        <v>776</v>
      </c>
      <c r="C39" s="9" t="s">
        <v>753</v>
      </c>
      <c r="D39" s="85" t="s">
        <v>770</v>
      </c>
      <c r="E39" s="15">
        <v>0</v>
      </c>
      <c r="F39" s="9" t="s">
        <v>11</v>
      </c>
      <c r="G39" s="9" t="s">
        <v>191</v>
      </c>
      <c r="H39" s="22"/>
      <c r="I39" s="14" t="str">
        <f t="shared" si="0"/>
        <v>* contactPerson.email 0..* ContactPoint ##34###34# ##334###334#</v>
      </c>
      <c r="J39" s="15"/>
      <c r="K39" s="9"/>
    </row>
    <row r="40" spans="1:11" ht="15.5" thickBot="1" x14ac:dyDescent="0.9">
      <c r="A40" s="9"/>
      <c r="B40" s="53"/>
      <c r="C40" s="53"/>
      <c r="D40" s="85"/>
      <c r="E40" s="53"/>
      <c r="F40" s="53"/>
      <c r="G40" s="53"/>
      <c r="H40" s="22"/>
      <c r="I40" s="14" t="str">
        <f>CONCATENATE("* ",B40, " ",E40,"..",F40," ",G40," ##34#",C41,"##34# ##334#",D41,"##334#")</f>
        <v>*  ..  ##34###34# ##334###334#</v>
      </c>
    </row>
    <row r="41" spans="1:11" x14ac:dyDescent="0.75">
      <c r="A41" s="9"/>
      <c r="B41" s="53"/>
      <c r="C41" s="53"/>
      <c r="D41" s="101"/>
      <c r="E41" s="53"/>
      <c r="F41" s="53"/>
      <c r="G41" s="53"/>
      <c r="H41" s="22"/>
      <c r="I41" s="14" t="str">
        <f t="shared" si="0"/>
        <v>*  ..  ##34###34# ##334###334#</v>
      </c>
    </row>
    <row r="42" spans="1:11" x14ac:dyDescent="0.75">
      <c r="A42" s="9"/>
      <c r="B42" s="53"/>
      <c r="C42" s="53"/>
      <c r="D42" s="101"/>
      <c r="E42" s="53"/>
      <c r="F42" s="53"/>
      <c r="G42" s="53"/>
      <c r="H42" s="22"/>
      <c r="I42" s="14" t="str">
        <f t="shared" si="0"/>
        <v>*  ..  ##34###34# ##334###334#</v>
      </c>
    </row>
    <row r="43" spans="1:11" x14ac:dyDescent="0.75">
      <c r="A43" s="9"/>
      <c r="B43" s="53"/>
      <c r="C43" s="53"/>
      <c r="D43" s="101"/>
      <c r="E43" s="53"/>
      <c r="F43" s="53"/>
      <c r="G43" s="53"/>
      <c r="H43" s="22"/>
      <c r="I43" s="14" t="str">
        <f t="shared" si="0"/>
        <v>*  ..  ##34###34# ##334###334#</v>
      </c>
    </row>
    <row r="44" spans="1:11" x14ac:dyDescent="0.75">
      <c r="A44" s="9"/>
      <c r="B44" s="53"/>
      <c r="C44" s="53"/>
      <c r="D44" s="101"/>
      <c r="E44" s="53"/>
      <c r="F44" s="53"/>
      <c r="G44" s="53"/>
      <c r="H44" s="22"/>
      <c r="I44" s="14"/>
    </row>
    <row r="45" spans="1:11" x14ac:dyDescent="0.75">
      <c r="A45" s="9"/>
      <c r="B45" s="53"/>
      <c r="C45" s="53"/>
      <c r="D45" s="101"/>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30" t="s">
        <v>627</v>
      </c>
      <c r="D52" s="131"/>
      <c r="E52" s="131"/>
      <c r="F52" s="132"/>
      <c r="I52"/>
    </row>
    <row r="53" spans="1:9" ht="133.5" thickBot="1" x14ac:dyDescent="0.9">
      <c r="B53" t="str">
        <f t="shared" si="1"/>
        <v>A.1.2.3.1 Role of that person</v>
      </c>
      <c r="C53" s="82" t="s">
        <v>628</v>
      </c>
      <c r="D53" s="83" t="s">
        <v>629</v>
      </c>
      <c r="E53" s="83" t="s">
        <v>630</v>
      </c>
      <c r="F53" s="83" t="s">
        <v>631</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4" t="s">
        <v>632</v>
      </c>
      <c r="D54" s="85" t="s">
        <v>633</v>
      </c>
      <c r="E54" s="85" t="s">
        <v>634</v>
      </c>
      <c r="F54" s="85"/>
      <c r="I54" s="1" t="str">
        <f t="shared" si="2"/>
        <v xml:space="preserve">Relationship type with the patient (e.g. father, wife, daughter) HL7 RoleCode - Preferred system(s): </v>
      </c>
    </row>
    <row r="55" spans="1:9" ht="30.25" customHeight="1" thickBot="1" x14ac:dyDescent="0.9">
      <c r="B55" t="str">
        <f t="shared" si="1"/>
        <v>A.1.2.3.3 Given name</v>
      </c>
      <c r="C55" s="84" t="s">
        <v>635</v>
      </c>
      <c r="D55" s="85" t="s">
        <v>636</v>
      </c>
      <c r="E55" s="85" t="s">
        <v>637</v>
      </c>
      <c r="F55" s="85"/>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99" t="s">
        <v>638</v>
      </c>
      <c r="D56" s="99" t="s">
        <v>44</v>
      </c>
      <c r="E56" s="40" t="s">
        <v>767</v>
      </c>
      <c r="F56" s="99"/>
      <c r="I56" s="1" t="str">
        <f t="shared" si="2"/>
        <v xml:space="preserve">This field can contain more than one element.
Example: Español Smith - Preferred system(s): </v>
      </c>
    </row>
    <row r="57" spans="1:9" ht="45" customHeight="1" thickBot="1" x14ac:dyDescent="0.9">
      <c r="B57" t="str">
        <f t="shared" si="1"/>
        <v>A.1.2.3.5 Telephone no.</v>
      </c>
      <c r="C57" s="84" t="s">
        <v>641</v>
      </c>
      <c r="D57" s="85" t="s">
        <v>601</v>
      </c>
      <c r="E57" s="85" t="s">
        <v>618</v>
      </c>
      <c r="F57" s="85"/>
      <c r="I57" s="1" t="str">
        <f t="shared" si="2"/>
        <v xml:space="preserve">Example: +45 20 7025 6161 - Preferred system(s): </v>
      </c>
    </row>
    <row r="58" spans="1:9" ht="29.5" customHeight="1" thickBot="1" x14ac:dyDescent="0.9">
      <c r="B58" t="str">
        <f t="shared" si="1"/>
        <v>A.1.2.3.6 Email</v>
      </c>
      <c r="C58" s="84" t="s">
        <v>642</v>
      </c>
      <c r="D58" s="85" t="s">
        <v>604</v>
      </c>
      <c r="E58" s="85" t="s">
        <v>643</v>
      </c>
      <c r="F58" s="85"/>
      <c r="I58" s="1" t="str">
        <f t="shared" si="2"/>
        <v xml:space="preserve">Email of the contact person/legal guardian - Preferred system(s): </v>
      </c>
    </row>
    <row r="59" spans="1:9" ht="14.75" customHeight="1" thickBot="1" x14ac:dyDescent="0.9">
      <c r="C59" s="84"/>
      <c r="D59" s="85"/>
      <c r="E59" s="85"/>
      <c r="F59" s="85"/>
      <c r="I59" s="1" t="str">
        <f t="shared" si="2"/>
        <v xml:space="preserve"> - Preferred system(s): </v>
      </c>
    </row>
    <row r="60" spans="1:9" ht="30.25" customHeight="1" thickBot="1" x14ac:dyDescent="0.9">
      <c r="B60" t="str">
        <f t="shared" si="1"/>
        <v xml:space="preserve"> </v>
      </c>
      <c r="C60" s="84"/>
      <c r="D60" s="85"/>
      <c r="E60" s="85"/>
      <c r="F60" s="85"/>
      <c r="I60" s="1" t="str">
        <f t="shared" si="2"/>
        <v xml:space="preserve"> - Preferred system(s): </v>
      </c>
    </row>
    <row r="61" spans="1:9" ht="15.5" thickBot="1" x14ac:dyDescent="0.9">
      <c r="B61" t="str">
        <f t="shared" si="1"/>
        <v xml:space="preserve"> </v>
      </c>
      <c r="C61" s="84"/>
      <c r="D61" s="85"/>
      <c r="E61" s="85"/>
      <c r="F61" s="85"/>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693</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189</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1118</v>
      </c>
      <c r="D3" s="66" t="s">
        <v>391</v>
      </c>
      <c r="E3" s="141" t="s">
        <v>718</v>
      </c>
      <c r="F3" s="141"/>
      <c r="G3" s="141"/>
    </row>
    <row r="4" spans="1:19" x14ac:dyDescent="0.75">
      <c r="B4" s="66" t="s">
        <v>19</v>
      </c>
      <c r="C4" s="49" t="s">
        <v>785</v>
      </c>
      <c r="D4" s="66" t="s">
        <v>392</v>
      </c>
      <c r="E4" s="142" t="s">
        <v>719</v>
      </c>
      <c r="F4" s="141"/>
      <c r="G4" s="141"/>
    </row>
    <row r="5" spans="1:19" x14ac:dyDescent="0.75">
      <c r="B5" s="66" t="s">
        <v>13</v>
      </c>
      <c r="C5" s="10" t="s">
        <v>407</v>
      </c>
      <c r="D5" s="66"/>
      <c r="E5" s="10"/>
    </row>
    <row r="6" spans="1:19" x14ac:dyDescent="0.75">
      <c r="B6" s="66" t="s">
        <v>35</v>
      </c>
      <c r="C6" s="65" t="s">
        <v>718</v>
      </c>
      <c r="D6" s="66" t="s">
        <v>389</v>
      </c>
      <c r="E6" s="141" t="s">
        <v>718</v>
      </c>
      <c r="F6" s="141"/>
      <c r="G6" s="141"/>
    </row>
    <row r="7" spans="1:19" x14ac:dyDescent="0.75">
      <c r="B7" s="66" t="s">
        <v>18</v>
      </c>
      <c r="C7" s="65" t="s">
        <v>719</v>
      </c>
      <c r="D7" s="66" t="s">
        <v>390</v>
      </c>
      <c r="E7" s="142" t="s">
        <v>719</v>
      </c>
      <c r="F7" s="141"/>
      <c r="G7" s="141"/>
    </row>
    <row r="8" spans="1:19" ht="44.25" x14ac:dyDescent="0.75">
      <c r="B8" s="66" t="s">
        <v>387</v>
      </c>
      <c r="C8" s="10" t="s">
        <v>408</v>
      </c>
      <c r="D8" s="66"/>
      <c r="E8"/>
      <c r="I8" s="14" t="s">
        <v>364</v>
      </c>
      <c r="J8" s="14" t="s">
        <v>365</v>
      </c>
      <c r="K8" s="14" t="s">
        <v>366</v>
      </c>
      <c r="L8" s="14" t="s">
        <v>367</v>
      </c>
      <c r="M8" s="9" t="s">
        <v>368</v>
      </c>
      <c r="P8" s="62" t="s">
        <v>369</v>
      </c>
      <c r="Q8" s="62">
        <v>6</v>
      </c>
    </row>
    <row r="9" spans="1:19" ht="29.5" x14ac:dyDescent="0.75">
      <c r="B9" s="66" t="s">
        <v>388</v>
      </c>
      <c r="C9" s="1" t="s">
        <v>722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Subj!B5</f>
        <v>Subject</v>
      </c>
      <c r="C14" s="9"/>
      <c r="D14" s="4" t="s">
        <v>17</v>
      </c>
      <c r="E14" s="8"/>
      <c r="F14" s="9"/>
      <c r="G14" s="9"/>
      <c r="I14" s="14"/>
      <c r="J14" s="9"/>
      <c r="K14" s="9"/>
      <c r="L14" s="9"/>
      <c r="M14" s="64"/>
      <c r="N14" s="67"/>
    </row>
    <row r="15" spans="1:19" ht="44.25" x14ac:dyDescent="0.75">
      <c r="A15" s="22"/>
      <c r="B15" s="9" t="str">
        <f>Subj!B8</f>
        <v>identification</v>
      </c>
      <c r="C15" s="9" t="str">
        <f>Subj!C8</f>
        <v>A.1.1 Identification of the patient/subject</v>
      </c>
      <c r="D15" s="9" t="s">
        <v>17</v>
      </c>
      <c r="E15" s="56"/>
      <c r="F15" s="68" t="s">
        <v>376</v>
      </c>
      <c r="G15" s="68"/>
      <c r="H15" s="69"/>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212</v>
      </c>
      <c r="E16" s="9"/>
      <c r="F16" s="68" t="s">
        <v>375</v>
      </c>
      <c r="G16" s="68"/>
      <c r="H16" s="69"/>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400</v>
      </c>
      <c r="E17" s="9"/>
      <c r="F17" s="68" t="s">
        <v>375</v>
      </c>
      <c r="G17" s="68"/>
      <c r="H17" s="69"/>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401</v>
      </c>
      <c r="E18" s="9"/>
      <c r="F18" s="68" t="s">
        <v>375</v>
      </c>
      <c r="G18" s="68"/>
      <c r="H18" s="69"/>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402</v>
      </c>
      <c r="E19" s="9"/>
      <c r="F19" s="68" t="s">
        <v>375</v>
      </c>
      <c r="G19" s="68"/>
      <c r="H19" s="69"/>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403</v>
      </c>
      <c r="E20" s="9"/>
      <c r="F20" s="68" t="s">
        <v>375</v>
      </c>
      <c r="G20" s="68"/>
      <c r="H20" s="69"/>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704</v>
      </c>
      <c r="E21" s="9"/>
      <c r="F21" s="68" t="s">
        <v>376</v>
      </c>
      <c r="G21" s="75" t="s">
        <v>717</v>
      </c>
      <c r="H21" s="69"/>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8" t="s">
        <v>376</v>
      </c>
      <c r="G22" s="76"/>
      <c r="H22" s="69"/>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404</v>
      </c>
      <c r="E23" s="14"/>
      <c r="F23" s="68" t="s">
        <v>375</v>
      </c>
      <c r="G23" s="68"/>
      <c r="H23" s="69"/>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702</v>
      </c>
      <c r="E24" s="14"/>
      <c r="F24" s="68" t="s">
        <v>376</v>
      </c>
      <c r="G24" s="68"/>
      <c r="H24" s="69"/>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707</v>
      </c>
      <c r="E25" s="14"/>
      <c r="F25" s="68" t="s">
        <v>375</v>
      </c>
      <c r="G25" t="s">
        <v>705</v>
      </c>
      <c r="H25" s="69"/>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708</v>
      </c>
      <c r="E26" s="14"/>
      <c r="F26" s="68" t="s">
        <v>375</v>
      </c>
      <c r="G26" t="s">
        <v>706</v>
      </c>
      <c r="H26" s="69"/>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703</v>
      </c>
      <c r="E27" s="14"/>
      <c r="F27" s="68" t="s">
        <v>375</v>
      </c>
      <c r="G27" s="68"/>
      <c r="H27" s="69"/>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709</v>
      </c>
      <c r="E28" s="14"/>
      <c r="F28" s="68" t="s">
        <v>375</v>
      </c>
      <c r="G28" s="68"/>
      <c r="H28" s="69"/>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711</v>
      </c>
      <c r="E29" s="14"/>
      <c r="F29" s="68" t="s">
        <v>375</v>
      </c>
      <c r="G29" s="68"/>
      <c r="H29" s="69"/>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704</v>
      </c>
      <c r="E30" s="14"/>
      <c r="F30" s="68" t="s">
        <v>375</v>
      </c>
      <c r="G30" s="68" t="s">
        <v>713</v>
      </c>
      <c r="H30" s="69"/>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712</v>
      </c>
      <c r="E31" s="14"/>
      <c r="F31" s="68" t="s">
        <v>375</v>
      </c>
      <c r="G31" s="75" t="s">
        <v>714</v>
      </c>
      <c r="H31" s="69"/>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405</v>
      </c>
      <c r="E32" s="14"/>
      <c r="F32" s="68" t="s">
        <v>375</v>
      </c>
      <c r="G32" s="68" t="s">
        <v>715</v>
      </c>
      <c r="H32" s="69"/>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405</v>
      </c>
      <c r="E33" s="14"/>
      <c r="F33" s="68" t="s">
        <v>375</v>
      </c>
      <c r="G33" s="68" t="s">
        <v>716</v>
      </c>
      <c r="H33" s="69"/>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8" t="s">
        <v>377</v>
      </c>
      <c r="G34" s="102" t="s">
        <v>777</v>
      </c>
      <c r="H34" s="69"/>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8" t="s">
        <v>377</v>
      </c>
      <c r="G35" s="102" t="s">
        <v>777</v>
      </c>
      <c r="H35" s="69"/>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8" t="s">
        <v>377</v>
      </c>
      <c r="G36" s="102" t="s">
        <v>777</v>
      </c>
      <c r="H36" s="69"/>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8" t="s">
        <v>377</v>
      </c>
      <c r="G37" s="102" t="s">
        <v>777</v>
      </c>
      <c r="H37" s="69"/>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8" t="s">
        <v>377</v>
      </c>
      <c r="G38" s="102" t="s">
        <v>777</v>
      </c>
      <c r="H38" s="69"/>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8" t="s">
        <v>377</v>
      </c>
      <c r="G39" s="102" t="s">
        <v>777</v>
      </c>
      <c r="H39" s="69"/>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8" t="s">
        <v>377</v>
      </c>
      <c r="G40" s="102" t="s">
        <v>777</v>
      </c>
      <c r="H40" s="69"/>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8" t="s">
        <v>377</v>
      </c>
      <c r="G41" s="102" t="s">
        <v>777</v>
      </c>
      <c r="H41" s="69"/>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778</v>
      </c>
      <c r="E42" s="14"/>
      <c r="F42" s="68" t="s">
        <v>375</v>
      </c>
      <c r="G42" s="68"/>
      <c r="H42" s="69"/>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779</v>
      </c>
      <c r="E43" s="14"/>
      <c r="F43" s="68" t="s">
        <v>376</v>
      </c>
      <c r="G43" s="102" t="s">
        <v>783</v>
      </c>
      <c r="H43" s="69"/>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779</v>
      </c>
      <c r="E44" s="14"/>
      <c r="F44" s="68" t="s">
        <v>375</v>
      </c>
      <c r="G44" s="68"/>
      <c r="H44" s="69"/>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780</v>
      </c>
      <c r="E45" s="14"/>
      <c r="F45" s="68" t="s">
        <v>375</v>
      </c>
      <c r="G45" s="68"/>
      <c r="H45" s="69"/>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781</v>
      </c>
      <c r="E46" s="14"/>
      <c r="F46" s="68" t="s">
        <v>375</v>
      </c>
      <c r="G46" s="68"/>
      <c r="H46" s="69"/>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782</v>
      </c>
      <c r="E47" s="14"/>
      <c r="F47" s="68" t="s">
        <v>375</v>
      </c>
      <c r="G47" s="68"/>
      <c r="H47" s="69"/>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782</v>
      </c>
      <c r="E48" s="14"/>
      <c r="F48" s="68" t="s">
        <v>375</v>
      </c>
      <c r="G48" s="68"/>
      <c r="H48" s="69"/>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69"/>
      <c r="G49" s="69"/>
      <c r="H49" s="69"/>
      <c r="I49" s="69"/>
      <c r="J49" s="69"/>
      <c r="K49" s="69"/>
      <c r="L49" s="69"/>
      <c r="M49" s="69"/>
      <c r="N49" s="69"/>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9"/>
      <c r="G50" s="69"/>
      <c r="H50" s="69"/>
      <c r="I50" s="69"/>
      <c r="J50" s="69"/>
      <c r="K50" s="69"/>
      <c r="L50" s="69"/>
      <c r="M50" s="69"/>
      <c r="N50" s="69"/>
      <c r="P50" s="9">
        <v>36</v>
      </c>
      <c r="Q50" s="9">
        <f t="shared" si="9"/>
        <v>5</v>
      </c>
      <c r="R50" s="9">
        <f t="shared" si="10"/>
        <v>6</v>
      </c>
      <c r="S50" s="14" t="str" cm="1">
        <f t="array" ref="S50">INDEX('Subj-ConceptMap-1'!$I$15:$N$212,Q50+1,R50)</f>
        <v/>
      </c>
    </row>
    <row r="51" spans="1:19" x14ac:dyDescent="0.75">
      <c r="B51" s="9">
        <f>Subj!B42</f>
        <v>0</v>
      </c>
      <c r="C51" s="9">
        <f>Subj!C42</f>
        <v>0</v>
      </c>
      <c r="F51" s="69"/>
      <c r="G51" s="69"/>
      <c r="H51" s="69"/>
      <c r="J51" s="69"/>
      <c r="K51" s="69"/>
      <c r="L51" s="69"/>
      <c r="M51" s="69"/>
      <c r="N51" s="69"/>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9"/>
      <c r="G52" s="69"/>
      <c r="H52" s="69"/>
      <c r="J52" s="69"/>
      <c r="K52" s="69"/>
      <c r="L52" s="69"/>
      <c r="M52" s="69"/>
      <c r="N52" s="69"/>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9"/>
      <c r="G53" s="69"/>
      <c r="H53" s="69"/>
      <c r="J53" s="69"/>
      <c r="K53" s="69"/>
      <c r="L53" s="69"/>
      <c r="M53" s="69"/>
      <c r="N53" s="69"/>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9"/>
      <c r="G54" s="69"/>
      <c r="H54" s="69"/>
      <c r="J54" s="69"/>
      <c r="K54" s="69"/>
      <c r="L54" s="69"/>
      <c r="M54" s="69"/>
      <c r="N54" s="69"/>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406</v>
      </c>
    </row>
    <row r="3" spans="2:7" x14ac:dyDescent="0.75">
      <c r="B3" s="32" t="s">
        <v>37</v>
      </c>
    </row>
    <row r="4" spans="2:7" x14ac:dyDescent="0.75">
      <c r="B4" s="70" t="str">
        <f>"Instance: "&amp;'Subj-ConceptMap-1'!C4</f>
        <v>Instance: subject2FHIR-eu-ps</v>
      </c>
    </row>
    <row r="5" spans="2:7" x14ac:dyDescent="0.75">
      <c r="B5" s="70" t="s">
        <v>379</v>
      </c>
    </row>
    <row r="6" spans="2:7" x14ac:dyDescent="0.75">
      <c r="B6" s="70" t="s">
        <v>380</v>
      </c>
    </row>
    <row r="7" spans="2:7" x14ac:dyDescent="0.75">
      <c r="B7" s="70" t="s">
        <v>386</v>
      </c>
    </row>
    <row r="8" spans="2:7" x14ac:dyDescent="0.75">
      <c r="B8" s="70" t="str">
        <f>"* name = ##34#"&amp;'Subj-ConceptMap-1'!C3&amp;"##34#"</f>
        <v>* name = ##34#PatientSummarySubject2Fhir##34#</v>
      </c>
    </row>
    <row r="9" spans="2:7" x14ac:dyDescent="0.75">
      <c r="B9" s="70" t="str">
        <f>"* title = ##34#"&amp;'Subj-ConceptMap-1'!C5&amp;"##34#"</f>
        <v>* title = ##34#eHN Subject to this guide Map##34#</v>
      </c>
    </row>
    <row r="10" spans="2:7" x14ac:dyDescent="0.75">
      <c r="B10" s="70" t="s">
        <v>381</v>
      </c>
    </row>
    <row r="11" spans="2:7" x14ac:dyDescent="0.75">
      <c r="B11" s="70" t="s">
        <v>382</v>
      </c>
    </row>
    <row r="12" spans="2:7" x14ac:dyDescent="0.75">
      <c r="B12" s="70" t="str">
        <f>"* description = ##34#"&amp;'Subj-ConceptMap-1'!C8&amp;"##34#"</f>
        <v>* description = ##34#eHN Subject Model to this guide Map##34#</v>
      </c>
    </row>
    <row r="13" spans="2:7" x14ac:dyDescent="0.75">
      <c r="B13" s="70" t="str">
        <f>"* purpose = ##34#"&amp;'Subj-ConceptMap-1'!C9&amp;"##34#"</f>
        <v>* purpose = ##34#It shows how the Patient Summary Subject data set defined by the EU eHN guidelines is mapped into this guide##34#</v>
      </c>
    </row>
    <row r="14" spans="2:7" x14ac:dyDescent="0.75">
      <c r="B14" s="71" t="str">
        <f>"* sourceUri = ##34#"&amp;'Subj-ConceptMap-1'!E3&amp;"##34#"</f>
        <v>* sourceUri = ##34#http://hl7.eu/fhir/ig/xpandh/ps/StructureDefinition/Subject##34#</v>
      </c>
    </row>
    <row r="15" spans="2:7" x14ac:dyDescent="0.75">
      <c r="B15" s="71" t="str">
        <f>"* targetUri = ##34#"&amp;'Subj-ConceptMap-1'!E4&amp;"##34#"</f>
        <v>* targetUri = ##34#http://hl7.eu/fhir/ig/xpandh/ps/StructureDefinition/Patient-ps-xpandh##34#</v>
      </c>
    </row>
    <row r="16" spans="2:7" x14ac:dyDescent="0.75">
      <c r="B16" s="70"/>
    </row>
    <row r="17" spans="2:7" x14ac:dyDescent="0.75">
      <c r="B17" s="72" t="str">
        <f>"* group[+].source = ##34#"&amp;'Subj-ConceptMap-1'!E6&amp;"##34#"</f>
        <v>* group[+].source = ##34#http://hl7.eu/fhir/ig/xpandh/ps/StructureDefinition/Subject##34#</v>
      </c>
    </row>
    <row r="18" spans="2:7" x14ac:dyDescent="0.75">
      <c r="B18" s="72" t="str">
        <f>"* group[=].target = ##34#"&amp;'Subj-ConceptMap-1'!E7&amp;"##34#"</f>
        <v>* group[=].target = ##34#http://hl7.eu/fhir/ig/xpandh/ps/StructureDefinition/Patient-ps-xpandh##34#</v>
      </c>
    </row>
    <row r="19" spans="2:7" x14ac:dyDescent="0.75">
      <c r="B19" s="74"/>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9"/>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648</v>
      </c>
      <c r="I4" s="24" t="str">
        <f>CONCATENATE("Logical: ",B4)</f>
        <v>Logical: PayerPsEhn</v>
      </c>
    </row>
    <row r="5" spans="1:11" x14ac:dyDescent="0.75">
      <c r="A5" s="17" t="s">
        <v>19</v>
      </c>
      <c r="B5" s="33" t="s">
        <v>211</v>
      </c>
      <c r="I5" s="24" t="str">
        <f>CONCATENATE("Id: ",B5)</f>
        <v>Id: Payer</v>
      </c>
    </row>
    <row r="6" spans="1:11" x14ac:dyDescent="0.75">
      <c r="A6" s="17" t="s">
        <v>13</v>
      </c>
      <c r="B6" s="18" t="s">
        <v>522</v>
      </c>
      <c r="I6" s="25" t="str">
        <f>CONCATENATE("Title: ##34#",B6,"##34#")</f>
        <v>Title: ##34#A.1.3 - Health insurance and payment information##34#</v>
      </c>
    </row>
    <row r="7" spans="1:11" ht="15.5" customHeight="1" thickBot="1" x14ac:dyDescent="0.9">
      <c r="A7" s="19" t="s">
        <v>5</v>
      </c>
      <c r="B7" s="20" t="s">
        <v>516</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201</v>
      </c>
      <c r="C8" t="s">
        <v>197</v>
      </c>
      <c r="D8" s="14" t="s">
        <v>224</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205</v>
      </c>
      <c r="C9" t="s">
        <v>198</v>
      </c>
      <c r="D9" s="14" t="s">
        <v>202</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206</v>
      </c>
      <c r="C10" t="s">
        <v>199</v>
      </c>
      <c r="D10" s="14" t="s">
        <v>203</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207</v>
      </c>
      <c r="C11" t="s">
        <v>200</v>
      </c>
      <c r="D11" s="14" t="s">
        <v>204</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30" t="s">
        <v>193</v>
      </c>
      <c r="D23" s="131"/>
      <c r="E23" s="131"/>
      <c r="F23" s="132"/>
      <c r="I23"/>
    </row>
    <row r="24" spans="2:9" ht="400.75" thickBot="1" x14ac:dyDescent="0.9">
      <c r="B24" t="str">
        <f t="shared" si="1"/>
        <v>A.1.3.1 Health insurance information</v>
      </c>
      <c r="C24" s="35" t="s">
        <v>60</v>
      </c>
      <c r="D24" s="38" t="s">
        <v>61</v>
      </c>
      <c r="E24" s="36" t="s">
        <v>225</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209</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210</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694</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322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327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328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323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324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326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325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695</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189</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423</v>
      </c>
      <c r="D3" s="66" t="s">
        <v>391</v>
      </c>
      <c r="E3" s="142" t="s">
        <v>1182</v>
      </c>
      <c r="F3" s="141"/>
      <c r="G3" s="141"/>
    </row>
    <row r="4" spans="1:19" x14ac:dyDescent="0.75">
      <c r="B4" s="66" t="s">
        <v>19</v>
      </c>
      <c r="C4" s="49" t="s">
        <v>786</v>
      </c>
      <c r="D4" s="66" t="s">
        <v>392</v>
      </c>
      <c r="E4" s="142" t="s">
        <v>1179</v>
      </c>
      <c r="F4" s="141"/>
      <c r="G4" s="141"/>
    </row>
    <row r="5" spans="1:19" x14ac:dyDescent="0.75">
      <c r="B5" s="66" t="s">
        <v>13</v>
      </c>
      <c r="C5" s="10" t="s">
        <v>411</v>
      </c>
      <c r="D5" s="66"/>
      <c r="E5" s="10"/>
    </row>
    <row r="6" spans="1:19" x14ac:dyDescent="0.75">
      <c r="B6" s="66" t="s">
        <v>35</v>
      </c>
      <c r="C6" s="65" t="s">
        <v>1178</v>
      </c>
      <c r="D6" s="66" t="s">
        <v>389</v>
      </c>
      <c r="E6" s="142" t="s">
        <v>1182</v>
      </c>
      <c r="F6" s="141"/>
      <c r="G6" s="141"/>
    </row>
    <row r="7" spans="1:19" x14ac:dyDescent="0.75">
      <c r="B7" s="66" t="s">
        <v>18</v>
      </c>
      <c r="C7" s="73" t="s">
        <v>810</v>
      </c>
      <c r="D7" s="66" t="s">
        <v>390</v>
      </c>
      <c r="E7" s="142" t="s">
        <v>1183</v>
      </c>
      <c r="F7" s="141"/>
      <c r="G7" s="141"/>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726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425</v>
      </c>
      <c r="E14" s="8"/>
      <c r="F14" s="9"/>
      <c r="G14" s="9" t="s">
        <v>468</v>
      </c>
      <c r="I14" s="14"/>
      <c r="J14" s="9"/>
      <c r="K14" s="9"/>
      <c r="L14" s="9"/>
      <c r="M14" s="64"/>
      <c r="N14" s="67"/>
    </row>
    <row r="15" spans="1:19" ht="73.75" x14ac:dyDescent="0.75">
      <c r="A15" s="22"/>
      <c r="B15" s="9" t="str">
        <f>'A1.3 Payer'!B8</f>
        <v>insurance</v>
      </c>
      <c r="C15" s="9" t="str">
        <f>'A1.3 Payer'!C8</f>
        <v>A.1.3.1 Health insurance information</v>
      </c>
      <c r="D15" s="14" t="s">
        <v>201</v>
      </c>
      <c r="E15" s="56"/>
      <c r="F15" s="68" t="s">
        <v>376</v>
      </c>
      <c r="G15" s="9" t="s">
        <v>560</v>
      </c>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201</v>
      </c>
      <c r="E16" s="9"/>
      <c r="F16" s="68" t="s">
        <v>376</v>
      </c>
      <c r="G16" s="9" t="s">
        <v>561</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201</v>
      </c>
      <c r="E17" s="9"/>
      <c r="F17" s="68" t="s">
        <v>376</v>
      </c>
      <c r="G17" s="9" t="s">
        <v>561</v>
      </c>
      <c r="H17" s="69"/>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201</v>
      </c>
      <c r="E18" s="9"/>
      <c r="F18" s="68" t="s">
        <v>376</v>
      </c>
      <c r="G18" s="9" t="s">
        <v>561</v>
      </c>
      <c r="H18" s="69"/>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8"/>
      <c r="G19" s="68"/>
      <c r="H19" s="69"/>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8"/>
      <c r="G20" s="68"/>
      <c r="H20" s="69"/>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8"/>
      <c r="G21" s="68"/>
      <c r="H21" s="69"/>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8"/>
      <c r="G22" s="68"/>
      <c r="H22" s="69"/>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8"/>
      <c r="G23" s="68"/>
      <c r="H23" s="69"/>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8"/>
      <c r="G24" s="68"/>
      <c r="H24" s="69"/>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8"/>
      <c r="G29" s="68"/>
      <c r="H29" s="69"/>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8"/>
      <c r="G30" s="68"/>
      <c r="H30" s="69"/>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8"/>
      <c r="G31" s="68"/>
      <c r="H31" s="69"/>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8"/>
      <c r="G32" s="68"/>
      <c r="H32" s="69"/>
      <c r="K32" s="69"/>
      <c r="L32" s="69"/>
      <c r="M32" s="67"/>
      <c r="N32" s="67"/>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8"/>
      <c r="G33" s="68"/>
      <c r="H33" s="69"/>
      <c r="K33" s="69"/>
      <c r="L33" s="69"/>
      <c r="M33" s="67"/>
      <c r="N33" s="67"/>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8"/>
      <c r="G34" s="69"/>
      <c r="H34" s="69"/>
      <c r="J34"/>
      <c r="K34" s="69"/>
      <c r="L34" s="69"/>
      <c r="M34" s="67"/>
      <c r="N34" s="67"/>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69"/>
      <c r="G35" s="69"/>
      <c r="H35" s="69"/>
      <c r="J35"/>
      <c r="K35" s="69"/>
      <c r="L35" s="69"/>
      <c r="M35" s="67"/>
      <c r="N35" s="67"/>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9"/>
      <c r="G36" s="69"/>
      <c r="H36" s="69"/>
      <c r="J36"/>
      <c r="K36" s="69"/>
      <c r="L36" s="69"/>
      <c r="M36" s="67"/>
      <c r="N36" s="67"/>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9"/>
      <c r="G37" s="69"/>
      <c r="H37" s="69"/>
      <c r="J37" s="69"/>
      <c r="K37" s="69"/>
      <c r="L37" s="69"/>
      <c r="M37" s="67"/>
      <c r="N37" s="67"/>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9"/>
      <c r="G38" s="69"/>
      <c r="H38" s="69"/>
      <c r="J38" s="69"/>
      <c r="K38" s="69"/>
      <c r="L38" s="69"/>
      <c r="M38" s="67"/>
      <c r="N38" s="67"/>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9"/>
      <c r="G39" s="69"/>
      <c r="H39" s="69"/>
      <c r="J39" s="69"/>
      <c r="K39" s="69"/>
      <c r="L39" s="69"/>
      <c r="M39" s="67"/>
      <c r="N39" s="67"/>
      <c r="P39" s="9">
        <v>25</v>
      </c>
      <c r="Q39" s="9">
        <f t="shared" si="9"/>
        <v>4</v>
      </c>
      <c r="R39" s="9">
        <f t="shared" si="10"/>
        <v>1</v>
      </c>
      <c r="S39" s="14" cm="1">
        <f t="array" ref="S39">INDEX('Payer-ConceptMap-1'!$I$15:$N$267,Q39+1,R39)</f>
        <v>0</v>
      </c>
    </row>
    <row r="40" spans="1:19" s="1" customFormat="1" x14ac:dyDescent="0.75">
      <c r="A40"/>
      <c r="B40" s="9"/>
      <c r="C40" s="9"/>
      <c r="F40" s="69"/>
      <c r="G40" s="69"/>
      <c r="H40" s="69"/>
      <c r="J40" s="69"/>
      <c r="K40" s="69"/>
      <c r="L40" s="69"/>
      <c r="M40" s="69"/>
      <c r="N40" s="69"/>
      <c r="P40" s="9">
        <v>26</v>
      </c>
      <c r="Q40" s="9">
        <f t="shared" si="9"/>
        <v>4</v>
      </c>
      <c r="R40" s="9">
        <f t="shared" si="10"/>
        <v>2</v>
      </c>
      <c r="S40" s="14" cm="1">
        <f t="array" ref="S40">INDEX('Payer-ConceptMap-1'!$I$15:$N$267,Q40+1,R40)</f>
        <v>0</v>
      </c>
    </row>
    <row r="41" spans="1:19" s="1" customFormat="1" x14ac:dyDescent="0.75">
      <c r="A41"/>
      <c r="B41" s="9"/>
      <c r="C41"/>
      <c r="F41" s="69"/>
      <c r="G41" s="69"/>
      <c r="H41" s="69"/>
      <c r="J41" s="69"/>
      <c r="K41" s="69"/>
      <c r="L41" s="69"/>
      <c r="M41" s="69"/>
      <c r="N41" s="69"/>
      <c r="P41" s="9">
        <v>27</v>
      </c>
      <c r="Q41" s="9">
        <f t="shared" si="9"/>
        <v>4</v>
      </c>
      <c r="R41" s="9">
        <f t="shared" si="10"/>
        <v>3</v>
      </c>
      <c r="S41" s="14" cm="1">
        <f t="array" ref="S41">INDEX('Payer-ConceptMap-1'!$I$15:$N$267,Q41+1,R41)</f>
        <v>0</v>
      </c>
    </row>
    <row r="42" spans="1:19" s="1" customFormat="1" x14ac:dyDescent="0.75">
      <c r="A42"/>
      <c r="B42" s="9"/>
      <c r="C42"/>
      <c r="F42" s="69"/>
      <c r="G42" s="69"/>
      <c r="H42" s="69"/>
      <c r="J42" s="69"/>
      <c r="K42" s="69"/>
      <c r="L42" s="69"/>
      <c r="M42" s="69"/>
      <c r="N42" s="69"/>
      <c r="P42" s="9">
        <v>28</v>
      </c>
      <c r="Q42" s="9">
        <f t="shared" si="9"/>
        <v>4</v>
      </c>
      <c r="R42" s="9">
        <f t="shared" si="10"/>
        <v>4</v>
      </c>
      <c r="S42" s="14" cm="1">
        <f t="array" ref="S42">INDEX('Payer-ConceptMap-1'!$I$15:$N$267,Q42+1,R42)</f>
        <v>0</v>
      </c>
    </row>
    <row r="43" spans="1:19" s="1" customFormat="1" x14ac:dyDescent="0.75">
      <c r="A43"/>
      <c r="B43" s="9"/>
      <c r="C43"/>
      <c r="F43" s="69"/>
      <c r="G43" s="69"/>
      <c r="H43" s="69"/>
      <c r="J43" s="69"/>
      <c r="K43" s="69"/>
      <c r="L43" s="69"/>
      <c r="M43" s="69"/>
      <c r="N43" s="69"/>
      <c r="P43" s="9">
        <v>29</v>
      </c>
      <c r="Q43" s="9">
        <f t="shared" si="9"/>
        <v>4</v>
      </c>
      <c r="R43" s="9">
        <f t="shared" si="10"/>
        <v>5</v>
      </c>
      <c r="S43" s="14" cm="1">
        <f t="array" ref="S43">INDEX('Payer-ConceptMap-1'!$I$15:$N$267,Q43+1,R43)</f>
        <v>0</v>
      </c>
    </row>
    <row r="44" spans="1:19" s="1" customFormat="1" x14ac:dyDescent="0.75">
      <c r="A44"/>
      <c r="B44" s="9"/>
      <c r="C44"/>
      <c r="F44" s="69"/>
      <c r="G44" s="69"/>
      <c r="H44" s="69"/>
      <c r="J44" s="69"/>
      <c r="K44" s="69"/>
      <c r="L44" s="69"/>
      <c r="M44" s="69"/>
      <c r="N44" s="69"/>
      <c r="P44" s="9">
        <v>30</v>
      </c>
      <c r="Q44" s="9">
        <f t="shared" si="9"/>
        <v>4</v>
      </c>
      <c r="R44" s="9">
        <f t="shared" si="10"/>
        <v>6</v>
      </c>
      <c r="S44" s="14" cm="1">
        <f t="array" ref="S44">INDEX('Payer-ConceptMap-1'!$I$15:$N$267,Q44+1,R44)</f>
        <v>0</v>
      </c>
    </row>
    <row r="45" spans="1:19" s="1" customFormat="1" x14ac:dyDescent="0.75">
      <c r="A45"/>
      <c r="B45" s="9"/>
      <c r="C45"/>
      <c r="F45" s="69"/>
      <c r="G45" s="69"/>
      <c r="H45" s="69"/>
      <c r="J45" s="69"/>
      <c r="K45" s="69"/>
      <c r="L45" s="69"/>
      <c r="M45" s="69"/>
      <c r="N45" s="69"/>
      <c r="P45" s="9">
        <v>31</v>
      </c>
      <c r="Q45" s="9">
        <f t="shared" si="9"/>
        <v>5</v>
      </c>
      <c r="R45" s="9">
        <f t="shared" si="10"/>
        <v>1</v>
      </c>
      <c r="S45" s="14" cm="1">
        <f t="array" ref="S45">INDEX('Payer-ConceptMap-1'!$I$15:$N$267,Q45+1,R45)</f>
        <v>0</v>
      </c>
    </row>
    <row r="46" spans="1:19" x14ac:dyDescent="0.75">
      <c r="F46" s="69"/>
      <c r="G46" s="69"/>
      <c r="H46" s="69"/>
      <c r="J46" s="69"/>
      <c r="K46" s="69"/>
      <c r="L46" s="69"/>
      <c r="M46" s="69"/>
      <c r="N46" s="69"/>
      <c r="P46" s="9">
        <v>32</v>
      </c>
      <c r="Q46" s="9">
        <f t="shared" si="9"/>
        <v>5</v>
      </c>
      <c r="R46" s="9">
        <f t="shared" si="10"/>
        <v>2</v>
      </c>
      <c r="S46" s="14" cm="1">
        <f t="array" ref="S46">INDEX('Payer-ConceptMap-1'!$I$15:$N$267,Q46+1,R46)</f>
        <v>0</v>
      </c>
    </row>
    <row r="47" spans="1:19" x14ac:dyDescent="0.75">
      <c r="F47" s="69"/>
      <c r="G47" s="69"/>
      <c r="H47" s="69"/>
      <c r="J47" s="69"/>
      <c r="K47" s="69"/>
      <c r="L47" s="69"/>
      <c r="M47" s="69"/>
      <c r="N47" s="69"/>
      <c r="P47" s="9">
        <v>33</v>
      </c>
      <c r="Q47" s="9">
        <f t="shared" si="9"/>
        <v>5</v>
      </c>
      <c r="R47" s="9">
        <f t="shared" si="10"/>
        <v>3</v>
      </c>
      <c r="S47" s="14" cm="1">
        <f t="array" ref="S47">INDEX('Payer-ConceptMap-1'!$I$15:$N$267,Q47+1,R47)</f>
        <v>0</v>
      </c>
    </row>
    <row r="48" spans="1:19" x14ac:dyDescent="0.75">
      <c r="F48" s="69"/>
      <c r="G48" s="69"/>
      <c r="H48" s="69"/>
      <c r="J48" s="69"/>
      <c r="K48" s="69"/>
      <c r="L48" s="69"/>
      <c r="M48" s="69"/>
      <c r="N48" s="69"/>
      <c r="P48" s="9">
        <v>34</v>
      </c>
      <c r="Q48" s="9">
        <f t="shared" si="9"/>
        <v>5</v>
      </c>
      <c r="R48" s="9">
        <f t="shared" si="10"/>
        <v>4</v>
      </c>
      <c r="S48" s="14" cm="1">
        <f t="array" ref="S48">INDEX('Payer-ConceptMap-1'!$I$15:$N$267,Q48+1,R48)</f>
        <v>0</v>
      </c>
    </row>
    <row r="49" spans="5:19" x14ac:dyDescent="0.75">
      <c r="F49" s="69"/>
      <c r="G49" s="69"/>
      <c r="H49" s="69"/>
      <c r="J49" s="69"/>
      <c r="K49" s="69"/>
      <c r="L49" s="69"/>
      <c r="M49" s="69"/>
      <c r="N49" s="69"/>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423</v>
      </c>
      <c r="D3" s="66" t="s">
        <v>391</v>
      </c>
      <c r="E3" s="142" t="s">
        <v>1182</v>
      </c>
      <c r="F3" s="141"/>
      <c r="G3" s="141"/>
    </row>
    <row r="4" spans="1:19" x14ac:dyDescent="0.75">
      <c r="B4" s="66" t="s">
        <v>19</v>
      </c>
      <c r="C4" s="49" t="s">
        <v>786</v>
      </c>
      <c r="D4" s="66" t="s">
        <v>392</v>
      </c>
      <c r="E4" s="142" t="s">
        <v>1179</v>
      </c>
      <c r="F4" s="141"/>
      <c r="G4" s="141"/>
    </row>
    <row r="5" spans="1:19" x14ac:dyDescent="0.75">
      <c r="B5" s="66" t="s">
        <v>13</v>
      </c>
      <c r="C5" s="10" t="s">
        <v>411</v>
      </c>
      <c r="D5" s="66"/>
      <c r="E5" s="10"/>
    </row>
    <row r="6" spans="1:19" x14ac:dyDescent="0.75">
      <c r="B6" s="66" t="s">
        <v>35</v>
      </c>
      <c r="C6" s="65" t="s">
        <v>1178</v>
      </c>
      <c r="D6" s="66" t="s">
        <v>389</v>
      </c>
      <c r="E6" s="142" t="s">
        <v>1182</v>
      </c>
      <c r="F6" s="141"/>
      <c r="G6" s="141"/>
    </row>
    <row r="7" spans="1:19" x14ac:dyDescent="0.75">
      <c r="B7" s="66" t="s">
        <v>18</v>
      </c>
      <c r="C7" s="73" t="s">
        <v>810</v>
      </c>
      <c r="D7" s="66" t="s">
        <v>390</v>
      </c>
      <c r="E7" s="142" t="s">
        <v>562</v>
      </c>
      <c r="F7" s="141"/>
      <c r="G7" s="141"/>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726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322</v>
      </c>
      <c r="E14" s="8"/>
      <c r="F14" s="9"/>
      <c r="G14" s="9" t="s">
        <v>468</v>
      </c>
      <c r="I14" s="14"/>
      <c r="J14" s="9"/>
      <c r="K14" s="9"/>
      <c r="L14" s="9"/>
      <c r="M14" s="64"/>
      <c r="N14" s="67"/>
    </row>
    <row r="15" spans="1:19" ht="44.25" x14ac:dyDescent="0.75">
      <c r="A15" s="22"/>
      <c r="B15" s="9" t="str">
        <f>'A1.3 Payer'!B8</f>
        <v>insurance</v>
      </c>
      <c r="C15" s="9" t="str">
        <f>'A1.3 Payer'!C8</f>
        <v>A.1.3.1 Health insurance information</v>
      </c>
      <c r="D15" s="14"/>
      <c r="E15" s="56"/>
      <c r="F15" s="68" t="s">
        <v>376</v>
      </c>
      <c r="G15" s="68"/>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469</v>
      </c>
      <c r="E16" s="9"/>
      <c r="F16" s="68" t="s">
        <v>375</v>
      </c>
      <c r="G16" s="9" t="s">
        <v>563</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470</v>
      </c>
      <c r="E17" s="9"/>
      <c r="F17" s="68" t="s">
        <v>375</v>
      </c>
      <c r="G17" s="9" t="s">
        <v>563</v>
      </c>
      <c r="H17" s="69"/>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471</v>
      </c>
      <c r="E18" s="9"/>
      <c r="F18" s="68" t="s">
        <v>375</v>
      </c>
      <c r="G18" s="68"/>
      <c r="H18" s="69"/>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472</v>
      </c>
      <c r="E19" s="9"/>
      <c r="F19" s="68" t="s">
        <v>375</v>
      </c>
      <c r="G19" s="68"/>
      <c r="H19" s="69"/>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409</v>
      </c>
      <c r="E20" s="9"/>
      <c r="F20" s="68" t="s">
        <v>375</v>
      </c>
      <c r="G20" s="68"/>
      <c r="H20" s="69"/>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473</v>
      </c>
      <c r="E21" s="9"/>
      <c r="F21" s="68" t="s">
        <v>375</v>
      </c>
      <c r="G21" s="68"/>
      <c r="H21" s="69"/>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8"/>
      <c r="G22" s="68"/>
      <c r="H22" s="69"/>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8"/>
      <c r="G23" s="68"/>
      <c r="H23" s="69"/>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8"/>
      <c r="G24" s="68"/>
      <c r="H24" s="69"/>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8"/>
      <c r="G29" s="68"/>
      <c r="H29" s="69"/>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8"/>
      <c r="G30" s="68"/>
      <c r="H30" s="69"/>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8"/>
      <c r="G31" s="68"/>
      <c r="H31" s="69"/>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8"/>
      <c r="G32" s="68"/>
      <c r="H32" s="69"/>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8"/>
      <c r="G33" s="68"/>
      <c r="H33" s="69"/>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8"/>
      <c r="G34" s="68"/>
      <c r="H34" s="69"/>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8"/>
      <c r="G35" s="68"/>
      <c r="H35" s="69"/>
      <c r="K35" s="69"/>
      <c r="L35" s="69"/>
      <c r="M35" s="67"/>
      <c r="N35" s="67"/>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8"/>
      <c r="G36" s="68"/>
      <c r="H36" s="69"/>
      <c r="K36" s="69"/>
      <c r="L36" s="69"/>
      <c r="M36" s="67"/>
      <c r="N36" s="67"/>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8"/>
      <c r="G37" s="69"/>
      <c r="H37" s="69"/>
      <c r="J37"/>
      <c r="K37" s="69"/>
      <c r="L37" s="69"/>
      <c r="M37" s="67"/>
      <c r="N37" s="67"/>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69"/>
      <c r="G38" s="69"/>
      <c r="H38" s="69"/>
      <c r="J38"/>
      <c r="K38" s="69"/>
      <c r="L38" s="69"/>
      <c r="M38" s="67"/>
      <c r="N38" s="67"/>
      <c r="P38" s="9">
        <v>24</v>
      </c>
      <c r="Q38" s="9">
        <f t="shared" si="9"/>
        <v>3</v>
      </c>
      <c r="R38" s="9">
        <f t="shared" si="10"/>
        <v>6</v>
      </c>
      <c r="S38" s="14" t="str" cm="1">
        <f t="array" ref="S38">INDEX('Payer-ConceptMap-2'!$I$15:$N$270,Q38+1,R38)</f>
        <v/>
      </c>
    </row>
    <row r="39" spans="1:19" s="1" customFormat="1" x14ac:dyDescent="0.75">
      <c r="A39"/>
      <c r="B39" s="9"/>
      <c r="C39" s="9"/>
      <c r="F39" s="69"/>
      <c r="G39" s="69"/>
      <c r="H39" s="69"/>
      <c r="J39"/>
      <c r="K39" s="69"/>
      <c r="L39" s="69"/>
      <c r="M39" s="67"/>
      <c r="N39" s="67"/>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9"/>
      <c r="G40" s="69"/>
      <c r="H40" s="69"/>
      <c r="J40" s="69"/>
      <c r="K40" s="69"/>
      <c r="L40" s="69"/>
      <c r="M40" s="67"/>
      <c r="N40" s="67"/>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9"/>
      <c r="G41" s="69"/>
      <c r="H41" s="69"/>
      <c r="J41" s="69"/>
      <c r="K41" s="69"/>
      <c r="L41" s="69"/>
      <c r="M41" s="67"/>
      <c r="N41" s="67"/>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9"/>
      <c r="G42" s="69"/>
      <c r="H42" s="69"/>
      <c r="J42" s="69"/>
      <c r="K42" s="69"/>
      <c r="L42" s="69"/>
      <c r="M42" s="67"/>
      <c r="N42" s="67"/>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9"/>
      <c r="G43" s="69"/>
      <c r="H43" s="69"/>
      <c r="J43" s="69"/>
      <c r="K43" s="69"/>
      <c r="L43" s="69"/>
      <c r="M43" s="69"/>
      <c r="N43" s="69"/>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9"/>
      <c r="G44" s="69"/>
      <c r="H44" s="69"/>
      <c r="J44" s="69"/>
      <c r="K44" s="69"/>
      <c r="L44" s="69"/>
      <c r="M44" s="69"/>
      <c r="N44" s="69"/>
      <c r="P44" s="9">
        <v>30</v>
      </c>
      <c r="Q44" s="9">
        <f t="shared" si="9"/>
        <v>4</v>
      </c>
      <c r="R44" s="9">
        <f t="shared" si="10"/>
        <v>6</v>
      </c>
      <c r="S44" s="14" t="str" cm="1">
        <f t="array" ref="S44">INDEX('Payer-ConceptMap-2'!$I$15:$N$270,Q44+1,R44)</f>
        <v/>
      </c>
    </row>
    <row r="45" spans="1:19" s="1" customFormat="1" x14ac:dyDescent="0.75">
      <c r="A45"/>
      <c r="B45" s="9"/>
      <c r="C45"/>
      <c r="F45" s="69"/>
      <c r="G45" s="69"/>
      <c r="H45" s="69"/>
      <c r="J45" s="69"/>
      <c r="K45" s="69"/>
      <c r="L45" s="69"/>
      <c r="M45" s="69"/>
      <c r="N45" s="69"/>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9"/>
      <c r="G46" s="69"/>
      <c r="H46" s="69"/>
      <c r="J46" s="69"/>
      <c r="K46" s="69"/>
      <c r="L46" s="69"/>
      <c r="M46" s="69"/>
      <c r="N46" s="69"/>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9"/>
      <c r="G47" s="69"/>
      <c r="H47" s="69"/>
      <c r="J47" s="69"/>
      <c r="K47" s="69"/>
      <c r="L47" s="69"/>
      <c r="M47" s="69"/>
      <c r="N47" s="69"/>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9"/>
      <c r="G48" s="69"/>
      <c r="H48" s="69"/>
      <c r="J48" s="69"/>
      <c r="K48" s="69"/>
      <c r="L48" s="69"/>
      <c r="M48" s="69"/>
      <c r="N48" s="69"/>
      <c r="P48" s="9">
        <v>34</v>
      </c>
      <c r="Q48" s="9">
        <f t="shared" si="9"/>
        <v>5</v>
      </c>
      <c r="R48" s="9">
        <f t="shared" si="10"/>
        <v>4</v>
      </c>
      <c r="S48" s="14" t="str" cm="1">
        <f t="array" ref="S48">INDEX('Payer-ConceptMap-2'!$I$15:$N$270,Q48+1,R48)</f>
        <v>* group[=].element[=].target.display = ##34###34#</v>
      </c>
    </row>
    <row r="49" spans="5:19" x14ac:dyDescent="0.75">
      <c r="F49" s="69"/>
      <c r="G49" s="69"/>
      <c r="H49" s="69"/>
      <c r="J49" s="69"/>
      <c r="K49" s="69"/>
      <c r="L49" s="69"/>
      <c r="M49" s="69"/>
      <c r="N49" s="69"/>
      <c r="P49" s="9">
        <v>35</v>
      </c>
      <c r="Q49" s="9">
        <f t="shared" si="9"/>
        <v>5</v>
      </c>
      <c r="R49" s="9">
        <f t="shared" si="10"/>
        <v>5</v>
      </c>
      <c r="S49" s="14" t="str" cm="1">
        <f t="array" ref="S49">INDEX('Payer-ConceptMap-2'!$I$15:$N$270,Q49+1,R49)</f>
        <v>* group[=].element[=].target.equivalence = #equivalent</v>
      </c>
    </row>
    <row r="50" spans="5:19" x14ac:dyDescent="0.75">
      <c r="F50" s="69"/>
      <c r="G50" s="69"/>
      <c r="H50" s="69"/>
      <c r="J50" s="69"/>
      <c r="K50" s="69"/>
      <c r="L50" s="69"/>
      <c r="M50" s="69"/>
      <c r="N50" s="69"/>
      <c r="P50" s="9">
        <v>36</v>
      </c>
      <c r="Q50" s="9">
        <f t="shared" si="9"/>
        <v>5</v>
      </c>
      <c r="R50" s="9">
        <f t="shared" si="10"/>
        <v>6</v>
      </c>
      <c r="S50" s="14" t="str" cm="1">
        <f t="array" ref="S50">INDEX('Payer-ConceptMap-2'!$I$15:$N$270,Q50+1,R50)</f>
        <v/>
      </c>
    </row>
    <row r="51" spans="5:19" x14ac:dyDescent="0.75">
      <c r="F51" s="69"/>
      <c r="G51" s="69"/>
      <c r="H51" s="69"/>
      <c r="J51" s="69"/>
      <c r="K51" s="69"/>
      <c r="L51" s="69"/>
      <c r="M51" s="69"/>
      <c r="N51" s="69"/>
      <c r="P51" s="9">
        <v>37</v>
      </c>
      <c r="Q51" s="9">
        <f t="shared" si="9"/>
        <v>6</v>
      </c>
      <c r="R51" s="9">
        <f t="shared" si="10"/>
        <v>1</v>
      </c>
      <c r="S51" s="14" t="str" cm="1">
        <f t="array" ref="S51">INDEX('Payer-ConceptMap-2'!$I$15:$N$270,Q51+1,R51)</f>
        <v>* group[=].element[+].code = #Payer.insurance.subjectIdentifier</v>
      </c>
    </row>
    <row r="52" spans="5:19" x14ac:dyDescent="0.75">
      <c r="F52" s="69"/>
      <c r="G52" s="69"/>
      <c r="H52" s="69"/>
      <c r="J52" s="69"/>
      <c r="K52" s="69"/>
      <c r="L52" s="69"/>
      <c r="M52" s="69"/>
      <c r="N52" s="69"/>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'Payer-ConceptMap-1'!C3</f>
        <v>Payer2Fhir</v>
      </c>
      <c r="D3" s="66" t="s">
        <v>391</v>
      </c>
      <c r="E3" s="146" t="str">
        <f>'Payer-ConceptMap-1'!E3</f>
        <v>http://hl7.eu/fhir/ig/xpandh/ps/StructureDefinition/Payer</v>
      </c>
      <c r="F3" s="147"/>
      <c r="G3" s="147"/>
    </row>
    <row r="4" spans="1:19" x14ac:dyDescent="0.75">
      <c r="B4" s="66" t="s">
        <v>19</v>
      </c>
      <c r="C4" s="49" t="str">
        <f>'Payer-ConceptMap-1'!C4</f>
        <v>payer2FHIR-eu-ps</v>
      </c>
      <c r="D4" s="66" t="s">
        <v>392</v>
      </c>
      <c r="E4" s="142" t="str">
        <f>'Payer-ConceptMap-1'!E4</f>
        <v>http://hl7.eu/fhir/ig/xpandh/ps/StructureDefinition/Bundle-eu-ps</v>
      </c>
      <c r="F4" s="141"/>
      <c r="G4" s="141"/>
    </row>
    <row r="5" spans="1:19" x14ac:dyDescent="0.75">
      <c r="B5" s="66" t="s">
        <v>13</v>
      </c>
      <c r="C5" s="10" t="str">
        <f>'Payer-ConceptMap-1'!C5</f>
        <v>eHN Payer to this guide Map</v>
      </c>
      <c r="D5" s="66"/>
      <c r="E5" s="10"/>
    </row>
    <row r="6" spans="1:19" x14ac:dyDescent="0.75">
      <c r="B6" s="66" t="s">
        <v>35</v>
      </c>
      <c r="C6" s="65" t="str">
        <f>'Payer-ConceptMap-1'!C6</f>
        <v>http://hl7.eu/fhir/ig/xpandh/ps/StructureDefinition/PatientSummary</v>
      </c>
      <c r="D6" s="66" t="s">
        <v>389</v>
      </c>
      <c r="E6" s="142" t="str">
        <f>E3</f>
        <v>http://hl7.eu/fhir/ig/xpandh/ps/StructureDefinition/Payer</v>
      </c>
      <c r="F6" s="141"/>
      <c r="G6" s="141"/>
    </row>
    <row r="7" spans="1:19" x14ac:dyDescent="0.75">
      <c r="B7" s="66" t="s">
        <v>18</v>
      </c>
      <c r="C7" s="73" t="str">
        <f>'Payer-ConceptMap-1'!C7</f>
        <v>http://hl7.eu/fhir/ig/xpandh/ps</v>
      </c>
      <c r="D7" s="66" t="s">
        <v>390</v>
      </c>
      <c r="E7" s="142" t="s">
        <v>1184</v>
      </c>
      <c r="F7" s="141"/>
      <c r="G7" s="141"/>
    </row>
    <row r="8" spans="1:19" ht="44.25" x14ac:dyDescent="0.75">
      <c r="B8" s="66" t="s">
        <v>387</v>
      </c>
      <c r="C8" s="10" t="str">
        <f>'Payer-ConceptMap-1'!C8</f>
        <v>eHN Payer Model to this guide Map</v>
      </c>
      <c r="D8" s="66"/>
      <c r="E8" s="10"/>
      <c r="I8" s="14" t="s">
        <v>364</v>
      </c>
      <c r="J8" s="14" t="s">
        <v>365</v>
      </c>
      <c r="K8" s="14" t="s">
        <v>366</v>
      </c>
      <c r="L8" s="14" t="s">
        <v>367</v>
      </c>
      <c r="M8" s="9" t="s">
        <v>368</v>
      </c>
      <c r="P8" s="62" t="s">
        <v>369</v>
      </c>
      <c r="Q8" s="62">
        <v>6</v>
      </c>
    </row>
    <row r="9" spans="1:19" ht="29.5" x14ac:dyDescent="0.75">
      <c r="B9" s="66" t="s">
        <v>388</v>
      </c>
      <c r="C9" s="1" t="str">
        <f>'Payer-ConceptMap-1'!C9</f>
        <v>It shows how the Patient Summary Payer data set defined by the EU eHN guidelines is mapped into this guide</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'A1.3 Payer'!B5</f>
        <v>Payer</v>
      </c>
      <c r="C14" s="9"/>
      <c r="D14" s="4" t="s">
        <v>17</v>
      </c>
      <c r="E14" s="8"/>
      <c r="F14" s="68" t="s">
        <v>377</v>
      </c>
      <c r="G14" s="14"/>
      <c r="I14" s="14"/>
      <c r="J14" s="9"/>
      <c r="K14" s="9"/>
      <c r="L14" s="9"/>
      <c r="M14" s="64"/>
      <c r="N14" s="67"/>
    </row>
    <row r="15" spans="1:19" ht="44.25" x14ac:dyDescent="0.75">
      <c r="A15" s="22"/>
      <c r="B15" s="9" t="str">
        <f>'A1.3 Payer'!B8</f>
        <v>insurance</v>
      </c>
      <c r="C15" s="9" t="str">
        <f>'A1.3 Payer'!C8</f>
        <v>A.1.3.1 Health insurance information</v>
      </c>
      <c r="D15" s="14"/>
      <c r="E15" s="9"/>
      <c r="F15" s="68" t="s">
        <v>377</v>
      </c>
      <c r="G15" s="75"/>
      <c r="H15" s="69"/>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8" t="s">
        <v>377</v>
      </c>
      <c r="G16" s="75"/>
      <c r="H16" s="69"/>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8" t="s">
        <v>377</v>
      </c>
      <c r="G17" s="75"/>
      <c r="H17" s="69"/>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212</v>
      </c>
      <c r="E18" s="9"/>
      <c r="F18" s="68" t="s">
        <v>376</v>
      </c>
      <c r="G18" s="75" t="s">
        <v>524</v>
      </c>
      <c r="H18" s="69"/>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8"/>
      <c r="G19" s="75"/>
      <c r="H19" s="69"/>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8"/>
      <c r="G20" s="75"/>
      <c r="H20" s="69"/>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8"/>
      <c r="G21" s="75"/>
      <c r="H21" s="69"/>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8"/>
      <c r="G22" s="75"/>
      <c r="H22" s="69"/>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8"/>
      <c r="G23" s="75"/>
      <c r="H23" s="69"/>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8"/>
      <c r="G24" s="75"/>
      <c r="H24" s="69"/>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8"/>
      <c r="G25" s="75"/>
      <c r="H25" s="69"/>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8"/>
      <c r="G26" s="75"/>
      <c r="H26" s="69"/>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8"/>
      <c r="G27" s="75"/>
      <c r="H27" s="69"/>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8"/>
      <c r="G28" s="75"/>
      <c r="H28" s="69"/>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8"/>
      <c r="G29" s="75"/>
      <c r="H29" s="69"/>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8"/>
      <c r="G30" s="75"/>
      <c r="H30" s="69"/>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8"/>
      <c r="G31" s="75"/>
      <c r="H31" s="69"/>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8"/>
      <c r="G32" s="75"/>
      <c r="H32" s="69"/>
      <c r="K32" s="69"/>
      <c r="L32" s="69"/>
      <c r="M32" s="67"/>
      <c r="N32" s="67"/>
      <c r="P32" s="9">
        <v>18</v>
      </c>
      <c r="Q32" s="9">
        <f t="shared" si="6"/>
        <v>2</v>
      </c>
      <c r="R32" s="9">
        <f t="shared" si="7"/>
        <v>6</v>
      </c>
      <c r="S32" s="14" t="str" cm="1">
        <f t="array" ref="S32">INDEX('Payer-ConceptMap-3'!$I$15:$N$267,Q32+1,R32)</f>
        <v/>
      </c>
    </row>
    <row r="33" spans="1:19" x14ac:dyDescent="0.75">
      <c r="B33" s="9"/>
      <c r="C33" s="9"/>
      <c r="D33" s="14"/>
      <c r="E33" s="14"/>
      <c r="F33" s="68"/>
      <c r="G33" s="75"/>
      <c r="H33" s="69"/>
      <c r="K33" s="69"/>
      <c r="L33" s="69"/>
      <c r="M33" s="67"/>
      <c r="N33" s="67"/>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8"/>
      <c r="G34" s="90"/>
      <c r="H34" s="69"/>
      <c r="J34"/>
      <c r="K34" s="69"/>
      <c r="L34" s="69"/>
      <c r="M34" s="67"/>
      <c r="N34" s="67"/>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69"/>
      <c r="G35" s="90"/>
      <c r="H35" s="69"/>
      <c r="J35"/>
      <c r="K35" s="69"/>
      <c r="L35" s="69"/>
      <c r="M35" s="67"/>
      <c r="N35" s="67"/>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9"/>
      <c r="G36" s="90"/>
      <c r="H36" s="69"/>
      <c r="J36"/>
      <c r="K36" s="69"/>
      <c r="L36" s="69"/>
      <c r="M36" s="67"/>
      <c r="N36" s="67"/>
      <c r="P36" s="9">
        <v>22</v>
      </c>
      <c r="Q36" s="9">
        <f t="shared" si="6"/>
        <v>3</v>
      </c>
      <c r="R36" s="9">
        <f t="shared" si="7"/>
        <v>4</v>
      </c>
      <c r="S36" s="14" t="str" cm="1">
        <f t="array" ref="S36">INDEX('Payer-ConceptMap-3'!$I$15:$N$267,Q36+1,R36)</f>
        <v>* group[=].element[=].target.display = ##34###34#</v>
      </c>
    </row>
    <row r="37" spans="1:19" s="1" customFormat="1" x14ac:dyDescent="0.75">
      <c r="A37"/>
      <c r="B37" s="9"/>
      <c r="C37" s="9"/>
      <c r="F37" s="69"/>
      <c r="G37" s="90"/>
      <c r="H37" s="69"/>
      <c r="J37" s="69"/>
      <c r="K37" s="69"/>
      <c r="L37" s="69"/>
      <c r="M37" s="67"/>
      <c r="N37" s="67"/>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9"/>
      <c r="G38" s="90"/>
      <c r="H38" s="69"/>
      <c r="J38" s="69"/>
      <c r="K38" s="69"/>
      <c r="L38" s="69"/>
      <c r="M38" s="67"/>
      <c r="N38" s="67"/>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9"/>
      <c r="G39" s="90"/>
      <c r="H39" s="69"/>
      <c r="J39" s="69"/>
      <c r="K39" s="69"/>
      <c r="L39" s="69"/>
      <c r="M39" s="67"/>
      <c r="N39" s="67"/>
      <c r="P39" s="9">
        <v>25</v>
      </c>
      <c r="Q39" s="9">
        <f t="shared" si="6"/>
        <v>4</v>
      </c>
      <c r="R39" s="9">
        <f t="shared" si="7"/>
        <v>1</v>
      </c>
      <c r="S39" s="14" cm="1">
        <f t="array" ref="S39">INDEX('Payer-ConceptMap-3'!$I$15:$N$267,Q39+1,R39)</f>
        <v>0</v>
      </c>
    </row>
    <row r="40" spans="1:19" s="1" customFormat="1" x14ac:dyDescent="0.75">
      <c r="A40"/>
      <c r="B40" s="9"/>
      <c r="C40" s="9"/>
      <c r="F40" s="69"/>
      <c r="G40" s="90"/>
      <c r="H40" s="69"/>
      <c r="J40" s="69"/>
      <c r="K40" s="69"/>
      <c r="L40" s="69"/>
      <c r="M40" s="69"/>
      <c r="N40" s="69"/>
      <c r="P40" s="9">
        <v>26</v>
      </c>
      <c r="Q40" s="9">
        <f t="shared" si="6"/>
        <v>4</v>
      </c>
      <c r="R40" s="9">
        <f t="shared" si="7"/>
        <v>2</v>
      </c>
      <c r="S40" s="14" cm="1">
        <f t="array" ref="S40">INDEX('Payer-ConceptMap-3'!$I$15:$N$267,Q40+1,R40)</f>
        <v>0</v>
      </c>
    </row>
    <row r="41" spans="1:19" s="1" customFormat="1" x14ac:dyDescent="0.75">
      <c r="A41"/>
      <c r="B41" s="9"/>
      <c r="C41"/>
      <c r="F41" s="69"/>
      <c r="G41" s="90"/>
      <c r="H41" s="69"/>
      <c r="J41" s="69"/>
      <c r="K41" s="69"/>
      <c r="L41" s="69"/>
      <c r="M41" s="69"/>
      <c r="N41" s="69"/>
      <c r="P41" s="9">
        <v>27</v>
      </c>
      <c r="Q41" s="9">
        <f t="shared" si="6"/>
        <v>4</v>
      </c>
      <c r="R41" s="9">
        <f t="shared" si="7"/>
        <v>3</v>
      </c>
      <c r="S41" s="14" cm="1">
        <f t="array" ref="S41">INDEX('Payer-ConceptMap-3'!$I$15:$N$267,Q41+1,R41)</f>
        <v>0</v>
      </c>
    </row>
    <row r="42" spans="1:19" s="1" customFormat="1" x14ac:dyDescent="0.75">
      <c r="A42"/>
      <c r="B42" s="9"/>
      <c r="C42"/>
      <c r="F42" s="69"/>
      <c r="G42" s="90"/>
      <c r="H42" s="69"/>
      <c r="J42" s="69"/>
      <c r="K42" s="69"/>
      <c r="L42" s="69"/>
      <c r="M42" s="69"/>
      <c r="N42" s="69"/>
      <c r="P42" s="9">
        <v>28</v>
      </c>
      <c r="Q42" s="9">
        <f t="shared" si="6"/>
        <v>4</v>
      </c>
      <c r="R42" s="9">
        <f t="shared" si="7"/>
        <v>4</v>
      </c>
      <c r="S42" s="14" cm="1">
        <f t="array" ref="S42">INDEX('Payer-ConceptMap-3'!$I$15:$N$267,Q42+1,R42)</f>
        <v>0</v>
      </c>
    </row>
    <row r="43" spans="1:19" s="1" customFormat="1" x14ac:dyDescent="0.75">
      <c r="A43"/>
      <c r="B43" s="9"/>
      <c r="C43"/>
      <c r="F43" s="69"/>
      <c r="G43" s="90"/>
      <c r="H43" s="69"/>
      <c r="J43" s="69"/>
      <c r="K43" s="69"/>
      <c r="L43" s="69"/>
      <c r="M43" s="69"/>
      <c r="N43" s="69"/>
      <c r="P43" s="9">
        <v>29</v>
      </c>
      <c r="Q43" s="9">
        <f t="shared" si="6"/>
        <v>4</v>
      </c>
      <c r="R43" s="9">
        <f t="shared" si="7"/>
        <v>5</v>
      </c>
      <c r="S43" s="14" cm="1">
        <f t="array" ref="S43">INDEX('Payer-ConceptMap-3'!$I$15:$N$267,Q43+1,R43)</f>
        <v>0</v>
      </c>
    </row>
    <row r="44" spans="1:19" s="1" customFormat="1" x14ac:dyDescent="0.75">
      <c r="A44"/>
      <c r="B44" s="9"/>
      <c r="C44"/>
      <c r="F44" s="69"/>
      <c r="G44" s="90"/>
      <c r="H44" s="69"/>
      <c r="J44" s="69"/>
      <c r="K44" s="69"/>
      <c r="L44" s="69"/>
      <c r="M44" s="69"/>
      <c r="N44" s="69"/>
      <c r="P44" s="9">
        <v>30</v>
      </c>
      <c r="Q44" s="9">
        <f t="shared" si="6"/>
        <v>4</v>
      </c>
      <c r="R44" s="9">
        <f t="shared" si="7"/>
        <v>6</v>
      </c>
      <c r="S44" s="14" cm="1">
        <f t="array" ref="S44">INDEX('Payer-ConceptMap-3'!$I$15:$N$267,Q44+1,R44)</f>
        <v>0</v>
      </c>
    </row>
    <row r="45" spans="1:19" s="1" customFormat="1" x14ac:dyDescent="0.75">
      <c r="A45"/>
      <c r="B45" s="9"/>
      <c r="C45"/>
      <c r="F45" s="69"/>
      <c r="G45" s="90"/>
      <c r="H45" s="69"/>
      <c r="J45" s="69"/>
      <c r="K45" s="69"/>
      <c r="L45" s="69"/>
      <c r="M45" s="69"/>
      <c r="N45" s="69"/>
      <c r="P45" s="9">
        <v>31</v>
      </c>
      <c r="Q45" s="9">
        <f t="shared" si="6"/>
        <v>5</v>
      </c>
      <c r="R45" s="9">
        <f t="shared" si="7"/>
        <v>1</v>
      </c>
      <c r="S45" s="14" cm="1">
        <f t="array" ref="S45">INDEX('Payer-ConceptMap-3'!$I$15:$N$267,Q45+1,R45)</f>
        <v>0</v>
      </c>
    </row>
    <row r="46" spans="1:19" x14ac:dyDescent="0.75">
      <c r="F46" s="69"/>
      <c r="G46" s="90"/>
      <c r="H46" s="69"/>
      <c r="J46" s="69"/>
      <c r="K46" s="69"/>
      <c r="L46" s="69"/>
      <c r="M46" s="69"/>
      <c r="N46" s="69"/>
      <c r="P46" s="9">
        <v>32</v>
      </c>
      <c r="Q46" s="9">
        <f t="shared" si="6"/>
        <v>5</v>
      </c>
      <c r="R46" s="9">
        <f t="shared" si="7"/>
        <v>2</v>
      </c>
      <c r="S46" s="14" cm="1">
        <f t="array" ref="S46">INDEX('Payer-ConceptMap-3'!$I$15:$N$267,Q46+1,R46)</f>
        <v>0</v>
      </c>
    </row>
    <row r="47" spans="1:19" x14ac:dyDescent="0.75">
      <c r="F47" s="69"/>
      <c r="G47" s="90"/>
      <c r="H47" s="69"/>
      <c r="J47" s="69"/>
      <c r="K47" s="69"/>
      <c r="L47" s="69"/>
      <c r="M47" s="69"/>
      <c r="N47" s="69"/>
      <c r="P47" s="9">
        <v>33</v>
      </c>
      <c r="Q47" s="9">
        <f t="shared" si="6"/>
        <v>5</v>
      </c>
      <c r="R47" s="9">
        <f t="shared" si="7"/>
        <v>3</v>
      </c>
      <c r="S47" s="14" cm="1">
        <f t="array" ref="S47">INDEX('Payer-ConceptMap-3'!$I$15:$N$267,Q47+1,R47)</f>
        <v>0</v>
      </c>
    </row>
    <row r="48" spans="1:19" x14ac:dyDescent="0.75">
      <c r="F48" s="69"/>
      <c r="G48" s="90"/>
      <c r="H48" s="69"/>
      <c r="J48" s="69"/>
      <c r="K48" s="69"/>
      <c r="L48" s="69"/>
      <c r="M48" s="69"/>
      <c r="N48" s="69"/>
      <c r="P48" s="9">
        <v>34</v>
      </c>
      <c r="Q48" s="9">
        <f t="shared" si="6"/>
        <v>5</v>
      </c>
      <c r="R48" s="9">
        <f t="shared" si="7"/>
        <v>4</v>
      </c>
      <c r="S48" s="14" cm="1">
        <f t="array" ref="S48">INDEX('Payer-ConceptMap-3'!$I$15:$N$267,Q48+1,R48)</f>
        <v>0</v>
      </c>
    </row>
    <row r="49" spans="5:19" x14ac:dyDescent="0.75">
      <c r="F49" s="69"/>
      <c r="G49" s="90"/>
      <c r="H49" s="69"/>
      <c r="J49" s="69"/>
      <c r="K49" s="69"/>
      <c r="L49" s="69"/>
      <c r="M49" s="69"/>
      <c r="N49" s="69"/>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410</v>
      </c>
    </row>
    <row r="3" spans="2:7" x14ac:dyDescent="0.75">
      <c r="B3" s="32" t="s">
        <v>37</v>
      </c>
    </row>
    <row r="4" spans="2:7" x14ac:dyDescent="0.75">
      <c r="B4" s="70" t="str">
        <f>"Instance: "&amp;'Payer-ConceptMap-1'!C4</f>
        <v>Instance: payer2FHIR-eu-ps</v>
      </c>
    </row>
    <row r="5" spans="2:7" x14ac:dyDescent="0.75">
      <c r="B5" s="70" t="s">
        <v>379</v>
      </c>
    </row>
    <row r="6" spans="2:7" x14ac:dyDescent="0.75">
      <c r="B6" s="70" t="s">
        <v>380</v>
      </c>
    </row>
    <row r="7" spans="2:7" x14ac:dyDescent="0.75">
      <c r="B7" s="70" t="s">
        <v>386</v>
      </c>
    </row>
    <row r="8" spans="2:7" x14ac:dyDescent="0.75">
      <c r="B8" s="70" t="str">
        <f>"* name = ##34#"&amp;'Payer-ConceptMap-1'!C3&amp;"##34#"</f>
        <v>* name = ##34#Payer2Fhir##34#</v>
      </c>
    </row>
    <row r="9" spans="2:7" x14ac:dyDescent="0.75">
      <c r="B9" s="70" t="str">
        <f>"* title = ##34#"&amp;'Payer-ConceptMap-1'!C5&amp;"##34#"</f>
        <v>* title = ##34#eHN Payer to this guide Map##34#</v>
      </c>
    </row>
    <row r="10" spans="2:7" x14ac:dyDescent="0.75">
      <c r="B10" s="70" t="s">
        <v>381</v>
      </c>
    </row>
    <row r="11" spans="2:7" x14ac:dyDescent="0.75">
      <c r="B11" s="70" t="s">
        <v>382</v>
      </c>
    </row>
    <row r="12" spans="2:7" x14ac:dyDescent="0.75">
      <c r="B12" s="70" t="str">
        <f>"* description = ##34#"&amp;'Payer-ConceptMap-1'!C8&amp;"##34#"</f>
        <v>* description = ##34#eHN Payer Model to this guide Map##34#</v>
      </c>
    </row>
    <row r="13" spans="2:7" x14ac:dyDescent="0.75">
      <c r="B13" s="70" t="str">
        <f>"* purpose = ##34#"&amp;'Payer-ConceptMap-1'!C9&amp;"##34#"</f>
        <v>* purpose = ##34#It shows how the Patient Summary Payer data set defined by the EU eHN guidelines is mapped into this guide##34#</v>
      </c>
    </row>
    <row r="14" spans="2:7" x14ac:dyDescent="0.75">
      <c r="B14" s="71" t="str">
        <f>"* sourceUri = ##34#"&amp;'Payer-ConceptMap-1'!E3&amp;"##34#"</f>
        <v>* sourceUri = ##34#http://hl7.eu/fhir/ig/xpandh/ps/StructureDefinition/Payer##34#</v>
      </c>
    </row>
    <row r="15" spans="2:7" x14ac:dyDescent="0.75">
      <c r="B15" s="71" t="str">
        <f>"* targetUri = ##34#"&amp;'Payer-ConceptMap-1'!E4&amp;"##34#"</f>
        <v>* targetUri = ##34#http://hl7.eu/fhir/ig/xpandh/ps/StructureDefinition/Bundle-eu-ps##34#</v>
      </c>
    </row>
    <row r="16" spans="2:7" x14ac:dyDescent="0.75">
      <c r="B16" s="70"/>
    </row>
    <row r="17" spans="2:7" x14ac:dyDescent="0.75">
      <c r="B17" s="72" t="str">
        <f>"* group[+].source = ##34#"&amp;'Payer-ConceptMap-1'!E6&amp;"##34#"</f>
        <v>* group[+].source = ##34#http://hl7.eu/fhir/ig/xpandh/ps/StructureDefinition/Payer##34#</v>
      </c>
    </row>
    <row r="18" spans="2:7" x14ac:dyDescent="0.75">
      <c r="B18" s="72" t="str">
        <f>"* group[=].target = ##34#"&amp;'Payer-ConceptMap-1'!E7&amp;"##34#"</f>
        <v>* group[=].target = ##34#http://hl7.eu/fhir/ig/xpandh/ps/StructureDefinition/ServiceRequest-eu-ps##34#</v>
      </c>
    </row>
    <row r="19" spans="2:7" x14ac:dyDescent="0.75">
      <c r="B19" s="74"/>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4"/>
    </row>
    <row r="50" spans="2:2" x14ac:dyDescent="0.75">
      <c r="B50" s="72" t="str">
        <f>"* group[+].source = ##34#"&amp;'Payer-ConceptMap-2'!E6&amp;"##34#"</f>
        <v>* group[+].source = ##34#http://hl7.eu/fhir/ig/xpandh/ps/StructureDefinition/Payer##34#</v>
      </c>
    </row>
    <row r="51" spans="2:2" x14ac:dyDescent="0.75">
      <c r="B51" s="72" t="str">
        <f>"* group[=].target = ##34#"&amp;'Payer-ConceptMap-2'!E7&amp;"##34#"</f>
        <v>* group[=].target = ##34#http://hl7.org/fhir/StructureDefinition/Coverage##34#</v>
      </c>
    </row>
    <row r="52" spans="2:2" x14ac:dyDescent="0.75">
      <c r="B52" s="74"/>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9"/>
    </row>
    <row r="99" spans="2:4" x14ac:dyDescent="0.75">
      <c r="B99" s="14"/>
    </row>
    <row r="100" spans="2:4" x14ac:dyDescent="0.75">
      <c r="B100" s="74"/>
    </row>
    <row r="101" spans="2:4" x14ac:dyDescent="0.75">
      <c r="B101" s="72" t="str">
        <f>"* group[+].source = ##34#"&amp;'Payer-ConceptMap-3'!E6&amp;"##34#"</f>
        <v>* group[+].source = ##34#http://hl7.eu/fhir/ig/xpandh/ps/StructureDefinition/Payer##34#</v>
      </c>
    </row>
    <row r="102" spans="2:4" x14ac:dyDescent="0.75">
      <c r="B102" s="72" t="str">
        <f>"* group[=].target = ##34#"&amp;'Payer-ConceptMap-3'!E7&amp;"##34#"</f>
        <v>* group[=].target = ##34#http://hl7.eu/fhir/ig/xpandh/ps/StructureDefinition/Patient-eu-ps##34#</v>
      </c>
    </row>
    <row r="103" spans="2:4" x14ac:dyDescent="0.75">
      <c r="B103" s="74"/>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1170</v>
      </c>
      <c r="I4" s="24" t="str">
        <f>CONCATENATE("Logical: ",B4)</f>
        <v>Logical: AllergyPsEhn</v>
      </c>
    </row>
    <row r="5" spans="1:11" x14ac:dyDescent="0.75">
      <c r="A5" s="17" t="s">
        <v>19</v>
      </c>
      <c r="B5" s="33" t="s">
        <v>842</v>
      </c>
      <c r="I5" s="24" t="str">
        <f>CONCATENATE("Id: ",B5)</f>
        <v>Id: Allergy</v>
      </c>
    </row>
    <row r="6" spans="1:11" x14ac:dyDescent="0.75">
      <c r="A6" s="17" t="s">
        <v>13</v>
      </c>
      <c r="B6" s="18" t="str">
        <f>PS!C23</f>
        <v>A.2.1.1 Allergy</v>
      </c>
      <c r="I6" s="25" t="str">
        <f>CONCATENATE("Title: ##34#",B6,"##34#")</f>
        <v>Title: ##34#A.2.1.1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387</v>
      </c>
      <c r="C8" s="9" t="s">
        <v>1202</v>
      </c>
      <c r="D8" s="14" t="s">
        <v>1213</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432</v>
      </c>
      <c r="C9" s="9" t="s">
        <v>1203</v>
      </c>
      <c r="D9" s="14" t="s">
        <v>1214</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1164</v>
      </c>
      <c r="C10" s="9" t="s">
        <v>1204</v>
      </c>
      <c r="D10" s="14" t="s">
        <v>1212</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1165</v>
      </c>
      <c r="C11" s="9" t="s">
        <v>1205</v>
      </c>
      <c r="D11" s="14" t="s">
        <v>1215</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1166</v>
      </c>
      <c r="C12" s="9" t="s">
        <v>1206</v>
      </c>
      <c r="D12" s="14" t="s">
        <v>1216</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1167</v>
      </c>
      <c r="C13" s="9" t="s">
        <v>1207</v>
      </c>
      <c r="D13" s="14" t="s">
        <v>1217</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1168</v>
      </c>
      <c r="C14" s="9" t="s">
        <v>1208</v>
      </c>
      <c r="D14" s="14" t="s">
        <v>1218</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385</v>
      </c>
      <c r="C15" s="9" t="s">
        <v>1209</v>
      </c>
      <c r="D15" s="14" t="s">
        <v>1219</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1162</v>
      </c>
      <c r="C16" s="9" t="s">
        <v>1210</v>
      </c>
      <c r="D16" s="14" t="s">
        <v>1220</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1163</v>
      </c>
      <c r="C17" s="9" t="s">
        <v>1211</v>
      </c>
      <c r="D17" s="14" t="s">
        <v>1221</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30" t="s">
        <v>1294</v>
      </c>
      <c r="D25" s="131"/>
      <c r="E25" s="131"/>
      <c r="F25" s="132"/>
    </row>
    <row r="26" spans="1:9" ht="409.6" thickBot="1" x14ac:dyDescent="0.9">
      <c r="B26" t="str">
        <f t="shared" ref="B26:B28" si="1">CONCATENATE(C26," ",D26)</f>
        <v>A.1.4.1 Recipient identifier</v>
      </c>
      <c r="C26" s="35" t="s">
        <v>71</v>
      </c>
      <c r="D26" s="36" t="s">
        <v>72</v>
      </c>
      <c r="E26" s="36" t="s">
        <v>306</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307</v>
      </c>
      <c r="E28" s="36" t="s">
        <v>77</v>
      </c>
      <c r="F28" s="41"/>
      <c r="I28" s="1" t="str">
        <f t="shared" si="2"/>
        <v xml:space="preserve">The healthcare provider organization information. - Preferred system(s): </v>
      </c>
    </row>
    <row r="29" spans="1:9" ht="409.6" thickBot="1" x14ac:dyDescent="0.9">
      <c r="C29" s="35" t="s">
        <v>507</v>
      </c>
      <c r="D29" s="1" t="s">
        <v>57</v>
      </c>
      <c r="E29" s="1" t="s">
        <v>511</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508</v>
      </c>
      <c r="D30" t="s">
        <v>510</v>
      </c>
      <c r="E30" s="1" t="s">
        <v>512</v>
      </c>
      <c r="F30" t="s">
        <v>513</v>
      </c>
      <c r="H30" t="str">
        <f t="shared" ref="H30:H31" si="3">C30&amp;" "&amp;D30</f>
        <v>A.1.4.5 Country</v>
      </c>
      <c r="I30" s="1" t="str">
        <f t="shared" si="2"/>
        <v>Country of the recipient. - Preferred system(s): ISO 3166</v>
      </c>
    </row>
    <row r="31" spans="1:9" ht="192.5" thickBot="1" x14ac:dyDescent="0.9">
      <c r="C31" s="35" t="s">
        <v>509</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1171</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ht="29.5" x14ac:dyDescent="0.75">
      <c r="C7" s="24" t="str">
        <f>'A.2.1.1 Allergy'!I7</f>
        <v>Description:  ##334#A.2.1.1 - Allergy##334#</v>
      </c>
    </row>
    <row r="8" spans="3:7" ht="59"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189</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1172</v>
      </c>
      <c r="D3" s="66" t="s">
        <v>391</v>
      </c>
      <c r="E3" s="142" t="s">
        <v>1185</v>
      </c>
      <c r="F3" s="141"/>
      <c r="G3" s="141"/>
    </row>
    <row r="4" spans="1:19" x14ac:dyDescent="0.75">
      <c r="B4" s="66" t="s">
        <v>19</v>
      </c>
      <c r="C4" s="49" t="s">
        <v>1176</v>
      </c>
      <c r="D4" s="66" t="s">
        <v>392</v>
      </c>
      <c r="E4" s="77" t="s">
        <v>1177</v>
      </c>
    </row>
    <row r="5" spans="1:19" x14ac:dyDescent="0.75">
      <c r="B5" s="66" t="s">
        <v>13</v>
      </c>
      <c r="C5" s="10" t="s">
        <v>1173</v>
      </c>
      <c r="D5" s="66"/>
      <c r="E5" s="10"/>
    </row>
    <row r="6" spans="1:19" x14ac:dyDescent="0.75">
      <c r="B6" s="66" t="s">
        <v>35</v>
      </c>
      <c r="C6" s="65" t="s">
        <v>1185</v>
      </c>
      <c r="D6" s="66" t="s">
        <v>389</v>
      </c>
      <c r="E6" s="142" t="s">
        <v>1185</v>
      </c>
      <c r="F6" s="141"/>
      <c r="G6" s="141"/>
    </row>
    <row r="7" spans="1:19" x14ac:dyDescent="0.75">
      <c r="B7" s="66" t="s">
        <v>18</v>
      </c>
      <c r="C7" s="73" t="s">
        <v>810</v>
      </c>
      <c r="D7" s="66" t="s">
        <v>390</v>
      </c>
      <c r="E7" s="142" t="s">
        <v>1177</v>
      </c>
      <c r="F7" s="141"/>
      <c r="G7" s="141"/>
    </row>
    <row r="8" spans="1:19" ht="44.25" x14ac:dyDescent="0.75">
      <c r="B8" s="66" t="s">
        <v>387</v>
      </c>
      <c r="C8" s="10" t="s">
        <v>1174</v>
      </c>
      <c r="D8" s="66"/>
      <c r="E8"/>
      <c r="I8" s="14" t="s">
        <v>364</v>
      </c>
      <c r="J8" s="14" t="s">
        <v>365</v>
      </c>
      <c r="K8" s="14" t="s">
        <v>366</v>
      </c>
      <c r="L8" s="14" t="s">
        <v>367</v>
      </c>
      <c r="M8" s="9" t="s">
        <v>368</v>
      </c>
      <c r="P8" s="62" t="s">
        <v>369</v>
      </c>
      <c r="Q8" s="62">
        <v>6</v>
      </c>
    </row>
    <row r="9" spans="1:19" ht="29.5" x14ac:dyDescent="0.75">
      <c r="B9" s="66" t="s">
        <v>388</v>
      </c>
      <c r="C9" s="1" t="s">
        <v>1175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'A.2.1.1 Allergy'!B5</f>
        <v>Allergy</v>
      </c>
      <c r="C14" s="9"/>
      <c r="D14" t="s">
        <v>1200</v>
      </c>
      <c r="E14" s="9"/>
      <c r="F14" s="9"/>
      <c r="G14" s="14"/>
      <c r="I14" s="14"/>
      <c r="J14" s="9"/>
      <c r="K14" s="9"/>
      <c r="L14" s="9"/>
      <c r="M14" s="64"/>
      <c r="N14" s="67"/>
    </row>
    <row r="15" spans="1:19" ht="44.25" x14ac:dyDescent="0.75">
      <c r="A15" s="87"/>
      <c r="B15" s="9" t="str">
        <f>'A.2.1.1 Allergy'!B8</f>
        <v>description</v>
      </c>
      <c r="C15" s="9" t="str">
        <f>'A.2.1.1 Allergy'!C8</f>
        <v>A.2.1.1.1 Allergy description</v>
      </c>
      <c r="D15" s="14" t="s">
        <v>443</v>
      </c>
      <c r="E15" s="9"/>
      <c r="F15" s="68" t="s">
        <v>375</v>
      </c>
      <c r="G15" s="75"/>
      <c r="H15" s="69"/>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432</v>
      </c>
      <c r="E16" s="9"/>
      <c r="F16" s="68" t="s">
        <v>375</v>
      </c>
      <c r="G16" s="75"/>
      <c r="H16" s="69"/>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1191</v>
      </c>
      <c r="E17" s="9"/>
      <c r="F17" s="68" t="s">
        <v>376</v>
      </c>
      <c r="G17" s="75" t="s">
        <v>1193</v>
      </c>
      <c r="H17" s="69"/>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1192</v>
      </c>
      <c r="E18" s="9"/>
      <c r="F18" s="68" t="s">
        <v>375</v>
      </c>
      <c r="G18" s="75" t="s">
        <v>1194</v>
      </c>
      <c r="H18" s="69"/>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1195</v>
      </c>
      <c r="E19" s="9"/>
      <c r="F19" s="68" t="s">
        <v>375</v>
      </c>
      <c r="G19" s="75"/>
      <c r="H19" s="69"/>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1166</v>
      </c>
      <c r="E20" s="9"/>
      <c r="F20" s="68" t="s">
        <v>375</v>
      </c>
      <c r="G20" s="75"/>
      <c r="H20" s="69"/>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1197</v>
      </c>
      <c r="E21" s="9"/>
      <c r="F21" s="68" t="s">
        <v>375</v>
      </c>
      <c r="G21" s="75"/>
      <c r="H21" s="69"/>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1196</v>
      </c>
      <c r="E22" s="9"/>
      <c r="F22" s="68" t="s">
        <v>375</v>
      </c>
      <c r="G22" s="75"/>
      <c r="H22" s="69"/>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1198</v>
      </c>
      <c r="E23" s="9"/>
      <c r="F23" s="68" t="s">
        <v>375</v>
      </c>
      <c r="G23" s="75"/>
      <c r="H23" s="69"/>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1199</v>
      </c>
      <c r="E24" s="9"/>
      <c r="F24" s="68" t="s">
        <v>375</v>
      </c>
      <c r="G24" s="75"/>
      <c r="H24" s="69"/>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372</v>
      </c>
      <c r="E25" s="9"/>
      <c r="F25" s="68" t="s">
        <v>375</v>
      </c>
      <c r="G25" s="75"/>
      <c r="H25" s="69"/>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8"/>
      <c r="G26" s="75"/>
      <c r="H26" s="69"/>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8"/>
      <c r="G27" s="75"/>
      <c r="H27" s="69"/>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8"/>
      <c r="G28" s="75"/>
      <c r="H28" s="69"/>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8"/>
      <c r="G29" s="75"/>
      <c r="H29" s="69"/>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8"/>
      <c r="G30" s="91"/>
      <c r="H30" s="69"/>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8"/>
      <c r="G31" s="75"/>
      <c r="H31" s="69"/>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8"/>
      <c r="G32" s="75"/>
      <c r="H32" s="69"/>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8"/>
      <c r="G33" s="75"/>
      <c r="H33" s="69"/>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8"/>
      <c r="G34" s="75"/>
      <c r="H34" s="69"/>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8"/>
      <c r="G35" s="75"/>
      <c r="H35" s="69"/>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8"/>
      <c r="G36" s="75"/>
      <c r="H36" s="69"/>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8"/>
      <c r="G37" s="75"/>
      <c r="H37" s="69"/>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8"/>
      <c r="G38" s="75"/>
      <c r="H38" s="69"/>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8"/>
      <c r="G39" s="75"/>
      <c r="H39" s="69"/>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8"/>
      <c r="G40" s="75"/>
      <c r="H40" s="69"/>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8"/>
      <c r="G41" s="90"/>
      <c r="H41" s="69"/>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69"/>
      <c r="G42" s="90"/>
      <c r="H42" s="69"/>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9"/>
      <c r="G43" s="90"/>
      <c r="H43" s="69"/>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9"/>
      <c r="G44" s="90"/>
      <c r="H44" s="69"/>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9"/>
      <c r="G45" s="90"/>
      <c r="H45" s="69"/>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9"/>
      <c r="G46" s="90"/>
      <c r="H46" s="69"/>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9"/>
      <c r="G47" s="90"/>
      <c r="H47" s="69"/>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9"/>
      <c r="G48" s="90"/>
      <c r="H48" s="69"/>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9"/>
      <c r="G49" s="90"/>
      <c r="H49" s="69"/>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9"/>
      <c r="G50" s="90"/>
      <c r="H50" s="69"/>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9"/>
      <c r="G51" s="90"/>
      <c r="H51" s="69"/>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9"/>
      <c r="G52" s="90"/>
      <c r="H52" s="69"/>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9"/>
      <c r="G53" s="90"/>
      <c r="H53" s="69"/>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9"/>
      <c r="G54" s="90"/>
      <c r="H54" s="69"/>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9"/>
      <c r="G55" s="90"/>
      <c r="H55" s="69"/>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9"/>
      <c r="G56" s="90"/>
      <c r="H56" s="69"/>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1201</v>
      </c>
    </row>
    <row r="3" spans="2:7" x14ac:dyDescent="0.75">
      <c r="B3" s="32" t="s">
        <v>37</v>
      </c>
    </row>
    <row r="4" spans="2:7" x14ac:dyDescent="0.75">
      <c r="B4" s="70" t="str">
        <f>"Instance: "&amp;'Allergy-ConceptMap-1'!C4</f>
        <v>Instance: allergy2FHIR-eu-ps</v>
      </c>
    </row>
    <row r="5" spans="2:7" x14ac:dyDescent="0.75">
      <c r="B5" s="70" t="s">
        <v>379</v>
      </c>
    </row>
    <row r="6" spans="2:7" x14ac:dyDescent="0.75">
      <c r="B6" s="70" t="s">
        <v>380</v>
      </c>
    </row>
    <row r="7" spans="2:7" x14ac:dyDescent="0.75">
      <c r="B7" s="70" t="s">
        <v>386</v>
      </c>
    </row>
    <row r="8" spans="2:7" x14ac:dyDescent="0.75">
      <c r="B8" s="70" t="str">
        <f>"* name = ##34#"&amp;'Allergy-ConceptMap-1'!C3&amp;"##34#"</f>
        <v>* name = ##34#Allergy2FHIR##34#</v>
      </c>
    </row>
    <row r="9" spans="2:7" x14ac:dyDescent="0.75">
      <c r="B9" s="70" t="str">
        <f>"* title = ##34#"&amp;'Allergy-ConceptMap-1'!C5&amp;"##34#"</f>
        <v>* title = ##34#eHN Allergy to this guide Map##34#</v>
      </c>
    </row>
    <row r="10" spans="2:7" x14ac:dyDescent="0.75">
      <c r="B10" s="70" t="s">
        <v>381</v>
      </c>
    </row>
    <row r="11" spans="2:7" x14ac:dyDescent="0.75">
      <c r="B11" s="70" t="s">
        <v>382</v>
      </c>
    </row>
    <row r="12" spans="2:7" x14ac:dyDescent="0.75">
      <c r="B12" s="70" t="str">
        <f>"* description = ##34#"&amp;'Allergy-ConceptMap-1'!C8&amp;"##34#"</f>
        <v>* description = ##34#eHN Allergy Model to this guide Map##34#</v>
      </c>
    </row>
    <row r="13" spans="2:7" x14ac:dyDescent="0.75">
      <c r="B13" s="70" t="str">
        <f>"* purpose = ##34#"&amp;'Allergy-ConceptMap-1'!C9&amp;"##34#"</f>
        <v>* purpose = ##34#It shows how the Patient Summary Allergy data set defined by the EU eHN guidelines is mapped into this guide##34#</v>
      </c>
    </row>
    <row r="14" spans="2:7" x14ac:dyDescent="0.75">
      <c r="B14" s="71" t="str">
        <f>"* sourceUri = ##34#"&amp;'Allergy-ConceptMap-1'!E3&amp;"##34#"</f>
        <v>* sourceUri = ##34#http://hl7.eu/fhir/ig/xpandh/ps/StructureDefinition/Allergy##34#</v>
      </c>
    </row>
    <row r="15" spans="2:7" x14ac:dyDescent="0.75">
      <c r="B15" s="71" t="str">
        <f>"* targetUri = ##34#"&amp;'Allergy-ConceptMap-1'!E4&amp;"##34#"</f>
        <v>* targetUri = ##34#http://hl7.eu/fhir/ig/xpandh/ps/StructureDefinition/AllergyIntolerance-ps-eu-xpandh##34#</v>
      </c>
    </row>
    <row r="16" spans="2:7" x14ac:dyDescent="0.75">
      <c r="B16" s="70"/>
    </row>
    <row r="17" spans="2:7" x14ac:dyDescent="0.75">
      <c r="B17" s="72" t="str">
        <f>"* group[+].source = ##34#"&amp;'Allergy-ConceptMap-1'!E6&amp;"##34#"</f>
        <v>* group[+].source = ##34#http://hl7.eu/fhir/ig/xpandh/ps/StructureDefinition/Allergy##34#</v>
      </c>
    </row>
    <row r="18" spans="2:7" x14ac:dyDescent="0.75">
      <c r="B18" s="72" t="str">
        <f>"* group[=].target = ##34#"&amp;'Allergy-ConceptMap-1'!E7&amp;"##34#"</f>
        <v>* group[=].target = ##34#http://hl7.eu/fhir/ig/xpandh/ps/StructureDefinition/AllergyIntolerance-ps-eu-xpandh##34#</v>
      </c>
    </row>
    <row r="19" spans="2:7" x14ac:dyDescent="0.75">
      <c r="B19" s="74"/>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9"/>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0"/>
    </row>
    <row r="129" spans="2:2" x14ac:dyDescent="0.75">
      <c r="B129" s="72"/>
    </row>
    <row r="130" spans="2:2" x14ac:dyDescent="0.75">
      <c r="B130" s="72"/>
    </row>
    <row r="131" spans="2:2" x14ac:dyDescent="0.75">
      <c r="B131" s="7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649</v>
      </c>
      <c r="I4" s="24" t="str">
        <f>CONCATENATE("Logical: ",B4)</f>
        <v>Logical: AuthorPsEhn</v>
      </c>
    </row>
    <row r="5" spans="1:11" x14ac:dyDescent="0.75">
      <c r="A5" s="17" t="s">
        <v>19</v>
      </c>
      <c r="B5" s="33" t="s">
        <v>232</v>
      </c>
      <c r="I5" s="24" t="str">
        <f>CONCATENATE("Id: ",B5)</f>
        <v>Id: Author</v>
      </c>
    </row>
    <row r="6" spans="1:11" x14ac:dyDescent="0.75">
      <c r="A6" s="17" t="s">
        <v>13</v>
      </c>
      <c r="B6" s="18" t="s">
        <v>521</v>
      </c>
      <c r="I6" s="25" t="str">
        <f>CONCATENATE("Title: ##34#",B6,"##34#")</f>
        <v>Title: ##34#A.1.5 - Author##34#</v>
      </c>
    </row>
    <row r="7" spans="1:11" ht="45" customHeight="1" x14ac:dyDescent="0.75">
      <c r="A7" s="45" t="s">
        <v>5</v>
      </c>
      <c r="B7" s="52" t="s">
        <v>517</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212</v>
      </c>
      <c r="C8" s="9" t="s">
        <v>228</v>
      </c>
      <c r="D8" s="14" t="s">
        <v>309</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229</v>
      </c>
      <c r="D9" s="14" t="s">
        <v>230</v>
      </c>
      <c r="E9" s="9">
        <v>0</v>
      </c>
      <c r="F9" s="9" t="s">
        <v>11</v>
      </c>
      <c r="G9" s="9" t="s">
        <v>235</v>
      </c>
      <c r="H9" s="22"/>
      <c r="I9" s="14" t="str">
        <f t="shared" ref="I9:I14" si="0">CONCATENATE("* ",B9, " ",E9,"..",F9," ",G9," ##34#",C9,"##34# ##334#",D9,"##334#")</f>
        <v>* name 0..* HumanName ##34#A.1.5.2 Author name##34# ##334#Person or device name. - Preferred system(s): ##334#</v>
      </c>
    </row>
    <row r="10" spans="1:11" ht="30.25" customHeight="1" x14ac:dyDescent="0.75">
      <c r="A10" s="9">
        <v>3</v>
      </c>
      <c r="B10" s="9" t="s">
        <v>214</v>
      </c>
      <c r="C10" s="9" t="s">
        <v>308</v>
      </c>
      <c r="D10" s="14" t="s">
        <v>220</v>
      </c>
      <c r="E10" s="9">
        <v>0</v>
      </c>
      <c r="F10" s="9" t="s">
        <v>11</v>
      </c>
      <c r="G10" s="9" t="s">
        <v>215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78</v>
      </c>
      <c r="D26" s="131"/>
      <c r="E26" s="131"/>
      <c r="F26" s="132"/>
    </row>
    <row r="27" spans="2:9" ht="409.6" thickBot="1" x14ac:dyDescent="0.9">
      <c r="B27" t="str">
        <f t="shared" ref="B27:B29" si="2">CONCATENATE(C27," ",D27)</f>
        <v>A.1.5.1 Author identifier</v>
      </c>
      <c r="C27" s="35" t="s">
        <v>79</v>
      </c>
      <c r="D27" s="36" t="s">
        <v>80</v>
      </c>
      <c r="E27" s="36" t="s">
        <v>310</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311</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233</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234</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329</v>
      </c>
      <c r="E9" s="4" t="str">
        <f>CONCATENATE("* -&gt; ##34#",C9,"##34#")</f>
        <v>* -&gt; ##34#Composition.author.resolve()##34#</v>
      </c>
      <c r="H9" s="10"/>
      <c r="I9" s="10"/>
      <c r="J9" s="10"/>
      <c r="K9" s="10"/>
      <c r="L9" s="10"/>
      <c r="M9" s="10"/>
      <c r="N9" s="10"/>
      <c r="O9" s="10"/>
    </row>
    <row r="10" spans="1:15" ht="44.25" x14ac:dyDescent="0.75">
      <c r="A10" s="9"/>
      <c r="B10" s="56" t="str">
        <f>'A1.5 Author'!$B$8</f>
        <v>identifier</v>
      </c>
      <c r="C10" s="9" t="s">
        <v>533</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534</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535</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536</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696</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189</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1119</v>
      </c>
      <c r="D3" s="66" t="s">
        <v>391</v>
      </c>
      <c r="E3" s="77" t="s">
        <v>1186</v>
      </c>
    </row>
    <row r="4" spans="1:19" x14ac:dyDescent="0.75">
      <c r="B4" s="66" t="s">
        <v>19</v>
      </c>
      <c r="C4" s="49" t="s">
        <v>787</v>
      </c>
      <c r="D4" s="66" t="s">
        <v>392</v>
      </c>
      <c r="E4" t="str">
        <f>'Author-ConceptMap-2-delete'!E4</f>
        <v>http://hl7.eu/fhir/ig/xpandh/ps/StructureDefinition/Bundle-eu-ps</v>
      </c>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2" t="s">
        <v>1180</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14" t="s">
        <v>180</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480</v>
      </c>
      <c r="E15" s="9"/>
      <c r="F15" s="68" t="s">
        <v>375</v>
      </c>
      <c r="G15" s="68"/>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481</v>
      </c>
      <c r="E16" s="9"/>
      <c r="F16" s="68" t="s">
        <v>375</v>
      </c>
      <c r="G16" s="91" t="s">
        <v>553</v>
      </c>
      <c r="H16" s="69"/>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541</v>
      </c>
      <c r="E17" s="9"/>
      <c r="F17" s="68" t="s">
        <v>375</v>
      </c>
      <c r="G17" s="14" t="s">
        <v>554</v>
      </c>
      <c r="H17" s="69"/>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551</v>
      </c>
      <c r="E18" s="9"/>
      <c r="F18" s="68" t="s">
        <v>375</v>
      </c>
      <c r="G18" s="75" t="s">
        <v>572</v>
      </c>
      <c r="H18" s="69"/>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482</v>
      </c>
      <c r="E19" s="9"/>
      <c r="F19" s="68" t="s">
        <v>375</v>
      </c>
      <c r="G19" s="14" t="s">
        <v>555</v>
      </c>
      <c r="H19" s="69"/>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552</v>
      </c>
      <c r="E20" s="9"/>
      <c r="F20" s="68" t="s">
        <v>375</v>
      </c>
      <c r="G20" s="75" t="s">
        <v>572</v>
      </c>
      <c r="H20" s="69"/>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8"/>
      <c r="G21" s="68"/>
      <c r="H21" s="69"/>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8"/>
      <c r="G22" s="68"/>
      <c r="H22" s="69"/>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8"/>
      <c r="G23" s="68"/>
      <c r="H23" s="69"/>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8"/>
      <c r="G24" s="68"/>
      <c r="H24" s="69"/>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8"/>
      <c r="G25" s="68"/>
      <c r="H25" s="69"/>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8"/>
      <c r="G26" s="68"/>
      <c r="H26" s="69"/>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8"/>
      <c r="G27" s="68"/>
      <c r="H27" s="69"/>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8"/>
      <c r="G28" s="68"/>
      <c r="H28" s="69"/>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8"/>
      <c r="G29" s="68"/>
      <c r="H29" s="69"/>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8"/>
      <c r="G30" s="68"/>
      <c r="H30" s="69"/>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8"/>
      <c r="G31" s="68"/>
      <c r="H31" s="69"/>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8"/>
      <c r="G32" s="68"/>
      <c r="H32" s="69"/>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8"/>
      <c r="G33" s="68"/>
      <c r="H33" s="69"/>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8"/>
      <c r="G34" s="68"/>
      <c r="H34" s="69"/>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8"/>
      <c r="G35" s="68"/>
      <c r="H35" s="69"/>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8"/>
      <c r="G36" s="68"/>
      <c r="H36" s="69"/>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8"/>
      <c r="G37" s="68"/>
      <c r="H37" s="69"/>
      <c r="K37" s="69"/>
      <c r="L37" s="69"/>
      <c r="M37" s="67"/>
      <c r="N37" s="67"/>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8"/>
      <c r="G38" s="68"/>
      <c r="H38" s="69"/>
      <c r="K38" s="69"/>
      <c r="L38" s="69"/>
      <c r="M38" s="67"/>
      <c r="N38" s="67"/>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8"/>
      <c r="G39" s="69"/>
      <c r="H39" s="69"/>
      <c r="J39"/>
      <c r="K39" s="69"/>
      <c r="L39" s="69"/>
      <c r="M39" s="67"/>
      <c r="N39" s="67"/>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69"/>
      <c r="G40" s="69"/>
      <c r="H40" s="69"/>
      <c r="J40"/>
      <c r="K40" s="69"/>
      <c r="L40" s="69"/>
      <c r="M40" s="67"/>
      <c r="N40" s="67"/>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1119</v>
      </c>
      <c r="D3" s="66" t="s">
        <v>391</v>
      </c>
      <c r="E3" s="77" t="s">
        <v>1186</v>
      </c>
    </row>
    <row r="4" spans="1:19" x14ac:dyDescent="0.75">
      <c r="B4" s="66" t="s">
        <v>19</v>
      </c>
      <c r="C4" s="49" t="s">
        <v>787</v>
      </c>
      <c r="D4" s="66" t="s">
        <v>392</v>
      </c>
      <c r="E4" s="142" t="s">
        <v>1179</v>
      </c>
      <c r="F4" s="141"/>
      <c r="G4" s="141"/>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1" t="s">
        <v>1187</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474</v>
      </c>
      <c r="E15" s="9"/>
      <c r="F15" s="68" t="s">
        <v>376</v>
      </c>
      <c r="G15" s="68" t="s">
        <v>399</v>
      </c>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477</v>
      </c>
      <c r="E16" s="9"/>
      <c r="F16" s="68" t="s">
        <v>376</v>
      </c>
      <c r="G16" s="68" t="s">
        <v>420</v>
      </c>
      <c r="H16" s="69"/>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475</v>
      </c>
      <c r="E17" s="9"/>
      <c r="F17" s="68" t="s">
        <v>376</v>
      </c>
      <c r="G17" s="75" t="s">
        <v>556</v>
      </c>
      <c r="H17" s="69"/>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571</v>
      </c>
      <c r="E18" s="9"/>
      <c r="F18" s="68" t="s">
        <v>376</v>
      </c>
      <c r="G18" s="75" t="s">
        <v>557</v>
      </c>
      <c r="H18" s="69"/>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478</v>
      </c>
      <c r="E19" s="9"/>
      <c r="F19" s="68" t="s">
        <v>376</v>
      </c>
      <c r="G19" s="75" t="s">
        <v>558</v>
      </c>
      <c r="H19" s="69"/>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538</v>
      </c>
      <c r="E20" s="9"/>
      <c r="F20" s="68" t="s">
        <v>376</v>
      </c>
      <c r="G20" s="75" t="s">
        <v>559</v>
      </c>
      <c r="H20" s="69"/>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476</v>
      </c>
      <c r="E21" s="9"/>
      <c r="F21" s="68" t="s">
        <v>376</v>
      </c>
      <c r="G21" s="75" t="s">
        <v>557</v>
      </c>
      <c r="H21" s="69"/>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479</v>
      </c>
      <c r="E22" s="9"/>
      <c r="F22" s="68" t="s">
        <v>376</v>
      </c>
      <c r="G22" s="75" t="s">
        <v>559</v>
      </c>
      <c r="H22" s="69"/>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8"/>
      <c r="G23" s="68"/>
      <c r="H23" s="69"/>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8"/>
      <c r="G24" s="68"/>
      <c r="H24" s="69"/>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8"/>
      <c r="G25" s="68"/>
      <c r="H25" s="69"/>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8"/>
      <c r="G26" s="68"/>
      <c r="H26" s="69"/>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8"/>
      <c r="G27" s="68"/>
      <c r="H27" s="69"/>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8"/>
      <c r="G28" s="68"/>
      <c r="H28" s="69"/>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8"/>
      <c r="G29" s="68"/>
      <c r="H29" s="69"/>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8"/>
      <c r="G30" s="68"/>
      <c r="H30" s="69"/>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8"/>
      <c r="G31" s="68"/>
      <c r="H31" s="69"/>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8"/>
      <c r="G32" s="68"/>
      <c r="H32" s="69"/>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8"/>
      <c r="G33" s="68"/>
      <c r="H33" s="69"/>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8"/>
      <c r="G34" s="68"/>
      <c r="H34" s="69"/>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8"/>
      <c r="G35" s="68"/>
      <c r="H35" s="69"/>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8"/>
      <c r="G36" s="68"/>
      <c r="H36" s="69"/>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8"/>
      <c r="G37" s="68"/>
      <c r="H37" s="69"/>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8"/>
      <c r="G38" s="68"/>
      <c r="H38" s="69"/>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8"/>
      <c r="G39" s="68"/>
      <c r="H39" s="69"/>
      <c r="K39" s="69"/>
      <c r="L39" s="69"/>
      <c r="M39" s="67"/>
      <c r="N39" s="67"/>
      <c r="P39" s="9">
        <v>25</v>
      </c>
      <c r="Q39" s="9">
        <f t="shared" si="13"/>
        <v>4</v>
      </c>
      <c r="R39" s="9">
        <f t="shared" si="14"/>
        <v>1</v>
      </c>
      <c r="S39" s="14" t="str" cm="1">
        <f t="array" ref="S39">INDEX('Author-ConceptMap-2'!$I$15:$N$125,Q39+1,R39)</f>
        <v>* group[=].element[+].code = #Author.name</v>
      </c>
    </row>
    <row r="40" spans="1:19" x14ac:dyDescent="0.75">
      <c r="B40" s="9"/>
      <c r="C40" s="9"/>
      <c r="D40" s="14"/>
      <c r="E40" s="14"/>
      <c r="F40" s="68"/>
      <c r="G40" s="68"/>
      <c r="H40" s="69"/>
      <c r="K40" s="69"/>
      <c r="L40" s="69"/>
      <c r="M40" s="67"/>
      <c r="N40" s="67"/>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8"/>
      <c r="G41" s="69"/>
      <c r="H41" s="69"/>
      <c r="J41"/>
      <c r="K41" s="69"/>
      <c r="L41" s="69"/>
      <c r="M41" s="67"/>
      <c r="N41" s="67"/>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69"/>
      <c r="G42" s="69"/>
      <c r="H42" s="69"/>
      <c r="J42"/>
      <c r="K42" s="69"/>
      <c r="L42" s="69"/>
      <c r="M42" s="67"/>
      <c r="N42" s="67"/>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9"/>
      <c r="G43" s="69"/>
      <c r="H43" s="69"/>
      <c r="J43"/>
      <c r="K43" s="69"/>
      <c r="L43" s="69"/>
      <c r="M43" s="67"/>
      <c r="N43" s="67"/>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9"/>
      <c r="G44" s="69"/>
      <c r="H44" s="69"/>
      <c r="J44" s="69"/>
      <c r="K44" s="69"/>
      <c r="L44" s="69"/>
      <c r="M44" s="67"/>
      <c r="N44" s="67"/>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9"/>
      <c r="G45" s="69"/>
      <c r="H45" s="69"/>
      <c r="J45" s="69"/>
      <c r="K45" s="69"/>
      <c r="L45" s="69"/>
      <c r="M45" s="67"/>
      <c r="N45" s="67"/>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414</v>
      </c>
      <c r="D3" s="66" t="s">
        <v>391</v>
      </c>
      <c r="E3" s="77" t="s">
        <v>1186</v>
      </c>
    </row>
    <row r="4" spans="1:19" x14ac:dyDescent="0.75">
      <c r="B4" s="66" t="s">
        <v>19</v>
      </c>
      <c r="C4" s="49" t="s">
        <v>415</v>
      </c>
      <c r="D4" s="66" t="s">
        <v>392</v>
      </c>
      <c r="E4" t="str">
        <f>'Author-ConceptMap-2'!E4</f>
        <v>http://hl7.eu/fhir/ig/xpandh/ps/StructureDefinition/Bundle-eu-ps</v>
      </c>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1" t="s">
        <v>1187</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59" x14ac:dyDescent="0.75">
      <c r="A15" s="22"/>
      <c r="B15" s="56" t="s">
        <v>393</v>
      </c>
      <c r="C15" s="56" t="s">
        <v>226</v>
      </c>
      <c r="D15" s="14" t="s">
        <v>453</v>
      </c>
      <c r="E15" s="56"/>
      <c r="F15" s="68" t="s">
        <v>376</v>
      </c>
      <c r="G15" s="68" t="s">
        <v>420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477</v>
      </c>
      <c r="E16" s="9"/>
      <c r="F16" s="68" t="s">
        <v>376</v>
      </c>
      <c r="G16" s="68" t="s">
        <v>420</v>
      </c>
      <c r="H16" s="69"/>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478</v>
      </c>
      <c r="E17" s="9"/>
      <c r="F17" s="68" t="s">
        <v>376</v>
      </c>
      <c r="G17" s="68" t="s">
        <v>537</v>
      </c>
      <c r="H17" s="69"/>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538</v>
      </c>
      <c r="E18" s="9"/>
      <c r="F18" s="68" t="s">
        <v>376</v>
      </c>
      <c r="G18" s="68" t="s">
        <v>539</v>
      </c>
      <c r="H18" s="69"/>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479</v>
      </c>
      <c r="E19" s="9"/>
      <c r="F19" s="68" t="s">
        <v>376</v>
      </c>
      <c r="G19" s="68" t="s">
        <v>540</v>
      </c>
      <c r="H19" s="69"/>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8"/>
      <c r="G20" s="68"/>
      <c r="H20" s="69"/>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8"/>
      <c r="G21" s="68"/>
      <c r="H21" s="69"/>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8"/>
      <c r="G22" s="68"/>
      <c r="H22" s="69"/>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8"/>
      <c r="G23" s="68"/>
      <c r="H23" s="69"/>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8"/>
      <c r="G24" s="68"/>
      <c r="H24" s="69"/>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8"/>
      <c r="G25" s="68"/>
      <c r="H25" s="69"/>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8"/>
      <c r="G26" s="68"/>
      <c r="H26" s="69"/>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8"/>
      <c r="G27" s="68"/>
      <c r="H27" s="69"/>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8"/>
      <c r="G28" s="68"/>
      <c r="H28" s="69"/>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8"/>
      <c r="G29" s="68"/>
      <c r="H29" s="69"/>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8"/>
      <c r="G30" s="68"/>
      <c r="H30" s="69"/>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8"/>
      <c r="G31" s="68"/>
      <c r="H31" s="69"/>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8"/>
      <c r="G32" s="68"/>
      <c r="H32" s="69"/>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8"/>
      <c r="G33" s="68"/>
      <c r="H33" s="69"/>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8"/>
      <c r="G34" s="68"/>
      <c r="H34" s="69"/>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8"/>
      <c r="G35" s="68"/>
      <c r="H35" s="69"/>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8"/>
      <c r="G36" s="68"/>
      <c r="H36" s="69"/>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8"/>
      <c r="G37" s="68"/>
      <c r="H37" s="69"/>
      <c r="K37" s="69"/>
      <c r="L37" s="69"/>
      <c r="M37" s="67"/>
      <c r="N37" s="67"/>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8"/>
      <c r="G38" s="68"/>
      <c r="H38" s="69"/>
      <c r="K38" s="69"/>
      <c r="L38" s="69"/>
      <c r="M38" s="67"/>
      <c r="N38" s="67"/>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8"/>
      <c r="G39" s="69"/>
      <c r="H39" s="69"/>
      <c r="J39"/>
      <c r="K39" s="69"/>
      <c r="L39" s="69"/>
      <c r="M39" s="67"/>
      <c r="N39" s="67"/>
      <c r="P39">
        <v>25</v>
      </c>
      <c r="Q39" s="9">
        <f t="shared" si="17"/>
        <v>4</v>
      </c>
      <c r="R39" s="9">
        <f t="shared" si="18"/>
        <v>1</v>
      </c>
      <c r="S39" s="14" cm="1">
        <f t="array" ref="S39">INDEX('Author-ConceptMap-2-delete'!$I$16:$N$121,Q39+1,R39)</f>
        <v>0</v>
      </c>
    </row>
    <row r="40" spans="1:19" s="1" customFormat="1" x14ac:dyDescent="0.75">
      <c r="A40"/>
      <c r="B40" s="9"/>
      <c r="C40" s="9"/>
      <c r="D40" s="54"/>
      <c r="F40" s="69"/>
      <c r="G40" s="69"/>
      <c r="H40" s="69"/>
      <c r="J40"/>
      <c r="K40" s="69"/>
      <c r="L40" s="69"/>
      <c r="M40" s="67"/>
      <c r="N40" s="67"/>
      <c r="P40" s="9">
        <v>26</v>
      </c>
      <c r="Q40" s="9">
        <f t="shared" si="17"/>
        <v>4</v>
      </c>
      <c r="R40" s="9">
        <f t="shared" si="18"/>
        <v>2</v>
      </c>
      <c r="S40" s="14" cm="1">
        <f t="array" ref="S40">INDEX('Author-ConceptMap-2-delete'!$I$16:$N$121,Q40+1,R40)</f>
        <v>0</v>
      </c>
    </row>
    <row r="41" spans="1:19" s="1" customFormat="1" x14ac:dyDescent="0.75">
      <c r="A41"/>
      <c r="B41" s="9"/>
      <c r="C41" s="9"/>
      <c r="F41" s="69"/>
      <c r="G41" s="69"/>
      <c r="H41" s="69"/>
      <c r="J41"/>
      <c r="K41" s="69"/>
      <c r="L41" s="69"/>
      <c r="M41" s="67"/>
      <c r="N41" s="67"/>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418</v>
      </c>
    </row>
    <row r="3" spans="2:7" x14ac:dyDescent="0.75">
      <c r="B3" s="32" t="s">
        <v>37</v>
      </c>
    </row>
    <row r="4" spans="2:7" x14ac:dyDescent="0.75">
      <c r="B4" s="70" t="str">
        <f>"Instance: "&amp;'Author-ConceptMap-2'!C4</f>
        <v>Instance: author2FHIR-eu-ps</v>
      </c>
    </row>
    <row r="5" spans="2:7" x14ac:dyDescent="0.75">
      <c r="B5" s="70" t="s">
        <v>379</v>
      </c>
    </row>
    <row r="6" spans="2:7" x14ac:dyDescent="0.75">
      <c r="B6" s="70" t="s">
        <v>380</v>
      </c>
    </row>
    <row r="7" spans="2:7" x14ac:dyDescent="0.75">
      <c r="B7" s="70" t="s">
        <v>386</v>
      </c>
    </row>
    <row r="8" spans="2:7" x14ac:dyDescent="0.75">
      <c r="B8" s="70" t="str">
        <f>"* name = ##34#"&amp;'Author-ConceptMap-2'!C3&amp;"##34#"</f>
        <v>* name = ##34#PatientSummaryAuthor2FHIR##34#</v>
      </c>
    </row>
    <row r="9" spans="2:7" x14ac:dyDescent="0.75">
      <c r="B9" s="70" t="str">
        <f>"* title = ##34#"&amp;'Author-ConceptMap-2'!C5&amp;"##34#"</f>
        <v>* title = ##34#eHN Author to this guide Map##34#</v>
      </c>
    </row>
    <row r="10" spans="2:7" x14ac:dyDescent="0.75">
      <c r="B10" s="70" t="s">
        <v>381</v>
      </c>
    </row>
    <row r="11" spans="2:7" x14ac:dyDescent="0.75">
      <c r="B11" s="70" t="s">
        <v>382</v>
      </c>
    </row>
    <row r="12" spans="2:7" x14ac:dyDescent="0.75">
      <c r="B12" s="70" t="str">
        <f>"* description = ##34#"&amp;'Author-ConceptMap-2'!C8&amp;"##34#"</f>
        <v>* description = ##34#eHN Author Model to this guide Map##34#</v>
      </c>
    </row>
    <row r="13" spans="2:7" x14ac:dyDescent="0.75">
      <c r="B13" s="70" t="str">
        <f>"* purpose = ##34#"&amp;'Author-ConceptMap-2'!C9&amp;"##34#"</f>
        <v>* purpose = ##34#It shows how the Patient Summary Author data set defined by the EU eHN guidelines is mapped into this guide##34#</v>
      </c>
    </row>
    <row r="14" spans="2:7" x14ac:dyDescent="0.75">
      <c r="B14" s="71" t="str">
        <f>"* sourceUri = ##34#"&amp;'Author-ConceptMap-2'!E3&amp;"##34#"</f>
        <v>* sourceUri = ##34#http://hl7.eu/fhir/ig/xpandh/ps/StructureDefinition/Author##34#</v>
      </c>
    </row>
    <row r="15" spans="2:7" x14ac:dyDescent="0.75">
      <c r="B15" s="71" t="str">
        <f>"* targetUri = ##34#"&amp;'Author-ConceptMap-2'!E4&amp;"##34#"</f>
        <v>* targetUri = ##34#http://hl7.eu/fhir/ig/xpandh/ps/StructureDefinition/Bundle-eu-ps##34#</v>
      </c>
    </row>
    <row r="16" spans="2:7" x14ac:dyDescent="0.75">
      <c r="B16" s="70"/>
    </row>
    <row r="17" spans="2:2" x14ac:dyDescent="0.75">
      <c r="B17" s="70"/>
    </row>
    <row r="18" spans="2:2" x14ac:dyDescent="0.75">
      <c r="B18" s="72" t="str">
        <f>"* group[+].source = ##34#"&amp;'Author-ConceptMap-1'!E6&amp;"##34#"</f>
        <v>* group[+].source = ##34#http://hl7.eu/fhir/ig/xpandh/ps/StructureDefinition/Author##34#</v>
      </c>
    </row>
    <row r="19" spans="2:2" x14ac:dyDescent="0.75">
      <c r="B19" s="72" t="str">
        <f>"* group[=].target = ##34#"&amp;'Author-ConceptMap-1'!E7&amp;"##34#"</f>
        <v>* group[=].target = ##34#http://hl7.eu/fhir/ig/xpandh/ps/StructureDefinition/Composition-eu-ps##34#</v>
      </c>
    </row>
    <row r="20" spans="2:2" x14ac:dyDescent="0.75">
      <c r="B20" s="74"/>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2" t="str">
        <f>"* group[+].source = ##34#"&amp;'Author-ConceptMap-2'!E6&amp;"##34#"</f>
        <v>* group[+].source = ##34#http://hl7.eu/fhir/ig/xpandh/ps/StructureDefinition/Author##34#</v>
      </c>
    </row>
    <row r="64" spans="2:2" x14ac:dyDescent="0.75">
      <c r="B64" s="72" t="str">
        <f>"* group[=].target = ##34#"&amp;'Author-ConceptMap-2'!E7&amp;"##34#"</f>
        <v>* group[=].target = ##34#http://hl7.eu/fhir/ig/xpandh/ps/StructureDefinition/DiagnosticReport-eu-ps##34#</v>
      </c>
    </row>
    <row r="65" spans="2:7" x14ac:dyDescent="0.75">
      <c r="B65" s="74"/>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650</v>
      </c>
      <c r="I4" s="24" t="str">
        <f>CONCATENATE("Logical: ",B4)</f>
        <v>Logical: LegalAuthenticatorPsEhn</v>
      </c>
    </row>
    <row r="5" spans="1:11" x14ac:dyDescent="0.75">
      <c r="A5" s="17" t="s">
        <v>19</v>
      </c>
      <c r="B5" s="33" t="s">
        <v>227</v>
      </c>
      <c r="I5" s="24" t="str">
        <f>CONCATENATE("Id: ",B5)</f>
        <v>Id: LegalAuthenticator</v>
      </c>
    </row>
    <row r="6" spans="1:11" x14ac:dyDescent="0.75">
      <c r="A6" s="17" t="s">
        <v>13</v>
      </c>
      <c r="B6" s="18" t="s">
        <v>523</v>
      </c>
      <c r="I6" s="25" t="str">
        <f>CONCATENATE("Title: ##34#",B6,"##34#")</f>
        <v>Title: ##34#A.1.6 - Legal authenticator##34#</v>
      </c>
    </row>
    <row r="7" spans="1:11" ht="44.25" x14ac:dyDescent="0.75">
      <c r="A7" s="45" t="s">
        <v>5</v>
      </c>
      <c r="B7" s="52" t="s">
        <v>518</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212</v>
      </c>
      <c r="C8" s="9" t="s">
        <v>217</v>
      </c>
      <c r="D8" s="14" t="s">
        <v>313</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218</v>
      </c>
      <c r="D9" s="14" t="s">
        <v>216</v>
      </c>
      <c r="E9" s="9">
        <v>0</v>
      </c>
      <c r="F9" s="9" t="s">
        <v>11</v>
      </c>
      <c r="G9" s="9" t="s">
        <v>235</v>
      </c>
      <c r="H9" s="22"/>
      <c r="I9" s="14" t="str">
        <f t="shared" ref="I9:I14" si="0">CONCATENATE("* ",B9, " ",E9,"..",F9," ",G9," ##34#",C9,"##34# ##334#",D9,"##334#")</f>
        <v>* name 0..* HumanName ##34#A.1.6.2 Legal authenticator name##34# ##334#Person name. - Preferred system(s): ##334#</v>
      </c>
    </row>
    <row r="10" spans="1:11" ht="30.25" customHeight="1" x14ac:dyDescent="0.75">
      <c r="A10" s="9">
        <v>3</v>
      </c>
      <c r="B10" s="9" t="s">
        <v>214</v>
      </c>
      <c r="C10" s="9" t="s">
        <v>312</v>
      </c>
      <c r="D10" s="14" t="s">
        <v>220</v>
      </c>
      <c r="E10" s="9">
        <v>0</v>
      </c>
      <c r="F10" s="9" t="s">
        <v>11</v>
      </c>
      <c r="G10" s="9" t="s">
        <v>215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219</v>
      </c>
      <c r="D11" s="54" t="s">
        <v>221</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0" t="s">
        <v>85</v>
      </c>
      <c r="D26" s="131"/>
      <c r="E26" s="131"/>
      <c r="F26" s="132"/>
    </row>
    <row r="27" spans="2:9" ht="384.75" customHeight="1" thickBot="1" x14ac:dyDescent="0.9">
      <c r="B27" t="str">
        <f t="shared" ref="B27:B30" si="2">CONCATENATE(C27," ",D27)</f>
        <v>A.1.6.1 Legal authenticator identifier</v>
      </c>
      <c r="C27" s="35" t="s">
        <v>86</v>
      </c>
      <c r="D27" s="38" t="s">
        <v>87</v>
      </c>
      <c r="E27" s="36" t="s">
        <v>314</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315</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222</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223</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231</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542</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6" t="str">
        <f>'A1.6 LegalAuth'!$B$8</f>
        <v>identifier</v>
      </c>
      <c r="C11" s="9" t="s">
        <v>543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544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545</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330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331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533</v>
      </c>
    </row>
    <row r="31" spans="1:15" x14ac:dyDescent="0.75">
      <c r="C31" s="9" t="s">
        <v>534</v>
      </c>
      <c r="E31" s="21"/>
    </row>
    <row r="32" spans="1:15" x14ac:dyDescent="0.75">
      <c r="C32" s="9" t="s">
        <v>535</v>
      </c>
    </row>
    <row r="33" spans="3:3" x14ac:dyDescent="0.75">
      <c r="C33" s="9" t="s">
        <v>536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697</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189</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424</v>
      </c>
      <c r="D3" s="66" t="s">
        <v>391</v>
      </c>
      <c r="E3" s="142" t="str">
        <f>"http://hl7.eu/fhir/ig/xpandh/ps/StructureDefinition/"&amp;'A1.6 LegalAuth'!B5</f>
        <v>http://hl7.eu/fhir/ig/xpandh/ps/StructureDefinition/LegalAuthenticator</v>
      </c>
      <c r="F3" s="141"/>
      <c r="G3" s="141"/>
    </row>
    <row r="4" spans="1:19" x14ac:dyDescent="0.75">
      <c r="B4" s="66" t="s">
        <v>19</v>
      </c>
      <c r="C4" s="49" t="s">
        <v>788</v>
      </c>
      <c r="D4" s="66" t="s">
        <v>392</v>
      </c>
      <c r="E4" s="142" t="s">
        <v>1180</v>
      </c>
      <c r="F4" s="141"/>
      <c r="G4" s="141"/>
    </row>
    <row r="5" spans="1:19" x14ac:dyDescent="0.75">
      <c r="B5" s="66" t="s">
        <v>13</v>
      </c>
      <c r="C5" s="10" t="s">
        <v>413</v>
      </c>
      <c r="D5" s="66"/>
      <c r="E5" s="10"/>
    </row>
    <row r="6" spans="1:19" x14ac:dyDescent="0.75">
      <c r="B6" s="66" t="s">
        <v>35</v>
      </c>
      <c r="C6" s="65"/>
      <c r="D6" s="66" t="s">
        <v>389</v>
      </c>
      <c r="E6" s="142" t="str">
        <f>E3</f>
        <v>http://hl7.eu/fhir/ig/xpandh/ps/StructureDefinition/LegalAuthenticator</v>
      </c>
      <c r="F6" s="141"/>
      <c r="G6" s="141"/>
    </row>
    <row r="7" spans="1:19" x14ac:dyDescent="0.75">
      <c r="B7" s="66" t="s">
        <v>18</v>
      </c>
      <c r="C7" s="73"/>
      <c r="D7" s="66" t="s">
        <v>390</v>
      </c>
      <c r="E7" s="142" t="str">
        <f>E4</f>
        <v>http://hl7.eu/fhir/ig/xpandh/ps/StructureDefinition/Composition-eu-ps</v>
      </c>
      <c r="F7" s="141"/>
      <c r="G7" s="141"/>
    </row>
    <row r="8" spans="1:19" ht="44.25" x14ac:dyDescent="0.75">
      <c r="B8" s="66" t="s">
        <v>387</v>
      </c>
      <c r="C8" s="10" t="s">
        <v>421</v>
      </c>
      <c r="D8" s="66"/>
      <c r="E8"/>
      <c r="I8" s="14" t="s">
        <v>364</v>
      </c>
      <c r="J8" s="14" t="s">
        <v>365</v>
      </c>
      <c r="K8" s="14" t="s">
        <v>366</v>
      </c>
      <c r="L8" s="14" t="s">
        <v>367</v>
      </c>
      <c r="M8" s="9" t="s">
        <v>368</v>
      </c>
      <c r="P8" s="62" t="s">
        <v>369</v>
      </c>
      <c r="Q8" s="62">
        <v>6</v>
      </c>
    </row>
    <row r="9" spans="1:19" ht="29.5" x14ac:dyDescent="0.75">
      <c r="B9" s="66" t="s">
        <v>388</v>
      </c>
      <c r="C9" s="1" t="s">
        <v>422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'A1.6 LegalAuth'!B5</f>
        <v>LegalAuthenticator</v>
      </c>
      <c r="C14" s="9"/>
      <c r="D14" t="s">
        <v>180</v>
      </c>
      <c r="E14" s="8"/>
      <c r="F14" s="9"/>
      <c r="G14" t="s">
        <v>426</v>
      </c>
      <c r="I14" s="14"/>
      <c r="J14" s="9"/>
      <c r="K14" s="9"/>
      <c r="L14" s="9"/>
      <c r="M14" s="64"/>
      <c r="N14" s="67"/>
    </row>
    <row r="15" spans="1:19" ht="73.75" x14ac:dyDescent="0.75">
      <c r="A15" s="22"/>
      <c r="B15" s="9" t="str">
        <f>'A1.6 LegalAuth'!B8</f>
        <v>identifier</v>
      </c>
      <c r="C15" s="9" t="str">
        <f>'A1.6 LegalAuth'!C8</f>
        <v>A.1.6.1 Legal authenticator identifier</v>
      </c>
      <c r="D15" s="14" t="s">
        <v>483</v>
      </c>
      <c r="E15" s="9"/>
      <c r="F15" s="68" t="s">
        <v>375</v>
      </c>
      <c r="G15" t="s">
        <v>484</v>
      </c>
      <c r="H15" s="69"/>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485</v>
      </c>
      <c r="E16" s="9"/>
      <c r="F16" s="68" t="s">
        <v>375</v>
      </c>
      <c r="G16" s="14" t="s">
        <v>546</v>
      </c>
      <c r="H16" s="69"/>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547</v>
      </c>
      <c r="E17" s="9"/>
      <c r="F17" s="68" t="s">
        <v>375</v>
      </c>
      <c r="G17" s="14" t="s">
        <v>548</v>
      </c>
      <c r="H17" s="69"/>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486</v>
      </c>
      <c r="E18" s="9"/>
      <c r="F18" s="68" t="s">
        <v>375</v>
      </c>
      <c r="G18" s="14" t="s">
        <v>549</v>
      </c>
      <c r="H18" s="69"/>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487</v>
      </c>
      <c r="E19" s="9"/>
      <c r="F19" s="68" t="s">
        <v>375</v>
      </c>
      <c r="G19" s="14" t="s">
        <v>488</v>
      </c>
      <c r="H19" s="69"/>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8"/>
      <c r="G20" s="68"/>
      <c r="H20" s="69"/>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8"/>
      <c r="G21" s="68"/>
      <c r="H21" s="69"/>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8"/>
      <c r="G22" s="68"/>
      <c r="H22" s="69"/>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8"/>
      <c r="G23" s="68"/>
      <c r="H23" s="69"/>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8"/>
      <c r="G24" s="68"/>
      <c r="H24" s="69"/>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8"/>
      <c r="G25" s="68"/>
      <c r="H25" s="69"/>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8"/>
      <c r="G26" s="68"/>
      <c r="H26" s="69"/>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8"/>
      <c r="G27" s="68"/>
      <c r="H27" s="69"/>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8"/>
      <c r="G28" s="68"/>
      <c r="H28" s="69"/>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8"/>
      <c r="G29" s="68"/>
      <c r="H29" s="69"/>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8"/>
      <c r="G30" s="68"/>
      <c r="H30" s="69"/>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8"/>
      <c r="G31" s="68"/>
      <c r="H31" s="69"/>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8"/>
      <c r="G32" s="68"/>
      <c r="H32" s="69"/>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8"/>
      <c r="G33" s="68"/>
      <c r="H33" s="69"/>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8"/>
      <c r="G34" s="68"/>
      <c r="H34" s="69"/>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8"/>
      <c r="G35" s="68"/>
      <c r="H35" s="69"/>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8"/>
      <c r="G36" s="68"/>
      <c r="H36" s="69"/>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8"/>
      <c r="G37" s="68"/>
      <c r="H37" s="69"/>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8"/>
      <c r="G38" s="69"/>
      <c r="H38" s="69"/>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69"/>
      <c r="G39" s="69"/>
      <c r="H39" s="69"/>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9"/>
      <c r="G40" s="69"/>
      <c r="H40" s="69"/>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9"/>
      <c r="G41" s="69"/>
      <c r="H41" s="69"/>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9"/>
      <c r="G42" s="69"/>
      <c r="H42" s="69"/>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9"/>
      <c r="G43" s="69"/>
      <c r="H43" s="69"/>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9"/>
      <c r="G44" s="69"/>
      <c r="H44" s="69"/>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9"/>
      <c r="G45" s="69"/>
      <c r="H45" s="69"/>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9"/>
      <c r="G46" s="69"/>
      <c r="H46" s="69"/>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419</v>
      </c>
    </row>
    <row r="3" spans="2:7" x14ac:dyDescent="0.75">
      <c r="B3" s="32" t="s">
        <v>37</v>
      </c>
    </row>
    <row r="4" spans="2:7" x14ac:dyDescent="0.75">
      <c r="B4" s="70" t="str">
        <f>"Instance: "&amp;'LegalAuth-ConceptMap-1'!C4</f>
        <v>Instance: legalAuth2FHIR-eu-ps</v>
      </c>
    </row>
    <row r="5" spans="2:7" x14ac:dyDescent="0.75">
      <c r="B5" s="70" t="s">
        <v>379</v>
      </c>
    </row>
    <row r="6" spans="2:7" x14ac:dyDescent="0.75">
      <c r="B6" s="70" t="s">
        <v>380</v>
      </c>
    </row>
    <row r="7" spans="2:7" x14ac:dyDescent="0.75">
      <c r="B7" s="70" t="s">
        <v>386</v>
      </c>
    </row>
    <row r="8" spans="2:7" x14ac:dyDescent="0.75">
      <c r="B8" s="70" t="str">
        <f>"* name = ##34#"&amp;'LegalAuth-ConceptMap-1'!C3&amp;"##34#"</f>
        <v>* name = ##34#LegalAuth2Fhir##34#</v>
      </c>
    </row>
    <row r="9" spans="2:7" x14ac:dyDescent="0.75">
      <c r="B9" s="70" t="str">
        <f>"* title = ##34#"&amp;'LegalAuth-ConceptMap-1'!C5&amp;"##34#"</f>
        <v>* title = ##34#eHN Recipient to this guide Map##34#</v>
      </c>
    </row>
    <row r="10" spans="2:7" x14ac:dyDescent="0.75">
      <c r="B10" s="70" t="s">
        <v>381</v>
      </c>
    </row>
    <row r="11" spans="2:7" x14ac:dyDescent="0.75">
      <c r="B11" s="70" t="s">
        <v>382</v>
      </c>
    </row>
    <row r="12" spans="2:7" x14ac:dyDescent="0.75">
      <c r="B12" s="70" t="str">
        <f>"* description = ##34#"&amp;'LegalAuth-ConceptMap-1'!C8&amp;"##34#"</f>
        <v>* description = ##34#eHN Legal Authenticator Model to this guide Map##34#</v>
      </c>
    </row>
    <row r="13" spans="2:7" x14ac:dyDescent="0.75">
      <c r="B13" s="70" t="str">
        <f>"* purpose = ##34#"&amp;'LegalAuth-ConceptMap-1'!C9&amp;"##34#"</f>
        <v>* purpose = ##34#It shows how theLegal Authenticator Recipient data set defined by the EU eHN guidelines is mapped into this guide##34#</v>
      </c>
    </row>
    <row r="14" spans="2:7" x14ac:dyDescent="0.75">
      <c r="B14" s="71" t="str">
        <f>"* sourceUri = ##34#"&amp;'LegalAuth-ConceptMap-1'!E3&amp;"##34#"</f>
        <v>* sourceUri = ##34#http://hl7.eu/fhir/ig/xpandh/ps/StructureDefinition/LegalAuthenticator##34#</v>
      </c>
    </row>
    <row r="15" spans="2:7" x14ac:dyDescent="0.75">
      <c r="B15" s="71" t="str">
        <f>"* targetUri = ##34#"&amp;'LegalAuth-ConceptMap-1'!E4&amp;"##34#"</f>
        <v>* targetUri = ##34#http://hl7.eu/fhir/ig/xpandh/ps/StructureDefinition/Composition-eu-ps##34#</v>
      </c>
    </row>
    <row r="16" spans="2:7" x14ac:dyDescent="0.75">
      <c r="B16" s="70"/>
    </row>
    <row r="17" spans="2:7" x14ac:dyDescent="0.75">
      <c r="B17" s="72" t="str">
        <f>"* group[+].source = ##34#"&amp;'LegalAuth-ConceptMap-1'!E6&amp;"##34#"</f>
        <v>* group[+].source = ##34#http://hl7.eu/fhir/ig/xpandh/ps/StructureDefinition/LegalAuthenticator##34#</v>
      </c>
    </row>
    <row r="18" spans="2:7" x14ac:dyDescent="0.75">
      <c r="B18" s="72" t="str">
        <f>"* group[=].target = ##34#"&amp;'LegalAuth-ConceptMap-1'!E7&amp;"##34#"</f>
        <v>* group[=].target = ##34#http://hl7.eu/fhir/ig/xpandh/ps/StructureDefinition/Composition-eu-ps##34#</v>
      </c>
    </row>
    <row r="19" spans="2:7" x14ac:dyDescent="0.75">
      <c r="B19" s="74"/>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651</v>
      </c>
      <c r="I4" s="24" t="str">
        <f>CONCATENATE("Logical: ",B4)</f>
        <v>Logical: SpecimenPsEhn</v>
      </c>
    </row>
    <row r="5" spans="1:11" x14ac:dyDescent="0.75">
      <c r="A5" s="17" t="s">
        <v>19</v>
      </c>
      <c r="B5" s="33" t="s">
        <v>321</v>
      </c>
      <c r="I5" s="24" t="str">
        <f>CONCATENATE("Id: ",B5)</f>
        <v>Id: SpecimenLab</v>
      </c>
    </row>
    <row r="6" spans="1:11" x14ac:dyDescent="0.75">
      <c r="A6" s="17" t="s">
        <v>13</v>
      </c>
      <c r="B6" s="18" t="s">
        <v>498</v>
      </c>
      <c r="I6" s="25" t="str">
        <f>CONCATENATE("Title: ##34#",B6,"##34#")</f>
        <v>Title: ##34#A.4 - Specimen information##34#</v>
      </c>
    </row>
    <row r="7" spans="1:11" x14ac:dyDescent="0.75">
      <c r="A7" s="45" t="s">
        <v>5</v>
      </c>
      <c r="B7" s="18" t="s">
        <v>519</v>
      </c>
      <c r="C7" s="12"/>
      <c r="D7" s="2"/>
      <c r="E7" s="51"/>
      <c r="F7" s="3" t="s">
        <v>9</v>
      </c>
      <c r="G7" s="3" t="s">
        <v>10</v>
      </c>
      <c r="I7" s="25" t="str">
        <f>CONCATENATE("Description: "," ##334#",B7,"##334#",)</f>
        <v>Description:  ##334#Specimen information. Section A4 of the eHN guideline.##334#</v>
      </c>
    </row>
    <row r="8" spans="1:11" ht="59" x14ac:dyDescent="0.75">
      <c r="A8" s="9">
        <v>1</v>
      </c>
      <c r="B8" s="9" t="s">
        <v>212</v>
      </c>
      <c r="C8" s="14" t="s">
        <v>236</v>
      </c>
      <c r="D8" s="14" t="s">
        <v>248</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257</v>
      </c>
      <c r="C9" s="14" t="s">
        <v>237</v>
      </c>
      <c r="D9" s="36" t="s">
        <v>249</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258</v>
      </c>
      <c r="C10" s="1" t="s">
        <v>238</v>
      </c>
      <c r="D10" s="14" t="s">
        <v>250</v>
      </c>
      <c r="E10" s="9">
        <v>0</v>
      </c>
      <c r="F10" s="9" t="s">
        <v>11</v>
      </c>
      <c r="G10" s="9" t="s">
        <v>1</v>
      </c>
      <c r="H10" s="22"/>
      <c r="I10" s="14" t="str">
        <f t="shared" si="0"/>
        <v>* material 0..* CodeableConcept ##34#A.4.3 Material##34# ##334#Specimen material. - Preferred system(s): SNOMED CT##334#</v>
      </c>
    </row>
    <row r="11" spans="1:11" ht="29.5" x14ac:dyDescent="0.75">
      <c r="A11" s="53">
        <v>4</v>
      </c>
      <c r="B11" s="9" t="s">
        <v>435</v>
      </c>
      <c r="C11" s="14" t="s">
        <v>239</v>
      </c>
      <c r="D11" s="54" t="s">
        <v>251</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259</v>
      </c>
      <c r="C12" s="47" t="s">
        <v>240</v>
      </c>
      <c r="D12" s="14" t="s">
        <v>252</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261</v>
      </c>
      <c r="C13" s="47" t="s">
        <v>241</v>
      </c>
      <c r="D13" s="14" t="s">
        <v>253</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260</v>
      </c>
      <c r="C14" s="14" t="s">
        <v>242</v>
      </c>
      <c r="D14" s="47" t="s">
        <v>256</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262</v>
      </c>
      <c r="C15" t="s">
        <v>243</v>
      </c>
      <c r="D15" s="1" t="s">
        <v>254</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263</v>
      </c>
      <c r="C16" t="s">
        <v>244</v>
      </c>
      <c r="D16" s="1" t="s">
        <v>255</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8" t="s">
        <v>102</v>
      </c>
      <c r="D26" s="149"/>
      <c r="E26" s="149"/>
      <c r="F26" s="150"/>
    </row>
    <row r="27" spans="2:9" ht="112.75" thickBot="1" x14ac:dyDescent="0.9">
      <c r="B27" t="str">
        <f t="shared" si="1"/>
        <v>A.4.1 Specimen identifier</v>
      </c>
      <c r="C27" s="35" t="s">
        <v>103</v>
      </c>
      <c r="D27" s="38" t="s">
        <v>104</v>
      </c>
      <c r="E27" s="36" t="s">
        <v>245</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105</v>
      </c>
      <c r="D28" s="38" t="s">
        <v>106</v>
      </c>
      <c r="E28" s="36" t="s">
        <v>107</v>
      </c>
      <c r="F28" s="38" t="s">
        <v>101</v>
      </c>
      <c r="I28" s="1" t="str">
        <f t="shared" si="2"/>
        <v>Biologic type of species for laboratory result reports bound to non-human subjects. - Preferred system(s): SNOMED CT</v>
      </c>
    </row>
    <row r="29" spans="2:9" ht="32.75" thickBot="1" x14ac:dyDescent="0.9">
      <c r="B29" t="str">
        <f t="shared" si="1"/>
        <v>A.4.3 Material</v>
      </c>
      <c r="C29" s="35" t="s">
        <v>108</v>
      </c>
      <c r="D29" s="38" t="s">
        <v>109</v>
      </c>
      <c r="E29" s="36" t="s">
        <v>110</v>
      </c>
      <c r="F29" s="38" t="s">
        <v>101</v>
      </c>
      <c r="I29" s="1" t="str">
        <f t="shared" si="2"/>
        <v>Specimen material. - Preferred system(s): SNOMED CT</v>
      </c>
    </row>
    <row r="30" spans="2:9" ht="16.75" thickBot="1" x14ac:dyDescent="0.9">
      <c r="B30" t="str">
        <f t="shared" si="1"/>
        <v>A.4.4 Collection period</v>
      </c>
      <c r="C30" s="35" t="s">
        <v>111</v>
      </c>
      <c r="D30" s="38" t="s">
        <v>112</v>
      </c>
      <c r="E30" s="36" t="s">
        <v>113</v>
      </c>
      <c r="F30" s="38" t="s">
        <v>94</v>
      </c>
      <c r="I30" s="1" t="str">
        <f t="shared" si="2"/>
        <v>Collection date time or period. - Preferred system(s): ISO 8601</v>
      </c>
    </row>
    <row r="31" spans="2:9" ht="64.75" thickBot="1" x14ac:dyDescent="0.9">
      <c r="B31" t="str">
        <f t="shared" si="1"/>
        <v>A.4.5 Anatomic location</v>
      </c>
      <c r="C31" s="35" t="s">
        <v>114</v>
      </c>
      <c r="D31" s="38" t="s">
        <v>115</v>
      </c>
      <c r="E31" s="36" t="s">
        <v>116</v>
      </c>
      <c r="F31" s="38" t="s">
        <v>101</v>
      </c>
      <c r="I31" s="1" t="str">
        <f t="shared" si="2"/>
        <v>Anatomic location (body location, laterality) where the material is collected, e.g. Elbow, left - Preferred system(s): SNOMED CT</v>
      </c>
    </row>
    <row r="32" spans="2:9" ht="64.75" thickBot="1" x14ac:dyDescent="0.9">
      <c r="B32" t="str">
        <f t="shared" si="1"/>
        <v>A.4.6 Morphology</v>
      </c>
      <c r="C32" s="35" t="s">
        <v>117</v>
      </c>
      <c r="D32" s="38" t="s">
        <v>118</v>
      </c>
      <c r="E32" s="36" t="s">
        <v>119</v>
      </c>
      <c r="F32" s="38" t="s">
        <v>101</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51" t="s">
        <v>120</v>
      </c>
      <c r="D33" s="154" t="s">
        <v>121</v>
      </c>
      <c r="E33" s="151" t="s">
        <v>122</v>
      </c>
      <c r="F33" s="42" t="s">
        <v>101</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52"/>
      <c r="D34" s="155"/>
      <c r="E34" s="152"/>
      <c r="F34" s="40"/>
      <c r="I34" s="1" t="str">
        <f t="shared" si="2"/>
        <v xml:space="preserve"> - Preferred system(s): </v>
      </c>
    </row>
    <row r="35" spans="2:9" ht="16.75" thickBot="1" x14ac:dyDescent="0.9">
      <c r="B35" t="str">
        <f t="shared" si="1"/>
        <v xml:space="preserve"> </v>
      </c>
      <c r="C35" s="153"/>
      <c r="D35" s="156"/>
      <c r="E35" s="153"/>
      <c r="F35" s="38" t="s">
        <v>123</v>
      </c>
      <c r="I35" s="1" t="str">
        <f t="shared" si="2"/>
        <v xml:space="preserve"> - Preferred system(s): EMDN</v>
      </c>
    </row>
    <row r="36" spans="2:9" ht="48.75" thickBot="1" x14ac:dyDescent="0.9">
      <c r="B36" t="str">
        <f t="shared" si="1"/>
        <v>A.4.8 Collection procedure/method</v>
      </c>
      <c r="C36" s="35" t="s">
        <v>124</v>
      </c>
      <c r="D36" s="38" t="s">
        <v>125</v>
      </c>
      <c r="E36" s="36" t="s">
        <v>126</v>
      </c>
      <c r="F36" s="38" t="s">
        <v>101</v>
      </c>
      <c r="I36" s="1" t="str">
        <f t="shared" si="2"/>
        <v>If relevant for the results, the method of obtaining the specimen. - Preferred system(s): SNOMED CT</v>
      </c>
    </row>
    <row r="37" spans="2:9" ht="48.75" thickBot="1" x14ac:dyDescent="0.9">
      <c r="B37" t="str">
        <f t="shared" si="1"/>
        <v>A.4.9 Received date</v>
      </c>
      <c r="C37" s="35" t="s">
        <v>127</v>
      </c>
      <c r="D37" s="38" t="s">
        <v>128</v>
      </c>
      <c r="E37" s="36" t="s">
        <v>129</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B8" sqref="B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246</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247</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196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332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333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59" t="s">
        <v>208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334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335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59" t="s">
        <v>336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337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338</v>
      </c>
      <c r="E17" s="14" t="str">
        <f t="shared" si="1"/>
        <v>* collectionMethod -&gt; ##34#Specimen.collection.method##34#</v>
      </c>
      <c r="G17" s="1" t="s">
        <v>32</v>
      </c>
    </row>
    <row r="18" spans="1:7" x14ac:dyDescent="0.75">
      <c r="A18" s="9">
        <v>9</v>
      </c>
      <c r="B18" s="9" t="str">
        <f>'A.4 Specimen'!B16</f>
        <v>receivedDateTime</v>
      </c>
      <c r="C18" s="9" t="s">
        <v>339</v>
      </c>
      <c r="E18" s="14" t="str">
        <f t="shared" si="1"/>
        <v>* receivedDateTime -&gt; ##34#Specimen.receivedTime##34#</v>
      </c>
      <c r="G18" s="1" t="s">
        <v>33</v>
      </c>
    </row>
    <row r="19" spans="1:7" x14ac:dyDescent="0.75">
      <c r="A19" s="9">
        <v>10</v>
      </c>
      <c r="B19" s="9">
        <f>'A.4 Specimen'!B17</f>
        <v>0</v>
      </c>
      <c r="C19" s="9" t="s">
        <v>208</v>
      </c>
      <c r="E19" s="14" t="str">
        <f t="shared" si="1"/>
        <v>*  -&gt; ##34###34#</v>
      </c>
    </row>
    <row r="20" spans="1:7" x14ac:dyDescent="0.75">
      <c r="A20" s="9"/>
      <c r="B20" s="9">
        <f>'A.4 Specimen'!B18</f>
        <v>0</v>
      </c>
      <c r="C20" s="9" t="s">
        <v>208</v>
      </c>
      <c r="E20" s="14" t="str">
        <f t="shared" si="1"/>
        <v>*  -&gt; ##34###34#</v>
      </c>
    </row>
    <row r="21" spans="1:7" x14ac:dyDescent="0.75">
      <c r="B21" s="9">
        <f>'A.4 Specimen'!B19</f>
        <v>0</v>
      </c>
      <c r="C21" s="9" t="s">
        <v>208</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698</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189</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77" t="str">
        <f>"http://hl7.eu/fhir/ig/xpandh/ps/StructureDefinition/"&amp;'A.4 Specimen'!B5</f>
        <v>http://hl7.eu/fhir/ig/xpandh/ps/StructureDefinition/SpecimenLab</v>
      </c>
    </row>
    <row r="4" spans="1:19" x14ac:dyDescent="0.75">
      <c r="B4" s="66" t="s">
        <v>19</v>
      </c>
      <c r="C4" s="49" t="s">
        <v>789</v>
      </c>
      <c r="D4" s="66" t="s">
        <v>392</v>
      </c>
      <c r="E4" s="142" t="s">
        <v>1188</v>
      </c>
      <c r="F4" s="141"/>
      <c r="G4" s="141"/>
    </row>
    <row r="5" spans="1:19" x14ac:dyDescent="0.75">
      <c r="B5" s="66" t="s">
        <v>13</v>
      </c>
      <c r="C5" s="10" t="s">
        <v>428</v>
      </c>
      <c r="D5" s="66"/>
      <c r="E5" s="10"/>
    </row>
    <row r="6" spans="1:19" x14ac:dyDescent="0.75">
      <c r="B6" s="66" t="s">
        <v>35</v>
      </c>
      <c r="C6" s="65"/>
      <c r="D6" s="66" t="s">
        <v>389</v>
      </c>
      <c r="E6" s="142" t="str">
        <f>E3</f>
        <v>http://hl7.eu/fhir/ig/xpandh/ps/StructureDefinition/SpecimenLab</v>
      </c>
      <c r="F6" s="141"/>
      <c r="G6" s="141"/>
    </row>
    <row r="7" spans="1:19" x14ac:dyDescent="0.75">
      <c r="B7" s="66" t="s">
        <v>18</v>
      </c>
      <c r="C7" s="73"/>
      <c r="D7" s="66" t="s">
        <v>390</v>
      </c>
      <c r="E7" s="142" t="s">
        <v>1188</v>
      </c>
      <c r="F7" s="141"/>
      <c r="G7" s="141"/>
    </row>
    <row r="8" spans="1:19" ht="44.25" x14ac:dyDescent="0.75">
      <c r="B8" s="66" t="s">
        <v>387</v>
      </c>
      <c r="C8" s="48" t="s">
        <v>429</v>
      </c>
      <c r="D8" s="66"/>
      <c r="E8" s="10"/>
      <c r="I8" s="14" t="s">
        <v>364</v>
      </c>
      <c r="J8" s="14" t="s">
        <v>365</v>
      </c>
      <c r="K8" s="14" t="s">
        <v>366</v>
      </c>
      <c r="L8" s="14" t="s">
        <v>367</v>
      </c>
      <c r="M8" s="9" t="s">
        <v>368</v>
      </c>
      <c r="P8" s="62" t="s">
        <v>369</v>
      </c>
      <c r="Q8" s="62">
        <v>6</v>
      </c>
    </row>
    <row r="9" spans="1:19" ht="29.5" x14ac:dyDescent="0.75">
      <c r="B9" s="66" t="s">
        <v>388</v>
      </c>
      <c r="C9" s="14" t="s">
        <v>430</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431</v>
      </c>
      <c r="E14" s="8"/>
      <c r="F14" s="68"/>
      <c r="G14" s="68"/>
      <c r="I14" s="14"/>
      <c r="J14" s="9"/>
      <c r="K14" s="9"/>
      <c r="L14" s="9"/>
      <c r="M14" s="64"/>
      <c r="N14" s="67"/>
    </row>
    <row r="15" spans="1:19" ht="44.25" x14ac:dyDescent="0.75">
      <c r="A15" s="22"/>
      <c r="B15" s="9" t="str">
        <f>'A.4 Specimen'!B8</f>
        <v>identifier</v>
      </c>
      <c r="C15" s="9" t="str">
        <f>'A.4 Specimen'!C8</f>
        <v>A.4.1 Specimen identifier</v>
      </c>
      <c r="D15" s="14" t="s">
        <v>212</v>
      </c>
      <c r="E15" s="56"/>
      <c r="F15" s="68" t="s">
        <v>375</v>
      </c>
      <c r="G15" s="68"/>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499</v>
      </c>
      <c r="E16" s="9"/>
      <c r="F16" s="68" t="s">
        <v>376</v>
      </c>
      <c r="G16" s="68" t="s">
        <v>525</v>
      </c>
      <c r="H16" s="69"/>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432</v>
      </c>
      <c r="E17" s="9"/>
      <c r="F17" s="68" t="s">
        <v>375</v>
      </c>
      <c r="G17" s="68"/>
      <c r="H17" s="69"/>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434</v>
      </c>
      <c r="E18" s="9"/>
      <c r="F18" s="68" t="s">
        <v>375</v>
      </c>
      <c r="G18" s="68"/>
      <c r="H18" s="69"/>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436</v>
      </c>
      <c r="E19" s="9"/>
      <c r="F19" s="68" t="s">
        <v>376</v>
      </c>
      <c r="G19" s="68"/>
      <c r="H19" s="69"/>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565</v>
      </c>
      <c r="E20" s="9"/>
      <c r="F20" s="68" t="s">
        <v>376</v>
      </c>
      <c r="G20" s="68" t="s">
        <v>564</v>
      </c>
      <c r="H20" s="69"/>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565</v>
      </c>
      <c r="E21" s="14"/>
      <c r="F21" s="68" t="s">
        <v>376</v>
      </c>
      <c r="G21" s="68" t="s">
        <v>564</v>
      </c>
      <c r="H21" s="69"/>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384</v>
      </c>
      <c r="E22" s="9"/>
      <c r="F22" s="68" t="s">
        <v>376</v>
      </c>
      <c r="G22" s="88" t="s">
        <v>570</v>
      </c>
      <c r="H22" s="69"/>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437</v>
      </c>
      <c r="E23" s="9"/>
      <c r="F23" s="68" t="s">
        <v>375</v>
      </c>
      <c r="G23" s="68"/>
      <c r="H23" s="69"/>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438</v>
      </c>
      <c r="E24" s="9"/>
      <c r="F24" s="68" t="s">
        <v>375</v>
      </c>
      <c r="G24" s="68"/>
      <c r="H24" s="69"/>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8"/>
      <c r="G25" s="68"/>
      <c r="H25" s="69"/>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8"/>
      <c r="G26" s="68"/>
      <c r="H26" s="69"/>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8"/>
      <c r="G27" s="68"/>
      <c r="H27" s="69"/>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8"/>
      <c r="G28" s="68"/>
      <c r="H28" s="69"/>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8"/>
      <c r="G29" s="68"/>
      <c r="H29" s="69"/>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8"/>
      <c r="G30" s="68"/>
      <c r="H30" s="69"/>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8"/>
      <c r="G31" s="68"/>
      <c r="H31" s="69"/>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8"/>
      <c r="G32" s="68"/>
      <c r="H32" s="69"/>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8"/>
      <c r="G33" s="68"/>
      <c r="H33" s="69"/>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8"/>
      <c r="G34" s="68"/>
      <c r="H34" s="69"/>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8"/>
      <c r="G35" s="68"/>
      <c r="H35" s="69"/>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8"/>
      <c r="G36" s="68"/>
      <c r="H36" s="69"/>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8"/>
      <c r="G37" s="68"/>
      <c r="H37" s="69"/>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8"/>
      <c r="G38" s="68"/>
      <c r="H38" s="69"/>
      <c r="K38" s="69"/>
      <c r="L38" s="69"/>
      <c r="M38" s="67"/>
      <c r="N38" s="67"/>
      <c r="P38" s="9">
        <v>24</v>
      </c>
      <c r="Q38" s="9">
        <f t="shared" si="8"/>
        <v>3</v>
      </c>
      <c r="R38" s="9">
        <f t="shared" si="9"/>
        <v>6</v>
      </c>
      <c r="S38" s="14" t="str" cm="1">
        <f t="array" ref="S38">INDEX('Specimen-ConceptMap-1'!$I$15:$N$124,Q38+1,R38)</f>
        <v/>
      </c>
    </row>
    <row r="39" spans="1:19" x14ac:dyDescent="0.75">
      <c r="B39" s="9"/>
      <c r="C39" s="9"/>
      <c r="D39" s="14"/>
      <c r="E39" s="14"/>
      <c r="F39" s="68"/>
      <c r="G39" s="68"/>
      <c r="H39" s="69"/>
      <c r="K39" s="69"/>
      <c r="L39" s="69"/>
      <c r="M39" s="67"/>
      <c r="N39" s="67"/>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8"/>
      <c r="G40" s="69"/>
      <c r="H40" s="69"/>
      <c r="J40"/>
      <c r="K40" s="69"/>
      <c r="L40" s="69"/>
      <c r="M40" s="67"/>
      <c r="N40" s="67"/>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69"/>
      <c r="G41" s="69"/>
      <c r="H41" s="69"/>
      <c r="J41"/>
      <c r="K41" s="69"/>
      <c r="L41" s="69"/>
      <c r="M41" s="67"/>
      <c r="N41" s="67"/>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69"/>
      <c r="G42" s="69"/>
      <c r="H42" s="69"/>
      <c r="J42"/>
      <c r="K42" s="69"/>
      <c r="L42" s="69"/>
      <c r="M42" s="67"/>
      <c r="N42" s="67"/>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69"/>
      <c r="G43" s="69"/>
      <c r="H43" s="69"/>
      <c r="J43" s="69"/>
      <c r="K43" s="69"/>
      <c r="L43" s="69"/>
      <c r="M43" s="67"/>
      <c r="N43" s="67"/>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69"/>
      <c r="G44" s="69"/>
      <c r="H44" s="69"/>
      <c r="J44" s="69"/>
      <c r="K44" s="69"/>
      <c r="L44" s="69"/>
      <c r="M44" s="67"/>
      <c r="N44" s="67"/>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77" t="str">
        <f>"http://hl7.eu/fhir/ig/xpandh/ps/StructureDefinition/"&amp;'A.4 Specimen'!B5</f>
        <v>http://hl7.eu/fhir/ig/xpandh/ps/StructureDefinition/SpecimenLab</v>
      </c>
    </row>
    <row r="4" spans="1:19" x14ac:dyDescent="0.75">
      <c r="B4" s="66" t="s">
        <v>19</v>
      </c>
      <c r="C4" s="49" t="s">
        <v>789</v>
      </c>
      <c r="D4" s="66" t="s">
        <v>392</v>
      </c>
      <c r="E4" s="142" t="s">
        <v>1188</v>
      </c>
      <c r="F4" s="141"/>
      <c r="G4" s="141"/>
    </row>
    <row r="5" spans="1:19" x14ac:dyDescent="0.75">
      <c r="B5" s="66" t="s">
        <v>13</v>
      </c>
      <c r="C5" s="10" t="s">
        <v>428</v>
      </c>
      <c r="D5" s="66"/>
      <c r="E5" s="10"/>
    </row>
    <row r="6" spans="1:19" x14ac:dyDescent="0.75">
      <c r="B6" s="66" t="s">
        <v>35</v>
      </c>
      <c r="C6" s="65"/>
      <c r="D6" s="66" t="s">
        <v>389</v>
      </c>
      <c r="E6" s="142" t="str">
        <f>E3</f>
        <v>http://hl7.eu/fhir/ig/xpandh/ps/StructureDefinition/SpecimenLab</v>
      </c>
      <c r="F6" s="141"/>
      <c r="G6" s="141"/>
    </row>
    <row r="7" spans="1:19" x14ac:dyDescent="0.75">
      <c r="B7" s="66" t="s">
        <v>18</v>
      </c>
      <c r="C7" s="73"/>
      <c r="D7" s="66" t="s">
        <v>390</v>
      </c>
      <c r="E7" s="142" t="s">
        <v>1189</v>
      </c>
      <c r="F7" s="141"/>
      <c r="G7" s="141"/>
    </row>
    <row r="8" spans="1:19" ht="44.25" x14ac:dyDescent="0.75">
      <c r="B8" s="66" t="s">
        <v>387</v>
      </c>
      <c r="C8" s="48" t="s">
        <v>429</v>
      </c>
      <c r="D8" s="66"/>
      <c r="E8" s="10"/>
      <c r="I8" s="14" t="s">
        <v>364</v>
      </c>
      <c r="J8" s="14" t="s">
        <v>365</v>
      </c>
      <c r="K8" s="14" t="s">
        <v>366</v>
      </c>
      <c r="L8" s="14" t="s">
        <v>367</v>
      </c>
      <c r="M8" s="9" t="s">
        <v>368</v>
      </c>
      <c r="P8" s="62" t="s">
        <v>369</v>
      </c>
      <c r="Q8" s="62">
        <v>6</v>
      </c>
    </row>
    <row r="9" spans="1:19" ht="29.5" x14ac:dyDescent="0.75">
      <c r="B9" s="66" t="s">
        <v>388</v>
      </c>
      <c r="C9" s="14" t="s">
        <v>430</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566</v>
      </c>
      <c r="E14" s="8"/>
      <c r="F14" s="68"/>
      <c r="G14" s="68"/>
      <c r="I14" s="14"/>
      <c r="J14" s="9"/>
      <c r="K14" s="9"/>
      <c r="L14" s="9"/>
      <c r="M14" s="64"/>
      <c r="N14" s="67"/>
    </row>
    <row r="15" spans="1:19" ht="44.25" x14ac:dyDescent="0.75">
      <c r="A15" s="22"/>
      <c r="B15" s="9" t="str">
        <f>'A.4 Specimen'!B12</f>
        <v>anatomicLocation</v>
      </c>
      <c r="C15" s="9" t="str">
        <f>'A.4 Specimen'!C12</f>
        <v>A.4.5 Anatomic location</v>
      </c>
      <c r="D15" s="14" t="s">
        <v>567</v>
      </c>
      <c r="E15" s="8"/>
      <c r="F15" s="68" t="s">
        <v>375</v>
      </c>
      <c r="G15" s="68"/>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568</v>
      </c>
      <c r="E16" s="9"/>
      <c r="F16" s="68" t="s">
        <v>375</v>
      </c>
      <c r="G16" s="68" t="s">
        <v>569</v>
      </c>
      <c r="H16" s="69"/>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261</v>
      </c>
      <c r="E17" s="14"/>
      <c r="F17" s="68" t="s">
        <v>375</v>
      </c>
      <c r="G17" s="68"/>
      <c r="H17" s="69"/>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8"/>
      <c r="G18" s="68"/>
      <c r="H18" s="69"/>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8"/>
      <c r="G19" s="68"/>
      <c r="H19" s="69"/>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8"/>
      <c r="G20" s="68"/>
      <c r="H20" s="69"/>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8"/>
      <c r="G21" s="68"/>
      <c r="H21" s="69"/>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8"/>
      <c r="G22" s="68"/>
      <c r="H22" s="69"/>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8"/>
      <c r="G23" s="68"/>
      <c r="H23" s="69"/>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8"/>
      <c r="G24" s="68"/>
      <c r="H24" s="69"/>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8"/>
      <c r="G25" s="68"/>
      <c r="H25" s="69"/>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8"/>
      <c r="G26" s="68"/>
      <c r="H26" s="69"/>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8"/>
      <c r="G27" s="68"/>
      <c r="H27" s="69"/>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8"/>
      <c r="G28" s="68"/>
      <c r="H28" s="69"/>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8"/>
      <c r="G29" s="68"/>
      <c r="H29" s="69"/>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8"/>
      <c r="G30" s="68"/>
      <c r="H30" s="69"/>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8"/>
      <c r="G31" s="68"/>
      <c r="H31" s="69"/>
      <c r="K31" s="69"/>
      <c r="L31" s="69"/>
      <c r="M31" s="67"/>
      <c r="N31" s="67"/>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8"/>
      <c r="G32" s="68"/>
      <c r="H32" s="69"/>
      <c r="K32" s="69"/>
      <c r="L32" s="69"/>
      <c r="M32" s="67"/>
      <c r="N32" s="67"/>
      <c r="P32" s="9">
        <v>18</v>
      </c>
      <c r="Q32" s="9">
        <f t="shared" si="8"/>
        <v>2</v>
      </c>
      <c r="R32" s="9">
        <f t="shared" si="9"/>
        <v>6</v>
      </c>
      <c r="S32" s="14" t="str" cm="1">
        <f t="array" ref="S32">INDEX('Specimen-ConceptMap-2'!$I$15:$N$116,Q32+1,R32)</f>
        <v/>
      </c>
    </row>
    <row r="33" spans="1:19" s="1" customFormat="1" x14ac:dyDescent="0.75">
      <c r="A33"/>
      <c r="B33" s="9"/>
      <c r="C33" s="9"/>
      <c r="D33" s="14"/>
      <c r="E33" s="14"/>
      <c r="F33" s="68"/>
      <c r="G33" s="69"/>
      <c r="H33" s="69"/>
      <c r="J33"/>
      <c r="K33" s="69"/>
      <c r="L33" s="69"/>
      <c r="M33" s="67"/>
      <c r="N33" s="67"/>
      <c r="P33" s="9">
        <v>19</v>
      </c>
      <c r="Q33" s="9">
        <f t="shared" si="8"/>
        <v>3</v>
      </c>
      <c r="R33" s="9">
        <f t="shared" si="9"/>
        <v>1</v>
      </c>
      <c r="S33" s="14" cm="1">
        <f t="array" ref="S33">INDEX('Specimen-ConceptMap-2'!$I$15:$N$116,Q33+1,R33)</f>
        <v>0</v>
      </c>
    </row>
    <row r="34" spans="1:19" s="1" customFormat="1" x14ac:dyDescent="0.75">
      <c r="A34"/>
      <c r="B34" s="9"/>
      <c r="C34" s="9"/>
      <c r="D34" s="54"/>
      <c r="F34" s="69"/>
      <c r="G34" s="69"/>
      <c r="H34" s="69"/>
      <c r="J34"/>
      <c r="K34" s="69"/>
      <c r="L34" s="69"/>
      <c r="M34" s="67"/>
      <c r="N34" s="67"/>
      <c r="P34" s="9">
        <v>20</v>
      </c>
      <c r="Q34" s="9">
        <f t="shared" si="8"/>
        <v>3</v>
      </c>
      <c r="R34" s="9">
        <f t="shared" si="9"/>
        <v>2</v>
      </c>
      <c r="S34" s="14" cm="1">
        <f t="array" ref="S34">INDEX('Specimen-ConceptMap-2'!$I$15:$N$116,Q34+1,R34)</f>
        <v>0</v>
      </c>
    </row>
    <row r="35" spans="1:19" s="1" customFormat="1" x14ac:dyDescent="0.75">
      <c r="A35"/>
      <c r="B35" s="9"/>
      <c r="C35" s="9"/>
      <c r="F35" s="69"/>
      <c r="G35" s="69"/>
      <c r="H35" s="69"/>
      <c r="J35"/>
      <c r="K35" s="69"/>
      <c r="L35" s="69"/>
      <c r="M35" s="67"/>
      <c r="N35" s="67"/>
      <c r="P35" s="9">
        <v>21</v>
      </c>
      <c r="Q35" s="9">
        <f t="shared" si="8"/>
        <v>3</v>
      </c>
      <c r="R35" s="9">
        <f t="shared" si="9"/>
        <v>3</v>
      </c>
      <c r="S35" s="14" cm="1">
        <f t="array" ref="S35">INDEX('Specimen-ConceptMap-2'!$I$15:$N$116,Q35+1,R35)</f>
        <v>0</v>
      </c>
    </row>
    <row r="36" spans="1:19" s="1" customFormat="1" x14ac:dyDescent="0.75">
      <c r="A36"/>
      <c r="B36" s="9"/>
      <c r="C36" s="9"/>
      <c r="F36" s="69"/>
      <c r="G36" s="69"/>
      <c r="H36" s="69"/>
      <c r="J36" s="69"/>
      <c r="K36" s="69"/>
      <c r="L36" s="69"/>
      <c r="M36" s="67"/>
      <c r="N36" s="67"/>
      <c r="P36" s="9">
        <v>22</v>
      </c>
      <c r="Q36" s="9">
        <f t="shared" si="8"/>
        <v>3</v>
      </c>
      <c r="R36" s="9">
        <f t="shared" si="9"/>
        <v>4</v>
      </c>
      <c r="S36" s="14" cm="1">
        <f t="array" ref="S36">INDEX('Specimen-ConceptMap-2'!$I$15:$N$116,Q36+1,R36)</f>
        <v>0</v>
      </c>
    </row>
    <row r="37" spans="1:19" s="1" customFormat="1" x14ac:dyDescent="0.75">
      <c r="A37"/>
      <c r="B37" s="9"/>
      <c r="C37" s="9"/>
      <c r="F37" s="69"/>
      <c r="G37" s="69"/>
      <c r="H37" s="69"/>
      <c r="J37" s="69"/>
      <c r="K37" s="69"/>
      <c r="L37" s="69"/>
      <c r="M37" s="67"/>
      <c r="N37" s="67"/>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439</v>
      </c>
    </row>
    <row r="3" spans="2:7" x14ac:dyDescent="0.75">
      <c r="B3" s="32" t="s">
        <v>37</v>
      </c>
    </row>
    <row r="4" spans="2:7" x14ac:dyDescent="0.75">
      <c r="B4" s="70" t="str">
        <f>"Instance: "&amp;'Specimen-ConceptMap-1'!C4</f>
        <v>Instance: specimen2FHIR-eu-ps</v>
      </c>
    </row>
    <row r="5" spans="2:7" x14ac:dyDescent="0.75">
      <c r="B5" s="70" t="s">
        <v>379</v>
      </c>
    </row>
    <row r="6" spans="2:7" x14ac:dyDescent="0.75">
      <c r="B6" s="70" t="s">
        <v>380</v>
      </c>
    </row>
    <row r="7" spans="2:7" x14ac:dyDescent="0.75">
      <c r="B7" s="70" t="s">
        <v>386</v>
      </c>
    </row>
    <row r="8" spans="2:7" x14ac:dyDescent="0.75">
      <c r="B8" s="70" t="str">
        <f>"* name = ##34#"&amp;'Specimen-ConceptMap-1'!C3&amp;"##34#"</f>
        <v>* name = ##34#Specimen2Fhir##34#</v>
      </c>
    </row>
    <row r="9" spans="2:7" x14ac:dyDescent="0.75">
      <c r="B9" s="70" t="str">
        <f>"* title = ##34#"&amp;'Specimen-ConceptMap-1'!C5&amp;"##34#"</f>
        <v>* title = ##34#eHN Specimen to this guide Map##34#</v>
      </c>
    </row>
    <row r="10" spans="2:7" x14ac:dyDescent="0.75">
      <c r="B10" s="70" t="s">
        <v>381</v>
      </c>
    </row>
    <row r="11" spans="2:7" x14ac:dyDescent="0.75">
      <c r="B11" s="70" t="s">
        <v>382</v>
      </c>
    </row>
    <row r="12" spans="2:7" x14ac:dyDescent="0.75">
      <c r="B12" s="70" t="str">
        <f>"* description = ##34#"&amp;'Specimen-ConceptMap-1'!C8&amp;"##34#"</f>
        <v>* description = ##34#eHN Specimen Model to this guide Map##34#</v>
      </c>
    </row>
    <row r="13" spans="2:7" x14ac:dyDescent="0.75">
      <c r="B13" s="70" t="str">
        <f>"* purpose = ##34#"&amp;'Specimen-ConceptMap-1'!C9&amp;"##34#"</f>
        <v>* purpose = ##34#It shows how the Specimen data set defined by the EU eHN guidelines is mapped into this guide##34#</v>
      </c>
    </row>
    <row r="14" spans="2:7" x14ac:dyDescent="0.75">
      <c r="B14" s="71" t="str">
        <f>"* sourceUri = ##34#"&amp;'Specimen-ConceptMap-1'!E3&amp;"##34#"</f>
        <v>* sourceUri = ##34#http://hl7.eu/fhir/ig/xpandh/ps/StructureDefinition/SpecimenLab##34#</v>
      </c>
    </row>
    <row r="15" spans="2:7" x14ac:dyDescent="0.75">
      <c r="B15" s="71" t="str">
        <f>"* targetUri = ##34#"&amp;'Specimen-ConceptMap-1'!E4&amp;"##34#"</f>
        <v>* targetUri = ##34#http://hl7.eu/fhir/ig/xpandh/ps/StructureDefinition/Specimen-eu-ps##34#</v>
      </c>
    </row>
    <row r="16" spans="2:7" x14ac:dyDescent="0.75">
      <c r="B16" s="72" t="str">
        <f>"* group[+].source = ##34#"&amp;'Specimen-ConceptMap-1'!E6&amp;"##34#"</f>
        <v>* group[+].source = ##34#http://hl7.eu/fhir/ig/xpandh/ps/StructureDefinition/SpecimenLab##34#</v>
      </c>
    </row>
    <row r="17" spans="2:7" x14ac:dyDescent="0.75">
      <c r="B17" s="72" t="str">
        <f>"* group[=].target = ##34#"&amp;'Specimen-ConceptMap-1'!E7&amp;"##34#"</f>
        <v>* group[=].target = ##34#http://hl7.eu/fhir/ig/xpandh/ps/StructureDefinition/Specimen-eu-ps##34#</v>
      </c>
    </row>
    <row r="18" spans="2:7" x14ac:dyDescent="0.75">
      <c r="B18" s="74"/>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2"/>
    </row>
    <row r="87" spans="2:2" x14ac:dyDescent="0.75">
      <c r="B87" s="93" t="str">
        <f>"* group[+].source = ##34#"&amp;'Specimen-ConceptMap-2'!E6&amp;"##34#"</f>
        <v>* group[+].source = ##34#http://hl7.eu/fhir/ig/xpandh/ps/StructureDefinition/SpecimenLab##34#</v>
      </c>
    </row>
    <row r="88" spans="2:2" x14ac:dyDescent="0.75">
      <c r="B88" s="93" t="str">
        <f>"* group[=].target = ##34#"&amp;'Specimen-ConceptMap-2'!E7&amp;"##34#"</f>
        <v>* group[=].target = ##34#http://hl7.eu/fhir/ig/xpandh/ps/StructureDefinition/bodyStructure-eu-ps##34#</v>
      </c>
    </row>
    <row r="89" spans="2:2" x14ac:dyDescent="0.75">
      <c r="B89" s="92"/>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652</v>
      </c>
      <c r="I4" s="24" t="str">
        <f>CONCATENATE("Logical: ",B4)</f>
        <v>Logical: ResultPsEhn</v>
      </c>
    </row>
    <row r="5" spans="1:11" x14ac:dyDescent="0.75">
      <c r="A5" s="17" t="s">
        <v>19</v>
      </c>
      <c r="B5" s="33" t="s">
        <v>264</v>
      </c>
      <c r="I5" s="24" t="str">
        <f>CONCATENATE("Id: ",B5)</f>
        <v>Id: Result</v>
      </c>
    </row>
    <row r="6" spans="1:11" x14ac:dyDescent="0.75">
      <c r="A6" s="17" t="s">
        <v>13</v>
      </c>
      <c r="B6" s="14" t="s">
        <v>497</v>
      </c>
      <c r="I6" s="25" t="str">
        <f>CONCATENATE("Title: ##34#",B6,"##34#")</f>
        <v>Title: ##34#A.5 - Results data elements##34#</v>
      </c>
    </row>
    <row r="7" spans="1:11" x14ac:dyDescent="0.75">
      <c r="A7" s="45" t="s">
        <v>5</v>
      </c>
      <c r="B7" s="14" t="s">
        <v>520</v>
      </c>
      <c r="C7" s="12"/>
      <c r="D7" s="2"/>
      <c r="E7" s="51"/>
      <c r="F7" s="3" t="s">
        <v>9</v>
      </c>
      <c r="G7" s="3" t="s">
        <v>10</v>
      </c>
      <c r="I7" s="25" t="str">
        <f>CONCATENATE("Description: "," ##334#",B7,"##334#",)</f>
        <v>Description:  ##334#Results data elements. Section A5 of the eHN guideline.##334#</v>
      </c>
    </row>
    <row r="8" spans="1:11" ht="29.5" x14ac:dyDescent="0.75">
      <c r="A8" s="9">
        <v>1</v>
      </c>
      <c r="B8" s="9" t="s">
        <v>283</v>
      </c>
      <c r="C8" s="14" t="s">
        <v>728</v>
      </c>
      <c r="D8" s="14" t="s">
        <v>728</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284</v>
      </c>
      <c r="C9" s="1" t="s">
        <v>267</v>
      </c>
      <c r="D9" s="14" t="s">
        <v>341</v>
      </c>
      <c r="E9" s="9">
        <v>0</v>
      </c>
      <c r="F9" s="9" t="s">
        <v>11</v>
      </c>
      <c r="G9" s="9" t="s">
        <v>287</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285</v>
      </c>
      <c r="C10" s="14" t="s">
        <v>268</v>
      </c>
      <c r="D10" s="54" t="s">
        <v>135</v>
      </c>
      <c r="E10" s="9">
        <v>0</v>
      </c>
      <c r="F10" s="9" t="s">
        <v>11</v>
      </c>
      <c r="G10" s="9" t="s">
        <v>287</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286</v>
      </c>
      <c r="C11" s="47" t="s">
        <v>288</v>
      </c>
      <c r="D11" s="47" t="s">
        <v>316</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289</v>
      </c>
      <c r="C12" s="47" t="s">
        <v>269</v>
      </c>
      <c r="D12" s="14" t="s">
        <v>282</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290</v>
      </c>
      <c r="C13" s="14" t="s">
        <v>270</v>
      </c>
      <c r="D13" s="47" t="s">
        <v>291</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292</v>
      </c>
      <c r="C14" s="9" t="s">
        <v>271</v>
      </c>
      <c r="D14" s="14" t="s">
        <v>145</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293</v>
      </c>
      <c r="C15" s="9" t="s">
        <v>272</v>
      </c>
      <c r="D15" s="14" t="s">
        <v>148</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294</v>
      </c>
      <c r="C16" s="9" t="s">
        <v>273</v>
      </c>
      <c r="D16" s="14" t="s">
        <v>151</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295</v>
      </c>
      <c r="C17" s="9" t="s">
        <v>274</v>
      </c>
      <c r="D17" s="14" t="s">
        <v>305</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296</v>
      </c>
      <c r="C18" s="9" t="s">
        <v>275</v>
      </c>
      <c r="D18" s="14" t="s">
        <v>297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44.25" x14ac:dyDescent="0.75">
      <c r="A19" s="3">
        <v>12</v>
      </c>
      <c r="B19" s="9" t="s">
        <v>1295</v>
      </c>
      <c r="C19" s="9" t="s">
        <v>1286</v>
      </c>
      <c r="D19" s="14" t="s">
        <v>1296</v>
      </c>
      <c r="E19" s="9">
        <v>0</v>
      </c>
      <c r="F19" s="9" t="s">
        <v>11</v>
      </c>
      <c r="G19" s="9" t="s">
        <v>4</v>
      </c>
      <c r="H19" s="9"/>
      <c r="I19" s="14" t="str">
        <f t="shared" si="0"/>
        <v>* observation.vaccination 0..* BackboneElement ##34#A.5.2.8 Vaccination##34# ##334#Identifies vaccination and vaccination placer this observation belongs to.##334#</v>
      </c>
    </row>
    <row r="20" spans="1:9" ht="59" x14ac:dyDescent="0.75">
      <c r="A20" s="9">
        <v>13</v>
      </c>
      <c r="B20" s="9" t="s">
        <v>298</v>
      </c>
      <c r="C20" s="9" t="s">
        <v>276</v>
      </c>
      <c r="D20" s="14" t="s">
        <v>729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299</v>
      </c>
      <c r="C21" s="9" t="s">
        <v>277</v>
      </c>
      <c r="D21" s="14" t="s">
        <v>163</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300</v>
      </c>
      <c r="C22" s="9" t="s">
        <v>278</v>
      </c>
      <c r="D22" s="14" t="s">
        <v>317</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302</v>
      </c>
      <c r="C23" s="9" t="s">
        <v>279</v>
      </c>
      <c r="D23" s="14" t="s">
        <v>301</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303</v>
      </c>
      <c r="C24" s="9" t="s">
        <v>280</v>
      </c>
      <c r="D24" s="14" t="s">
        <v>174</v>
      </c>
      <c r="E24" s="9">
        <v>0</v>
      </c>
      <c r="F24" s="9" t="s">
        <v>11</v>
      </c>
      <c r="G24" s="9" t="s">
        <v>287</v>
      </c>
      <c r="H24" s="9"/>
      <c r="I24" s="14" t="str">
        <f t="shared" si="0"/>
        <v>* observation.description 0..* Narrative ##34#A.5.2.13 Result description##34# ##334#Comments and narrative representation of the observation result and findings.##334#</v>
      </c>
    </row>
    <row r="25" spans="1:9" ht="44.25" x14ac:dyDescent="0.75">
      <c r="A25" s="9">
        <v>22</v>
      </c>
      <c r="B25" s="9" t="s">
        <v>304</v>
      </c>
      <c r="C25" s="9" t="s">
        <v>281</v>
      </c>
      <c r="D25" s="14" t="s">
        <v>177</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30" t="s">
        <v>130</v>
      </c>
      <c r="D36" s="131"/>
      <c r="E36" s="131"/>
      <c r="F36" s="132"/>
    </row>
    <row r="37" spans="2:9" ht="16.75" thickBot="1" x14ac:dyDescent="0.9">
      <c r="B37" t="str">
        <f t="shared" si="1"/>
        <v xml:space="preserve">A.5.1 Patient Summary narrative  </v>
      </c>
      <c r="C37" s="130" t="s">
        <v>730</v>
      </c>
      <c r="D37" s="131"/>
      <c r="E37" s="131"/>
      <c r="F37" s="132"/>
    </row>
    <row r="38" spans="2:9" ht="64.75" thickBot="1" x14ac:dyDescent="0.9">
      <c r="B38" t="str">
        <f t="shared" si="1"/>
        <v>A.5.1.1 Narrative report</v>
      </c>
      <c r="C38" s="35" t="s">
        <v>131</v>
      </c>
      <c r="D38" s="38" t="s">
        <v>132</v>
      </c>
      <c r="E38" s="36" t="s">
        <v>318</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133</v>
      </c>
      <c r="D39" s="38" t="s">
        <v>134</v>
      </c>
      <c r="E39" s="36" t="s">
        <v>135</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30" t="s">
        <v>319</v>
      </c>
      <c r="D40" s="131"/>
      <c r="E40" s="131"/>
      <c r="F40" s="132"/>
      <c r="I40" s="1" t="str">
        <f t="shared" si="2"/>
        <v xml:space="preserve"> - Preferred system(s): </v>
      </c>
    </row>
    <row r="41" spans="2:9" ht="32.75" thickBot="1" x14ac:dyDescent="0.9">
      <c r="B41" t="str">
        <f t="shared" si="1"/>
        <v>A.5.2.1 Observation date</v>
      </c>
      <c r="C41" s="35" t="s">
        <v>136</v>
      </c>
      <c r="D41" s="38" t="s">
        <v>137</v>
      </c>
      <c r="E41" s="36" t="s">
        <v>138</v>
      </c>
      <c r="F41" s="38" t="s">
        <v>94</v>
      </c>
      <c r="I41" s="1" t="str">
        <f t="shared" si="2"/>
        <v>Date and time of the observation - Preferred system(s): ISO 8601</v>
      </c>
    </row>
    <row r="42" spans="2:9" ht="29.5" x14ac:dyDescent="0.75">
      <c r="B42" t="str">
        <f t="shared" si="1"/>
        <v>A.5.2.3 Observation code</v>
      </c>
      <c r="C42" s="151" t="s">
        <v>139</v>
      </c>
      <c r="D42" s="154" t="s">
        <v>140</v>
      </c>
      <c r="E42" s="151" t="s">
        <v>141</v>
      </c>
      <c r="F42" s="42" t="s">
        <v>95</v>
      </c>
      <c r="I42" s="1" t="str">
        <f t="shared" si="2"/>
        <v>Code representing the observation using the agreed code systems. - Preferred system(s): LOINC</v>
      </c>
    </row>
    <row r="43" spans="2:9" ht="16" x14ac:dyDescent="0.75">
      <c r="B43" t="str">
        <f t="shared" si="1"/>
        <v xml:space="preserve"> </v>
      </c>
      <c r="C43" s="152"/>
      <c r="D43" s="155"/>
      <c r="E43" s="152"/>
      <c r="F43" s="42" t="s">
        <v>142</v>
      </c>
      <c r="I43" s="1" t="str">
        <f t="shared" si="2"/>
        <v xml:space="preserve"> - Preferred system(s): NPU</v>
      </c>
    </row>
    <row r="44" spans="2:9" ht="32.75" thickBot="1" x14ac:dyDescent="0.9">
      <c r="B44" t="str">
        <f t="shared" si="1"/>
        <v xml:space="preserve"> </v>
      </c>
      <c r="C44" s="153"/>
      <c r="D44" s="156"/>
      <c r="E44" s="153"/>
      <c r="F44" s="38" t="s">
        <v>101</v>
      </c>
      <c r="I44" s="1" t="str">
        <f t="shared" si="2"/>
        <v xml:space="preserve"> - Preferred system(s): SNOMED CT</v>
      </c>
    </row>
    <row r="45" spans="2:9" ht="48.75" thickBot="1" x14ac:dyDescent="0.9">
      <c r="B45" t="str">
        <f t="shared" si="1"/>
        <v>A.5.2.3.1 Observation name</v>
      </c>
      <c r="C45" s="35" t="s">
        <v>143</v>
      </c>
      <c r="D45" s="38" t="s">
        <v>144</v>
      </c>
      <c r="E45" s="36" t="s">
        <v>145</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146</v>
      </c>
      <c r="D46" s="38" t="s">
        <v>147</v>
      </c>
      <c r="E46" s="36" t="s">
        <v>148</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149</v>
      </c>
      <c r="D47" s="38" t="s">
        <v>150</v>
      </c>
      <c r="E47" s="36" t="s">
        <v>151</v>
      </c>
      <c r="F47" s="37"/>
      <c r="I47" s="1" t="str">
        <f t="shared" si="2"/>
        <v xml:space="preserve">Simplified (short name of the observation) for display. - Preferred system(s): </v>
      </c>
    </row>
    <row r="48" spans="2:9" ht="48.75" thickBot="1" x14ac:dyDescent="0.9">
      <c r="B48" t="str">
        <f t="shared" si="1"/>
        <v>A.5.2.4 Observation method</v>
      </c>
      <c r="C48" s="35" t="s">
        <v>152</v>
      </c>
      <c r="D48" s="38" t="s">
        <v>153</v>
      </c>
      <c r="E48" s="36" t="s">
        <v>154</v>
      </c>
      <c r="F48" s="38" t="s">
        <v>101</v>
      </c>
      <c r="I48" s="1" t="str">
        <f t="shared" si="2"/>
        <v>Observation method (measurement principle) to obtain the result. - Preferred system(s): SNOMED CT</v>
      </c>
    </row>
    <row r="49" spans="2:9" ht="44.25" x14ac:dyDescent="0.75">
      <c r="B49" t="str">
        <f t="shared" si="1"/>
        <v>A.5.2.5 Observation device</v>
      </c>
      <c r="C49" s="151" t="s">
        <v>155</v>
      </c>
      <c r="D49" s="154" t="s">
        <v>156</v>
      </c>
      <c r="E49" s="151" t="s">
        <v>157</v>
      </c>
      <c r="F49" s="42" t="s">
        <v>101</v>
      </c>
      <c r="I49" s="1" t="str">
        <f t="shared" si="2"/>
        <v>Device (analyser), laboratory test kit and used calibrator information (identifier, type, name, model, manufacturer) - Preferred system(s): SNOMED CT</v>
      </c>
    </row>
    <row r="50" spans="2:9" x14ac:dyDescent="0.75">
      <c r="B50" t="str">
        <f t="shared" si="1"/>
        <v xml:space="preserve"> </v>
      </c>
      <c r="C50" s="152"/>
      <c r="D50" s="155"/>
      <c r="E50" s="152"/>
      <c r="F50" s="40"/>
      <c r="I50" s="1" t="str">
        <f t="shared" si="2"/>
        <v xml:space="preserve"> - Preferred system(s): </v>
      </c>
    </row>
    <row r="51" spans="2:9" ht="16.75" thickBot="1" x14ac:dyDescent="0.9">
      <c r="B51" t="str">
        <f t="shared" si="1"/>
        <v xml:space="preserve"> </v>
      </c>
      <c r="C51" s="153"/>
      <c r="D51" s="156"/>
      <c r="E51" s="153"/>
      <c r="F51" s="38" t="s">
        <v>123</v>
      </c>
      <c r="I51" s="1" t="str">
        <f t="shared" si="2"/>
        <v xml:space="preserve"> - Preferred system(s): EMDN</v>
      </c>
    </row>
    <row r="52" spans="2:9" ht="48.75" thickBot="1" x14ac:dyDescent="0.9">
      <c r="B52" t="str">
        <f t="shared" si="1"/>
        <v>A.5.2.8 Vaccination</v>
      </c>
      <c r="C52" s="35" t="s">
        <v>158</v>
      </c>
      <c r="D52" s="38" t="s">
        <v>1249</v>
      </c>
      <c r="E52" s="36" t="s">
        <v>1297</v>
      </c>
      <c r="F52" s="37"/>
      <c r="I52" s="1" t="str">
        <f t="shared" si="2"/>
        <v xml:space="preserve">Identifies vaccination and vaccination placer this observation belongs to.  - Preferred system(s): </v>
      </c>
    </row>
    <row r="53" spans="2:9" ht="112.75" thickBot="1" x14ac:dyDescent="0.9">
      <c r="B53" t="str">
        <f t="shared" si="1"/>
        <v>A.5.2.9 Performer</v>
      </c>
      <c r="C53" s="35" t="s">
        <v>159</v>
      </c>
      <c r="D53" s="38" t="s">
        <v>160</v>
      </c>
      <c r="E53" s="36" t="s">
        <v>729</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161</v>
      </c>
      <c r="D54" s="38" t="s">
        <v>162</v>
      </c>
      <c r="E54" s="36" t="s">
        <v>163</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51" t="s">
        <v>164</v>
      </c>
      <c r="D55" s="154" t="s">
        <v>165</v>
      </c>
      <c r="E55" s="151" t="s">
        <v>320</v>
      </c>
      <c r="F55" s="42" t="s">
        <v>166</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52"/>
      <c r="D56" s="155"/>
      <c r="E56" s="152"/>
      <c r="F56" s="43"/>
      <c r="I56" s="1" t="str">
        <f t="shared" si="2"/>
        <v xml:space="preserve"> - Preferred system(s): </v>
      </c>
    </row>
    <row r="57" spans="2:9" ht="48.75" thickBot="1" x14ac:dyDescent="0.9">
      <c r="B57" t="str">
        <f t="shared" si="1"/>
        <v xml:space="preserve"> </v>
      </c>
      <c r="C57" s="153"/>
      <c r="D57" s="156"/>
      <c r="E57" s="153"/>
      <c r="F57" s="38" t="s">
        <v>167</v>
      </c>
      <c r="I57" s="1" t="str">
        <f t="shared" si="2"/>
        <v xml:space="preserve"> - Preferred system(s): UCUM (for units)</v>
      </c>
    </row>
    <row r="58" spans="2:9" ht="32" x14ac:dyDescent="0.75">
      <c r="B58" t="str">
        <f t="shared" si="1"/>
        <v>A.5.2.12 Observation interpretation</v>
      </c>
      <c r="C58" s="151" t="s">
        <v>168</v>
      </c>
      <c r="D58" s="154" t="s">
        <v>169</v>
      </c>
      <c r="E58" s="151" t="s">
        <v>170</v>
      </c>
      <c r="F58" s="42" t="s">
        <v>101</v>
      </c>
      <c r="I58" s="1" t="str">
        <f t="shared" si="2"/>
        <v>Information about reference intervals and result interpretation. - Preferred system(s): SNOMED CT</v>
      </c>
    </row>
    <row r="59" spans="2:9" x14ac:dyDescent="0.75">
      <c r="B59" t="str">
        <f t="shared" si="1"/>
        <v xml:space="preserve"> </v>
      </c>
      <c r="C59" s="152"/>
      <c r="D59" s="155"/>
      <c r="E59" s="152"/>
      <c r="F59" s="40"/>
      <c r="I59" s="1" t="str">
        <f t="shared" si="2"/>
        <v xml:space="preserve"> - Preferred system(s): </v>
      </c>
    </row>
    <row r="60" spans="2:9" ht="112.75" thickBot="1" x14ac:dyDescent="0.9">
      <c r="B60" t="str">
        <f t="shared" si="1"/>
        <v xml:space="preserve"> </v>
      </c>
      <c r="C60" s="153"/>
      <c r="D60" s="156"/>
      <c r="E60" s="153"/>
      <c r="F60" s="38" t="s">
        <v>171</v>
      </c>
      <c r="I60" s="1" t="str">
        <f t="shared" si="2"/>
        <v xml:space="preserve"> - Preferred system(s): HL7 v3 Code System ObservationInterpretation</v>
      </c>
    </row>
    <row r="61" spans="2:9" ht="48.75" thickBot="1" x14ac:dyDescent="0.9">
      <c r="B61" t="str">
        <f t="shared" si="1"/>
        <v>A.5.2.13 Result description</v>
      </c>
      <c r="C61" s="35" t="s">
        <v>172</v>
      </c>
      <c r="D61" s="38" t="s">
        <v>173</v>
      </c>
      <c r="E61" s="36" t="s">
        <v>174</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175</v>
      </c>
      <c r="D62" s="38" t="s">
        <v>176</v>
      </c>
      <c r="E62" s="36" t="s">
        <v>177</v>
      </c>
      <c r="F62" s="37"/>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265</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266</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340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8" t="str">
        <f>'A.5 Results'!$B$8</f>
        <v>narrative</v>
      </c>
      <c r="C10" s="9" t="s">
        <v>343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8" t="str">
        <f>'A.5 Results'!$B$8</f>
        <v>narrative</v>
      </c>
      <c r="C11" s="9" t="s">
        <v>342</v>
      </c>
      <c r="E11" s="14" t="str">
        <f t="shared" si="0"/>
        <v>* narrative -&gt; ##34#Composition.section.text##34#</v>
      </c>
      <c r="G11" s="1"/>
      <c r="H11" s="10"/>
      <c r="I11" s="10"/>
      <c r="J11" s="10"/>
      <c r="K11" s="10"/>
      <c r="L11" s="10"/>
      <c r="M11" s="10"/>
      <c r="N11" s="10"/>
      <c r="O11" s="10"/>
    </row>
    <row r="12" spans="1:15" x14ac:dyDescent="0.75">
      <c r="A12" s="9"/>
      <c r="B12" s="58" t="str">
        <f>'A.5 Results'!$B$8</f>
        <v>narrative</v>
      </c>
      <c r="C12" s="9" t="s">
        <v>344</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343</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342</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344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345</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340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346</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347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348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349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0" t="s">
        <v>350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351</v>
      </c>
      <c r="E23" s="14" t="str">
        <f t="shared" si="0"/>
        <v>* observation.code.originalName -&gt; ##34#Observation.code.text##34#</v>
      </c>
      <c r="G23" s="1" t="s">
        <v>32</v>
      </c>
    </row>
    <row r="24" spans="1:15" ht="29.5" x14ac:dyDescent="0.75">
      <c r="A24" s="9">
        <v>9</v>
      </c>
      <c r="B24" s="9" t="str">
        <f>'A.5 Results'!B16</f>
        <v>observation.code.displayName</v>
      </c>
      <c r="C24" s="60" t="s">
        <v>352</v>
      </c>
      <c r="E24" s="14" t="str">
        <f t="shared" si="0"/>
        <v>* observation.code.displayName -&gt; ##34#Observation.code.coding.display.extension('translation') (TBD)##34#</v>
      </c>
      <c r="G24" s="1" t="s">
        <v>33</v>
      </c>
    </row>
    <row r="25" spans="1:15" x14ac:dyDescent="0.75">
      <c r="A25" s="9">
        <v>10</v>
      </c>
      <c r="B25" s="9" t="str">
        <f>'A.5 Results'!B17</f>
        <v>observation.method</v>
      </c>
      <c r="C25" s="9" t="s">
        <v>353</v>
      </c>
      <c r="E25" s="14" t="str">
        <f t="shared" si="0"/>
        <v>* observation.method -&gt; ##34#Observation.method##34#</v>
      </c>
    </row>
    <row r="26" spans="1:15" x14ac:dyDescent="0.75">
      <c r="A26" s="9"/>
      <c r="B26" s="9" t="str">
        <f>'A.5 Results'!B18</f>
        <v>observation.device</v>
      </c>
      <c r="C26" s="9" t="s">
        <v>354</v>
      </c>
      <c r="E26" s="14" t="str">
        <f t="shared" si="0"/>
        <v>* observation.device -&gt; ##34#Observation.device.resolve()##34#</v>
      </c>
    </row>
    <row r="27" spans="1:15" ht="29.5" x14ac:dyDescent="0.75">
      <c r="B27" s="9" t="str">
        <f>'A.5 Results'!B19</f>
        <v>observation.vaccination</v>
      </c>
      <c r="C27" s="9" t="s">
        <v>355</v>
      </c>
      <c r="E27" s="14" t="str">
        <f t="shared" si="0"/>
        <v>* observation.vaccination -&gt; ##34#Observation.basedOn.resolve().ofType(ServiceRequest)##34#</v>
      </c>
    </row>
    <row r="28" spans="1:15" x14ac:dyDescent="0.75">
      <c r="B28" s="9" t="str">
        <f>'A.5 Results'!B20</f>
        <v>observation.performer</v>
      </c>
      <c r="C28" s="9" t="s">
        <v>356</v>
      </c>
      <c r="E28" s="14" t="str">
        <f t="shared" si="0"/>
        <v>* observation.performer -&gt; ##34#Observation.performer.resolve()##34#</v>
      </c>
    </row>
    <row r="29" spans="1:15" x14ac:dyDescent="0.75">
      <c r="B29" s="9" t="str">
        <f>'A.5 Results'!B21</f>
        <v>observation.reporter</v>
      </c>
      <c r="C29" s="60" t="s">
        <v>208</v>
      </c>
      <c r="E29" s="14" t="str">
        <f t="shared" si="0"/>
        <v>* observation.reporter -&gt; ##34#to be mapped##34#</v>
      </c>
    </row>
    <row r="30" spans="1:15" x14ac:dyDescent="0.75">
      <c r="B30" s="9" t="str">
        <f>'A.5 Results'!B22</f>
        <v>observation.result</v>
      </c>
      <c r="C30" s="9" t="s">
        <v>357</v>
      </c>
      <c r="E30" s="14" t="str">
        <f t="shared" si="0"/>
        <v>* observation.result -&gt; ##34#Observation.value[x]##34#</v>
      </c>
    </row>
    <row r="31" spans="1:15" x14ac:dyDescent="0.75">
      <c r="B31" s="9" t="str">
        <f>'A.5 Results'!B23</f>
        <v>observation.interpretation</v>
      </c>
      <c r="C31" s="9" t="s">
        <v>358</v>
      </c>
      <c r="E31" s="14" t="str">
        <f t="shared" si="0"/>
        <v>* observation.interpretation -&gt; ##34#Observation.interpretation##34#</v>
      </c>
    </row>
    <row r="32" spans="1:15" x14ac:dyDescent="0.75">
      <c r="B32" s="56" t="str">
        <f>'A.5 Results'!$B$24</f>
        <v>observation.description</v>
      </c>
      <c r="C32" s="9" t="s">
        <v>359</v>
      </c>
      <c r="E32" s="14" t="str">
        <f t="shared" si="0"/>
        <v>* observation.description -&gt; ##34#Observation.text##34#</v>
      </c>
    </row>
    <row r="33" spans="2:5" x14ac:dyDescent="0.75">
      <c r="B33" s="56" t="str">
        <f>'A.5 Results'!$B$24</f>
        <v>observation.description</v>
      </c>
      <c r="C33" s="9" t="s">
        <v>360</v>
      </c>
      <c r="E33" s="14" t="str">
        <f t="shared" si="0"/>
        <v>* observation.description -&gt; ##34#Observation.note##34#</v>
      </c>
    </row>
    <row r="34" spans="2:5" x14ac:dyDescent="0.75">
      <c r="B34" s="9" t="str">
        <f>'A.5 Results'!B25</f>
        <v>observation.accreditationStatus</v>
      </c>
      <c r="C34" s="59" t="s">
        <v>208</v>
      </c>
      <c r="E34" s="14" t="str">
        <f t="shared" si="0"/>
        <v>* observation.accreditationStatus -&gt; ##34#to be mapped##34#</v>
      </c>
    </row>
    <row r="35" spans="2:5" x14ac:dyDescent="0.75">
      <c r="B35" s="9">
        <f>'A.5 Results'!B26</f>
        <v>0</v>
      </c>
      <c r="C35" s="9" t="s">
        <v>208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699</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189</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observation.vaccination 0..* BackboneElement ##34#A.5.2.8 Vaccination##34# ##334#Identifies vaccination and vaccination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1120</v>
      </c>
      <c r="D3" s="66" t="s">
        <v>391</v>
      </c>
      <c r="E3" s="77" t="str">
        <f>"http://hl7.eu/fhir/ig/xpandh/ps/StructureDefinition/"&amp;'A.5 Results'!B5</f>
        <v>http://hl7.eu/fhir/ig/xpandh/ps/StructureDefinition/Result</v>
      </c>
    </row>
    <row r="4" spans="1:19" x14ac:dyDescent="0.75">
      <c r="B4" s="66" t="s">
        <v>19</v>
      </c>
      <c r="C4" s="49" t="s">
        <v>790</v>
      </c>
      <c r="D4" s="66" t="s">
        <v>392</v>
      </c>
      <c r="E4" s="142" t="s">
        <v>1179</v>
      </c>
      <c r="F4" s="141"/>
      <c r="G4" s="141"/>
    </row>
    <row r="5" spans="1:19" x14ac:dyDescent="0.75">
      <c r="B5" s="66" t="s">
        <v>13</v>
      </c>
      <c r="C5" s="10" t="s">
        <v>440</v>
      </c>
      <c r="D5" s="66"/>
      <c r="E5"/>
    </row>
    <row r="6" spans="1:19" x14ac:dyDescent="0.75">
      <c r="B6" s="66" t="s">
        <v>35</v>
      </c>
      <c r="C6" s="65"/>
      <c r="D6" s="66" t="s">
        <v>389</v>
      </c>
      <c r="E6" s="142" t="str">
        <f>E3</f>
        <v>http://hl7.eu/fhir/ig/xpandh/ps/StructureDefinition/Result</v>
      </c>
      <c r="F6" s="141"/>
      <c r="G6" s="141"/>
    </row>
    <row r="7" spans="1:19" x14ac:dyDescent="0.75">
      <c r="B7" s="66" t="s">
        <v>18</v>
      </c>
      <c r="C7" s="73"/>
      <c r="D7" s="66" t="s">
        <v>390</v>
      </c>
      <c r="E7" s="142" t="s">
        <v>1187</v>
      </c>
      <c r="F7" s="141"/>
      <c r="G7" s="141"/>
    </row>
    <row r="8" spans="1:19" ht="44.25" x14ac:dyDescent="0.75">
      <c r="B8" s="66" t="s">
        <v>387</v>
      </c>
      <c r="C8" s="48" t="s">
        <v>441</v>
      </c>
      <c r="D8" s="66"/>
      <c r="E8" s="10"/>
      <c r="I8" s="14" t="s">
        <v>364</v>
      </c>
      <c r="J8" s="14" t="s">
        <v>365</v>
      </c>
      <c r="K8" s="14" t="s">
        <v>366</v>
      </c>
      <c r="L8" s="14" t="s">
        <v>367</v>
      </c>
      <c r="M8" s="9" t="s">
        <v>368</v>
      </c>
      <c r="P8" s="62" t="s">
        <v>369</v>
      </c>
      <c r="Q8" s="62">
        <v>6</v>
      </c>
    </row>
    <row r="9" spans="1:19" ht="29.5" x14ac:dyDescent="0.75">
      <c r="B9" s="66" t="s">
        <v>388</v>
      </c>
      <c r="C9" s="14" t="s">
        <v>442</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383</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443</v>
      </c>
      <c r="E16" s="9"/>
      <c r="F16" s="68" t="s">
        <v>376</v>
      </c>
      <c r="G16" s="68"/>
      <c r="H16" s="69"/>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444</v>
      </c>
      <c r="E17" s="9"/>
      <c r="F17" s="68" t="s">
        <v>376</v>
      </c>
      <c r="G17" s="68" t="s">
        <v>448</v>
      </c>
      <c r="H17" s="69"/>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195</v>
      </c>
      <c r="E18" s="9"/>
      <c r="F18" s="68" t="s">
        <v>376</v>
      </c>
      <c r="G18" s="68" t="s">
        <v>445</v>
      </c>
      <c r="H18" s="69"/>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195</v>
      </c>
      <c r="E19" s="9"/>
      <c r="F19" s="68" t="s">
        <v>376</v>
      </c>
      <c r="G19" s="68" t="s">
        <v>445</v>
      </c>
      <c r="H19" s="69"/>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195</v>
      </c>
      <c r="E20" s="9"/>
      <c r="F20" s="68" t="s">
        <v>376</v>
      </c>
      <c r="G20" s="68" t="s">
        <v>445</v>
      </c>
      <c r="H20" s="69"/>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195</v>
      </c>
      <c r="E21" s="9"/>
      <c r="F21" s="68" t="s">
        <v>376</v>
      </c>
      <c r="G21" s="68" t="s">
        <v>445</v>
      </c>
      <c r="H21" s="69"/>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195</v>
      </c>
      <c r="E22" s="9"/>
      <c r="F22" s="68" t="s">
        <v>376</v>
      </c>
      <c r="G22" s="68" t="s">
        <v>445</v>
      </c>
      <c r="H22" s="69"/>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195</v>
      </c>
      <c r="E23" s="9"/>
      <c r="F23" s="68" t="s">
        <v>376</v>
      </c>
      <c r="G23" s="68" t="s">
        <v>445</v>
      </c>
      <c r="H23" s="69"/>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195</v>
      </c>
      <c r="E24" s="9"/>
      <c r="F24" s="68" t="s">
        <v>376</v>
      </c>
      <c r="G24" s="68" t="s">
        <v>445</v>
      </c>
      <c r="H24" s="69"/>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195</v>
      </c>
      <c r="E25" s="14"/>
      <c r="F25" s="68" t="s">
        <v>376</v>
      </c>
      <c r="G25" s="68" t="s">
        <v>445</v>
      </c>
      <c r="H25" s="69"/>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observation.vaccination</v>
      </c>
      <c r="C26" s="9" t="str">
        <f>'A.5 Results'!C19</f>
        <v>A.5.2.8 Vaccination</v>
      </c>
      <c r="D26" s="14" t="s">
        <v>195</v>
      </c>
      <c r="E26" s="14"/>
      <c r="F26" s="68" t="s">
        <v>376</v>
      </c>
      <c r="G26" s="68" t="s">
        <v>445</v>
      </c>
      <c r="H26" s="69"/>
      <c r="I26" s="14" t="str">
        <f t="shared" si="12"/>
        <v>* group[=].element[+].code = #Result.observation.vaccination</v>
      </c>
      <c r="J26" s="14" t="str">
        <f t="shared" si="13"/>
        <v>* group[=].element[=].display = ##34#A.5.2.8 Vaccination##34#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195</v>
      </c>
      <c r="E27" s="14"/>
      <c r="F27" s="68" t="s">
        <v>376</v>
      </c>
      <c r="G27" s="68" t="s">
        <v>445</v>
      </c>
      <c r="H27" s="69"/>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195</v>
      </c>
      <c r="E28" s="14"/>
      <c r="F28" s="68" t="s">
        <v>376</v>
      </c>
      <c r="G28" s="68" t="s">
        <v>445</v>
      </c>
      <c r="H28" s="69"/>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195</v>
      </c>
      <c r="E29" s="14"/>
      <c r="F29" s="68" t="s">
        <v>376</v>
      </c>
      <c r="G29" s="68" t="s">
        <v>445</v>
      </c>
      <c r="H29" s="69"/>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195</v>
      </c>
      <c r="E30" s="14"/>
      <c r="F30" s="68" t="s">
        <v>376</v>
      </c>
      <c r="G30" s="68" t="s">
        <v>445</v>
      </c>
      <c r="H30" s="69"/>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195</v>
      </c>
      <c r="E31" s="14"/>
      <c r="F31" s="68" t="s">
        <v>376</v>
      </c>
      <c r="G31" s="68" t="s">
        <v>445</v>
      </c>
      <c r="H31" s="69"/>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195</v>
      </c>
      <c r="E32" s="14"/>
      <c r="F32" s="68" t="s">
        <v>376</v>
      </c>
      <c r="G32" s="68" t="s">
        <v>445</v>
      </c>
      <c r="H32" s="69"/>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8"/>
      <c r="G33" s="68"/>
      <c r="H33" s="69"/>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8"/>
      <c r="G34" s="68"/>
      <c r="H34" s="69"/>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8"/>
      <c r="G35" s="68"/>
      <c r="H35" s="69"/>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8"/>
      <c r="G36" s="68"/>
      <c r="H36" s="69"/>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8"/>
      <c r="G37" s="68"/>
      <c r="H37" s="69"/>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8"/>
      <c r="G38" s="68"/>
      <c r="H38" s="69"/>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8"/>
      <c r="G39" s="69"/>
      <c r="H39" s="69"/>
      <c r="J39"/>
      <c r="K39" s="69"/>
      <c r="L39" s="69"/>
      <c r="M39" s="67"/>
      <c r="N39" s="67"/>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69"/>
      <c r="G40" s="69"/>
      <c r="H40" s="69"/>
      <c r="J40"/>
      <c r="K40" s="69"/>
      <c r="L40" s="69"/>
      <c r="M40" s="67"/>
      <c r="N40" s="67"/>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69"/>
      <c r="G41" s="69"/>
      <c r="H41" s="69"/>
      <c r="J41"/>
      <c r="K41" s="69"/>
      <c r="L41" s="69"/>
      <c r="M41" s="67"/>
      <c r="N41" s="67"/>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69"/>
      <c r="G42" s="69"/>
      <c r="H42" s="69"/>
      <c r="J42" s="69"/>
      <c r="K42" s="69"/>
      <c r="L42" s="69"/>
      <c r="M42" s="67"/>
      <c r="N42" s="67"/>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69"/>
      <c r="G43" s="69"/>
      <c r="H43" s="69"/>
      <c r="J43" s="69"/>
      <c r="K43" s="69"/>
      <c r="L43" s="69"/>
      <c r="M43" s="67"/>
      <c r="N43" s="67"/>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#Result.observation.vaccination</v>
      </c>
    </row>
    <row r="82" spans="16:19" x14ac:dyDescent="0.75">
      <c r="P82" s="9">
        <v>68</v>
      </c>
      <c r="Q82" s="9">
        <f t="shared" si="20"/>
        <v>11</v>
      </c>
      <c r="R82" s="9">
        <f t="shared" si="21"/>
        <v>2</v>
      </c>
      <c r="S82" s="14" t="str" cm="1">
        <f t="array" ref="S82">INDEX('Results-ConceptMap-1'!$I$15:$N$123,Q82+1,R82)</f>
        <v>* group[=].element[=].display = ##34#A.5.2.8 Vaccination##34#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9"/>
    </row>
    <row r="4" spans="1:19" ht="15.5" thickBot="1" x14ac:dyDescent="0.9">
      <c r="B4" s="66" t="s">
        <v>19</v>
      </c>
      <c r="C4" s="78" t="str">
        <f>'Results-ConceptMap-1'!C4</f>
        <v>result2FHIR-eu-ps</v>
      </c>
      <c r="D4" s="66" t="s">
        <v>392</v>
      </c>
      <c r="E4" s="80"/>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42" t="str">
        <f>'Results-ConceptMap-1'!E6</f>
        <v>http://hl7.eu/fhir/ig/xpandh/ps/StructureDefinition/Result</v>
      </c>
      <c r="F6" s="141"/>
      <c r="G6" s="141"/>
    </row>
    <row r="7" spans="1:19" ht="15.5" thickBot="1" x14ac:dyDescent="0.9">
      <c r="B7" s="66" t="s">
        <v>18</v>
      </c>
      <c r="C7" s="78">
        <f>'Results-ConceptMap-1'!C7</f>
        <v>0</v>
      </c>
      <c r="D7" s="66" t="s">
        <v>390</v>
      </c>
      <c r="E7" s="142" t="s">
        <v>1180</v>
      </c>
      <c r="F7" s="141"/>
      <c r="G7" s="141"/>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180</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443</v>
      </c>
      <c r="E16" s="9"/>
      <c r="F16" s="68" t="s">
        <v>376</v>
      </c>
      <c r="G16" s="68"/>
      <c r="H16" s="69"/>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700</v>
      </c>
      <c r="E17" s="9"/>
      <c r="F17" s="68" t="s">
        <v>376</v>
      </c>
      <c r="G17" s="68" t="s">
        <v>446</v>
      </c>
      <c r="H17" s="69"/>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701</v>
      </c>
      <c r="E18" s="9"/>
      <c r="F18" s="68" t="s">
        <v>376</v>
      </c>
      <c r="G18" s="68" t="s">
        <v>447</v>
      </c>
      <c r="H18" s="69"/>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700</v>
      </c>
      <c r="E19" s="9"/>
      <c r="F19" s="68" t="s">
        <v>376</v>
      </c>
      <c r="G19" s="68" t="s">
        <v>446</v>
      </c>
      <c r="H19" s="69"/>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701</v>
      </c>
      <c r="E20" s="9"/>
      <c r="F20" s="68" t="s">
        <v>376</v>
      </c>
      <c r="G20" s="68" t="s">
        <v>447</v>
      </c>
      <c r="H20" s="69"/>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690</v>
      </c>
      <c r="E21" s="9"/>
      <c r="F21" s="68" t="s">
        <v>376</v>
      </c>
      <c r="G21" s="68" t="s">
        <v>446</v>
      </c>
      <c r="H21" s="69"/>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692</v>
      </c>
      <c r="E22" s="9"/>
      <c r="F22" s="68" t="s">
        <v>376</v>
      </c>
      <c r="G22" s="68" t="s">
        <v>447</v>
      </c>
      <c r="H22" s="69"/>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690</v>
      </c>
      <c r="E23" s="9"/>
      <c r="F23" s="68" t="s">
        <v>376</v>
      </c>
      <c r="G23" s="68" t="s">
        <v>445</v>
      </c>
      <c r="H23" s="69"/>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690</v>
      </c>
      <c r="E24" s="9"/>
      <c r="F24" s="68" t="s">
        <v>376</v>
      </c>
      <c r="G24" s="68" t="s">
        <v>445</v>
      </c>
      <c r="H24" s="69"/>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690</v>
      </c>
      <c r="E25" s="9"/>
      <c r="F25" s="68" t="s">
        <v>376</v>
      </c>
      <c r="G25" s="68" t="s">
        <v>445</v>
      </c>
      <c r="H25" s="69"/>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690</v>
      </c>
      <c r="E26" s="9"/>
      <c r="F26" s="68" t="s">
        <v>376</v>
      </c>
      <c r="G26" s="68" t="s">
        <v>445</v>
      </c>
      <c r="H26" s="69"/>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690</v>
      </c>
      <c r="E27" s="9"/>
      <c r="F27" s="68" t="s">
        <v>376</v>
      </c>
      <c r="G27" s="68" t="s">
        <v>445</v>
      </c>
      <c r="H27" s="69"/>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690</v>
      </c>
      <c r="E28" s="9"/>
      <c r="F28" s="68" t="s">
        <v>376</v>
      </c>
      <c r="G28" s="68" t="s">
        <v>445</v>
      </c>
      <c r="H28" s="69"/>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690</v>
      </c>
      <c r="E29" s="14"/>
      <c r="F29" s="68" t="s">
        <v>376</v>
      </c>
      <c r="G29" s="68" t="s">
        <v>445</v>
      </c>
      <c r="H29" s="69"/>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observation.vaccination</v>
      </c>
      <c r="C30" s="9" t="str">
        <f>'A.5 Results'!C19</f>
        <v>A.5.2.8 Vaccination</v>
      </c>
      <c r="D30" s="14" t="s">
        <v>690</v>
      </c>
      <c r="E30" s="14"/>
      <c r="F30" s="68" t="s">
        <v>376</v>
      </c>
      <c r="G30" s="68" t="s">
        <v>445</v>
      </c>
      <c r="H30" s="69"/>
      <c r="I30" s="14" t="str">
        <f t="shared" ref="I30:I36" si="17">"* group[=].element[+].code = #"&amp;$B$14&amp;"."&amp;B30</f>
        <v>* group[=].element[+].code = #Result.observation.vaccination</v>
      </c>
      <c r="J30" s="14" t="str">
        <f t="shared" si="13"/>
        <v>* group[=].element[=].display = ##34#A.5.2.8 Vaccination##34#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690</v>
      </c>
      <c r="E31" s="14"/>
      <c r="F31" s="68" t="s">
        <v>376</v>
      </c>
      <c r="G31" s="68" t="s">
        <v>445</v>
      </c>
      <c r="H31" s="69"/>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690</v>
      </c>
      <c r="E32" s="14"/>
      <c r="F32" s="68" t="s">
        <v>376</v>
      </c>
      <c r="G32" s="68" t="s">
        <v>445</v>
      </c>
      <c r="H32" s="69"/>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690</v>
      </c>
      <c r="E33" s="14"/>
      <c r="F33" s="68" t="s">
        <v>376</v>
      </c>
      <c r="G33" s="68" t="s">
        <v>445</v>
      </c>
      <c r="H33" s="69"/>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690</v>
      </c>
      <c r="E34" s="14"/>
      <c r="F34" s="68" t="s">
        <v>376</v>
      </c>
      <c r="G34" s="68" t="s">
        <v>445</v>
      </c>
      <c r="H34" s="69"/>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690</v>
      </c>
      <c r="E35" s="14"/>
      <c r="F35" s="68" t="s">
        <v>376</v>
      </c>
      <c r="G35" s="68" t="s">
        <v>445</v>
      </c>
      <c r="H35" s="69"/>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690</v>
      </c>
      <c r="E36" s="14"/>
      <c r="F36" s="68" t="s">
        <v>376</v>
      </c>
      <c r="G36" s="68" t="s">
        <v>445</v>
      </c>
      <c r="H36" s="69"/>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8"/>
      <c r="G37" s="68"/>
      <c r="H37" s="69"/>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8"/>
      <c r="G38" s="68"/>
      <c r="H38" s="69"/>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8"/>
      <c r="G39" s="68"/>
      <c r="H39" s="69"/>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8"/>
      <c r="G40" s="68"/>
      <c r="H40" s="69"/>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8"/>
      <c r="G41" s="68"/>
      <c r="H41" s="69"/>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8"/>
      <c r="G42" s="68"/>
      <c r="H42" s="69"/>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8"/>
      <c r="G43" s="69"/>
      <c r="H43" s="69"/>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69"/>
      <c r="G44" s="69"/>
      <c r="H44" s="69"/>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69"/>
      <c r="G45" s="69"/>
      <c r="H45" s="69"/>
      <c r="J45"/>
      <c r="K45" s="69"/>
      <c r="L45" s="69"/>
      <c r="M45" s="67"/>
      <c r="N45" s="67"/>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#Result.observation.vaccination</v>
      </c>
    </row>
    <row r="106" spans="16:19" x14ac:dyDescent="0.75">
      <c r="P106" s="9">
        <v>92</v>
      </c>
      <c r="Q106" s="9">
        <f t="shared" si="23"/>
        <v>15</v>
      </c>
      <c r="R106" s="9">
        <f t="shared" si="24"/>
        <v>2</v>
      </c>
      <c r="S106" s="14" t="str" cm="1">
        <f t="array" ref="S106">INDEX('Results-ConceptMap-2'!$I$15:$N$125,Q106+1,R106)</f>
        <v>* group[=].element[=].display = ##34#A.5.2.8 Vaccination##34#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7"/>
    </row>
    <row r="4" spans="1:19" ht="15.5" thickBot="1" x14ac:dyDescent="0.9">
      <c r="B4" s="66" t="s">
        <v>19</v>
      </c>
      <c r="C4" s="78" t="str">
        <f>'Results-ConceptMap-1'!C4</f>
        <v>result2FHIR-eu-ps</v>
      </c>
      <c r="D4" s="66" t="s">
        <v>392</v>
      </c>
      <c r="E4"/>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42" t="str">
        <f>'Results-ConceptMap-1'!E6</f>
        <v>http://hl7.eu/fhir/ig/xpandh/ps/StructureDefinition/Result</v>
      </c>
      <c r="F6" s="141"/>
      <c r="G6" s="141"/>
    </row>
    <row r="7" spans="1:19" ht="15.5" thickBot="1" x14ac:dyDescent="0.9">
      <c r="B7" s="66" t="s">
        <v>18</v>
      </c>
      <c r="C7" s="78">
        <f>'Results-ConceptMap-1'!C7</f>
        <v>0</v>
      </c>
      <c r="D7" s="66" t="s">
        <v>390</v>
      </c>
      <c r="E7" s="142" t="s">
        <v>1190</v>
      </c>
      <c r="F7" s="141"/>
      <c r="G7" s="141"/>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449</v>
      </c>
      <c r="E14" s="8"/>
      <c r="F14" s="68"/>
      <c r="G14" s="68"/>
      <c r="I14" s="14"/>
      <c r="J14" s="9"/>
      <c r="K14" s="9"/>
      <c r="L14" s="9"/>
      <c r="M14" s="64"/>
      <c r="N14" s="67"/>
    </row>
    <row r="15" spans="1:19" ht="44.25" customHeight="1" x14ac:dyDescent="0.75">
      <c r="A15" s="22"/>
      <c r="B15" s="9" t="str">
        <f>'A.5 Results'!B8</f>
        <v>narrative</v>
      </c>
      <c r="C15" s="9" t="str">
        <f>'A.5 Results'!C8</f>
        <v>A.5.1 Patient Summary narrative</v>
      </c>
      <c r="D15" s="14"/>
      <c r="E15" s="9"/>
      <c r="F15" s="68" t="s">
        <v>377</v>
      </c>
      <c r="G15" s="68"/>
      <c r="H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8" t="s">
        <v>377</v>
      </c>
      <c r="G16" s="68"/>
      <c r="H16" s="69"/>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8" t="s">
        <v>377</v>
      </c>
      <c r="G17" s="68"/>
      <c r="H17" s="69"/>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8" t="s">
        <v>375</v>
      </c>
      <c r="G18" s="68"/>
      <c r="H18" s="69"/>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450</v>
      </c>
      <c r="E19" s="9"/>
      <c r="F19" s="68" t="s">
        <v>375</v>
      </c>
      <c r="G19" s="68"/>
      <c r="H19" s="69"/>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372</v>
      </c>
      <c r="E20" s="9"/>
      <c r="F20" s="68" t="s">
        <v>376</v>
      </c>
      <c r="G20" s="68" t="s">
        <v>459</v>
      </c>
      <c r="H20" s="69"/>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490</v>
      </c>
      <c r="E21" s="9"/>
      <c r="F21" s="68" t="s">
        <v>376</v>
      </c>
      <c r="G21" s="68" t="s">
        <v>459</v>
      </c>
      <c r="H21" s="69"/>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489</v>
      </c>
      <c r="E22" s="9"/>
      <c r="F22" s="68" t="s">
        <v>376</v>
      </c>
      <c r="G22" s="68" t="s">
        <v>459</v>
      </c>
      <c r="H22" s="69"/>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456</v>
      </c>
      <c r="E23" s="9"/>
      <c r="F23" s="68" t="s">
        <v>375</v>
      </c>
      <c r="G23" s="75" t="s">
        <v>492</v>
      </c>
      <c r="H23" s="69"/>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455</v>
      </c>
      <c r="E24" s="9"/>
      <c r="F24" s="68" t="s">
        <v>375</v>
      </c>
      <c r="G24" s="75" t="s">
        <v>492</v>
      </c>
      <c r="H24" s="69"/>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456</v>
      </c>
      <c r="E25" s="9"/>
      <c r="F25" s="68" t="s">
        <v>375</v>
      </c>
      <c r="G25" s="75" t="s">
        <v>493</v>
      </c>
      <c r="H25" s="69"/>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491</v>
      </c>
      <c r="E26" s="9"/>
      <c r="F26" s="68" t="s">
        <v>375</v>
      </c>
      <c r="G26" s="75" t="s">
        <v>494</v>
      </c>
      <c r="H26" s="69"/>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451</v>
      </c>
      <c r="E27" s="14"/>
      <c r="F27" s="68" t="s">
        <v>375</v>
      </c>
      <c r="G27" s="68"/>
      <c r="H27" s="69"/>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452</v>
      </c>
      <c r="E28" s="14"/>
      <c r="F28" s="68" t="s">
        <v>376</v>
      </c>
      <c r="G28" s="75" t="s">
        <v>530</v>
      </c>
      <c r="H28" s="69"/>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527</v>
      </c>
      <c r="E29" s="14"/>
      <c r="F29" s="68" t="s">
        <v>376</v>
      </c>
      <c r="G29" s="75" t="s">
        <v>531</v>
      </c>
      <c r="H29" s="69"/>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452</v>
      </c>
      <c r="E30" s="14"/>
      <c r="F30" s="68" t="s">
        <v>376</v>
      </c>
      <c r="G30" s="88" t="s">
        <v>528</v>
      </c>
      <c r="H30" s="69"/>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529</v>
      </c>
      <c r="E31" s="14"/>
      <c r="F31" s="68" t="s">
        <v>376</v>
      </c>
      <c r="G31" s="88" t="s">
        <v>532</v>
      </c>
      <c r="H31" s="69"/>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observation.vaccination</v>
      </c>
      <c r="C32" s="9" t="str">
        <f>'A.5 Results'!C19</f>
        <v>A.5.2.8 Vaccination</v>
      </c>
      <c r="D32" s="14" t="s">
        <v>462</v>
      </c>
      <c r="E32" s="14"/>
      <c r="F32" s="68" t="s">
        <v>375</v>
      </c>
      <c r="G32" s="76"/>
      <c r="H32" s="69"/>
      <c r="I32" s="14" t="str">
        <f t="shared" si="12"/>
        <v>* group[=].element[+].code = #Result.observation.vaccination</v>
      </c>
      <c r="J32" s="14" t="str">
        <f t="shared" si="13"/>
        <v>* group[=].element[=].display = ##34#A.5.2.8 Vaccination##34#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453</v>
      </c>
      <c r="E33" s="14"/>
      <c r="F33" s="68" t="s">
        <v>375</v>
      </c>
      <c r="G33" s="68"/>
      <c r="H33" s="69"/>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453</v>
      </c>
      <c r="E34" s="14"/>
      <c r="F34" s="68" t="s">
        <v>376</v>
      </c>
      <c r="G34" s="75" t="s">
        <v>495</v>
      </c>
      <c r="H34" s="69"/>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457</v>
      </c>
      <c r="E35" s="14"/>
      <c r="F35" s="68" t="s">
        <v>375</v>
      </c>
      <c r="G35" s="68" t="s">
        <v>459</v>
      </c>
      <c r="H35" s="69"/>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458</v>
      </c>
      <c r="E36" s="14"/>
      <c r="F36" s="68" t="s">
        <v>375</v>
      </c>
      <c r="G36" s="68" t="s">
        <v>459</v>
      </c>
      <c r="H36" s="69"/>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454</v>
      </c>
      <c r="E37" s="14"/>
      <c r="F37" s="68" t="s">
        <v>375</v>
      </c>
      <c r="G37" s="76" t="s">
        <v>459</v>
      </c>
      <c r="H37" s="69"/>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460</v>
      </c>
      <c r="E38" s="14"/>
      <c r="F38" s="68" t="s">
        <v>375</v>
      </c>
      <c r="G38" s="76" t="s">
        <v>459</v>
      </c>
      <c r="H38" s="69"/>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443</v>
      </c>
      <c r="E39" s="14"/>
      <c r="F39" s="68" t="s">
        <v>376</v>
      </c>
      <c r="G39" s="81" t="s">
        <v>433</v>
      </c>
      <c r="H39" s="69"/>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463</v>
      </c>
      <c r="E40" s="14"/>
      <c r="F40" s="68" t="s">
        <v>376</v>
      </c>
      <c r="G40" s="76" t="s">
        <v>550</v>
      </c>
      <c r="H40" s="69"/>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464</v>
      </c>
      <c r="E41" s="14"/>
      <c r="F41" s="68" t="s">
        <v>376</v>
      </c>
      <c r="G41" s="76" t="s">
        <v>496</v>
      </c>
      <c r="H41" s="69"/>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8"/>
      <c r="G42" s="68"/>
      <c r="H42" s="69"/>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8"/>
      <c r="G43" s="68"/>
      <c r="H43" s="69"/>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8"/>
      <c r="G44" s="68"/>
      <c r="H44" s="69"/>
      <c r="K44" s="69"/>
      <c r="L44" s="69"/>
      <c r="M44" s="67"/>
      <c r="N44" s="67"/>
      <c r="P44" s="9">
        <v>30</v>
      </c>
      <c r="Q44" s="9">
        <f t="shared" si="10"/>
        <v>4</v>
      </c>
      <c r="R44" s="9">
        <f t="shared" si="18"/>
        <v>6</v>
      </c>
      <c r="S44" s="14" t="str" cm="1">
        <f t="array" ref="S44">INDEX('Results-ConceptMap-3'!$I$15:$N$127,Q44+1,R44)</f>
        <v/>
      </c>
    </row>
    <row r="45" spans="1:19" x14ac:dyDescent="0.75">
      <c r="B45" s="9"/>
      <c r="C45" s="9"/>
      <c r="D45" s="14"/>
      <c r="E45" s="14"/>
      <c r="F45" s="68"/>
      <c r="G45" s="68"/>
      <c r="H45" s="69"/>
      <c r="K45" s="69"/>
      <c r="L45" s="69"/>
      <c r="M45" s="67"/>
      <c r="N45" s="67"/>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8"/>
      <c r="G46" s="69"/>
      <c r="H46" s="69"/>
      <c r="J46"/>
      <c r="K46" s="69"/>
      <c r="L46" s="69"/>
      <c r="M46" s="67"/>
      <c r="N46" s="67"/>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69"/>
      <c r="G47" s="69"/>
      <c r="H47" s="69"/>
      <c r="J47"/>
      <c r="K47" s="69"/>
      <c r="L47" s="69"/>
      <c r="M47" s="67"/>
      <c r="N47" s="67"/>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#Result.observation.vaccination</v>
      </c>
    </row>
    <row r="118" spans="16:19" x14ac:dyDescent="0.75">
      <c r="P118" s="9">
        <v>104</v>
      </c>
      <c r="Q118" s="9">
        <f t="shared" si="10"/>
        <v>17</v>
      </c>
      <c r="R118" s="9">
        <f t="shared" si="19"/>
        <v>2</v>
      </c>
      <c r="S118" s="14" t="str" cm="1">
        <f t="array" ref="S118">INDEX('Results-ConceptMap-3'!$I$15:$N$127,Q118+1,R118)</f>
        <v>* group[=].element[=].display = ##34#A.5.2.8 Vaccination##34#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461</v>
      </c>
    </row>
    <row r="3" spans="2:7" x14ac:dyDescent="0.75">
      <c r="B3" s="32" t="s">
        <v>37</v>
      </c>
    </row>
    <row r="4" spans="2:7" x14ac:dyDescent="0.75">
      <c r="B4" s="70" t="str">
        <f>"Instance: "&amp;'Results-ConceptMap-1'!C4</f>
        <v>Instance: result2FHIR-eu-ps</v>
      </c>
    </row>
    <row r="5" spans="2:7" x14ac:dyDescent="0.75">
      <c r="B5" s="70" t="s">
        <v>379</v>
      </c>
    </row>
    <row r="6" spans="2:7" x14ac:dyDescent="0.75">
      <c r="B6" s="70" t="s">
        <v>380</v>
      </c>
    </row>
    <row r="7" spans="2:7" x14ac:dyDescent="0.75">
      <c r="B7" s="70" t="s">
        <v>386</v>
      </c>
    </row>
    <row r="8" spans="2:7" x14ac:dyDescent="0.75">
      <c r="B8" s="70" t="str">
        <f>"* name = ##34#"&amp;'Results-ConceptMap-1'!C3&amp;"##34#"</f>
        <v>* name = ##34#PatientSummaryResult2FHIR##34#</v>
      </c>
    </row>
    <row r="9" spans="2:7" x14ac:dyDescent="0.75">
      <c r="B9" s="70" t="str">
        <f>"* title = ##34#"&amp;'Results-ConceptMap-1'!C5&amp;"##34#"</f>
        <v>* title = ##34#eHN Result to this guide Map##34#</v>
      </c>
    </row>
    <row r="10" spans="2:7" x14ac:dyDescent="0.75">
      <c r="B10" s="70" t="s">
        <v>381</v>
      </c>
    </row>
    <row r="11" spans="2:7" x14ac:dyDescent="0.75">
      <c r="B11" s="70" t="s">
        <v>382</v>
      </c>
    </row>
    <row r="12" spans="2:7" x14ac:dyDescent="0.75">
      <c r="B12" s="70" t="str">
        <f>"* description = ##34#"&amp;'Results-ConceptMap-1'!C8&amp;"##34#"</f>
        <v>* description = ##34#eHN Result Model to this guide Map##34#</v>
      </c>
    </row>
    <row r="13" spans="2:7" x14ac:dyDescent="0.75">
      <c r="B13" s="70" t="str">
        <f>"* purpose = ##34#"&amp;'Results-ConceptMap-1'!C9&amp;"##34#"</f>
        <v>* purpose = ##34#It shows how the Result data set defined by the EU eHN guidelines is mapped into this guide##34#</v>
      </c>
    </row>
    <row r="14" spans="2:7" x14ac:dyDescent="0.75">
      <c r="B14" s="71" t="str">
        <f>"* sourceUri = ##34#"&amp;'Results-ConceptMap-1'!E3&amp;"##34#"</f>
        <v>* sourceUri = ##34#http://hl7.eu/fhir/ig/xpandh/ps/StructureDefinition/Result##34#</v>
      </c>
    </row>
    <row r="15" spans="2:7" x14ac:dyDescent="0.75">
      <c r="B15" s="71" t="str">
        <f>"* targetUri = ##34#"&amp;'Results-ConceptMap-1'!E4&amp;"##34#"</f>
        <v>* targetUri = ##34#http://hl7.eu/fhir/ig/xpandh/ps/StructureDefinition/Bundle-eu-ps##34#</v>
      </c>
    </row>
    <row r="16" spans="2:7" x14ac:dyDescent="0.75">
      <c r="B16" s="70"/>
    </row>
    <row r="17" spans="2:2" x14ac:dyDescent="0.75">
      <c r="B17" s="70"/>
    </row>
    <row r="18" spans="2:2" x14ac:dyDescent="0.75">
      <c r="B18" s="72" t="str">
        <f>"* group[+].source = ##34#"&amp;'Results-ConceptMap-3'!E6&amp;"##34#"</f>
        <v>* group[+].source = ##34#http://hl7.eu/fhir/ig/xpandh/ps/StructureDefinition/Result##34#</v>
      </c>
    </row>
    <row r="19" spans="2:2" x14ac:dyDescent="0.75">
      <c r="B19" s="72" t="str">
        <f>"* group[=].target = ##34#"&amp;'Results-ConceptMap-3'!E7&amp;"##34#"</f>
        <v>* group[=].target = ##34#http://hl7.eu/fhir/ig/xpandh/ps/StructureDefinition/Observation-resultsps-eu-ps##34#</v>
      </c>
    </row>
    <row r="20" spans="2:2" x14ac:dyDescent="0.75">
      <c r="B20" s="74"/>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#Result.observation.vaccination</v>
      </c>
    </row>
    <row r="124" spans="2:2" x14ac:dyDescent="0.75">
      <c r="B124" s="14" t="str">
        <f>IF('Results-ConceptMap-3'!S118=0,"//---END",'Results-ConceptMap-3'!S118)</f>
        <v>* group[=].element[=].display = ##34#A.5.2.8 Vaccination##34#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2" t="str">
        <f>"* group[+].source = ##34#"&amp;'Results-ConceptMap-1'!E6&amp;"##34#"</f>
        <v>* group[+].source = ##34#http://hl7.eu/fhir/ig/xpandh/ps/StructureDefinition/Result##34#</v>
      </c>
    </row>
    <row r="188" spans="2:2" x14ac:dyDescent="0.75">
      <c r="B188" s="72" t="str">
        <f>"* group[=].target = ##34#"&amp;'Results-ConceptMap-1'!E7&amp;"##34#"</f>
        <v>* group[=].target = ##34#http://hl7.eu/fhir/ig/xpandh/ps/StructureDefinition/DiagnosticReport-eu-ps##34#</v>
      </c>
    </row>
    <row r="189" spans="2:2" x14ac:dyDescent="0.75">
      <c r="B189" s="74"/>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#Result.observation.vaccination</v>
      </c>
    </row>
    <row r="257" spans="2:2" x14ac:dyDescent="0.75">
      <c r="B257" s="14" t="str">
        <f>IF('Results-ConceptMap-1'!S82=0,"//---END",'Results-ConceptMap-1'!S82)</f>
        <v>* group[=].element[=].display = ##34#A.5.2.8 Vaccination##34#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0"/>
    </row>
    <row r="305" spans="2:2" x14ac:dyDescent="0.75">
      <c r="B305" s="72" t="str">
        <f>"* group[+].source = ##34#"&amp;'Results-ConceptMap-2'!E6&amp;"##34#"</f>
        <v>* group[+].source = ##34#http://hl7.eu/fhir/ig/xpandh/ps/StructureDefinition/Result##34#</v>
      </c>
    </row>
    <row r="306" spans="2:2" x14ac:dyDescent="0.75">
      <c r="B306" s="72" t="str">
        <f>"* group[=].target = ##34#"&amp;'Results-ConceptMap-2'!E7&amp;"##34#"</f>
        <v>* group[=].target = ##34#http://hl7.eu/fhir/ig/xpandh/ps/StructureDefinition/Composition-eu-ps##34#</v>
      </c>
    </row>
    <row r="307" spans="2:2" x14ac:dyDescent="0.75">
      <c r="B307" s="74"/>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#Result.observation.vaccination</v>
      </c>
    </row>
    <row r="399" spans="2:2" x14ac:dyDescent="0.75">
      <c r="B399" s="14" t="str">
        <f>IF('Results-ConceptMap-2'!S106=0,"//---END",'Results-ConceptMap-2'!S106)</f>
        <v>* group[=].element[=].display = ##34#A.5.2.8 Vaccination##34#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55</vt:i4>
      </vt:variant>
      <vt:variant>
        <vt:lpstr>Intervalli denominati</vt:lpstr>
      </vt:variant>
      <vt:variant>
        <vt:i4>1</vt:i4>
      </vt:variant>
    </vt:vector>
  </HeadingPairs>
  <TitlesOfParts>
    <vt:vector size="56" baseType="lpstr">
      <vt:lpstr>Header</vt:lpstr>
      <vt:lpstr>Body</vt:lpstr>
      <vt:lpstr>PS</vt:lpstr>
      <vt:lpstr>PS-fsh</vt:lpstr>
      <vt:lpstr>PS-ConceptMap-1</vt:lpstr>
      <vt:lpstr>PS-ConceptMap-2</vt:lpstr>
      <vt:lpstr>PS-CM-fsh</vt:lpstr>
      <vt:lpstr>A.2.4.1  Medicine</vt:lpstr>
      <vt:lpstr>Medicine-fsh</vt:lpstr>
      <vt:lpstr>Medicine-ConceptMap-1</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2024-01-30T16:40:25Z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