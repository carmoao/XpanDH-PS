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3EC5258D-1FB4-4722-86E7-539CFD67047B}" xr6:coauthVersionLast="47" xr6:coauthVersionMax="47" xr10:uidLastSave="{00000000-0000-0000-0000-000000000000}"/>
  <bookViews>
    <workbookView xWindow="-90" yWindow="-90" windowWidth="19380" windowHeight="10260" firstSheet="1" activeTab="6" xr2:uid="{6572D17F-2786-461A-AF68-FCA595C6091B}"/>
  </bookViews>
  <sheets>
    <sheet name="Body" sheetId="107" r:id="rId1"/>
    <sheet name="Header" sheetId="106" r:id="rId2"/>
    <sheet name="PS" sheetId="108" r:id="rId3"/>
    <sheet name="PS-fsh" sheetId="110" r:id="rId4"/>
    <sheet name="PS-ConceptMap-1" sheetId="137" r:id="rId5"/>
    <sheet name="PS-ConceptMap-2" sheetId="199" r:id="rId6"/>
    <sheet name="PS-CM-fsh" sheetId="138" r:id="rId7"/>
    <sheet name="A.2.3.3 Pregnancy" sheetId="192" r:id="rId8"/>
    <sheet name="Pregnancy-fsh" sheetId="193" r:id="rId9"/>
    <sheet name="Pregnancy-ConceptMap-1" sheetId="194" r:id="rId10"/>
    <sheet name="Pregnancy-ConceptMap-2" sheetId="196" r:id="rId11"/>
    <sheet name="Pregnancy-ConceptMap-3" sheetId="197" r:id="rId12"/>
    <sheet name="Pregnancy-CM-fsh" sheetId="195" r:id="rId13"/>
    <sheet name="A.2.3.3 FunctionalStatus" sheetId="188" r:id="rId14"/>
    <sheet name="FunctionalStatus-fsh" sheetId="189" r:id="rId15"/>
    <sheet name="FunctionalStat-ConceptMap-1" sheetId="190" r:id="rId16"/>
    <sheet name="FunctionalStatus-CM-fsh" sheetId="191" r:id="rId17"/>
    <sheet name="A.2.3.3 Procedures" sheetId="184" r:id="rId18"/>
    <sheet name="Procedures-fsh" sheetId="185" r:id="rId19"/>
    <sheet name="Procedures-ConceptMap-1" sheetId="186" r:id="rId20"/>
    <sheet name="Procedures-CM-fsh" sheetId="187" r:id="rId21"/>
    <sheet name="A.2.3.2 Devices" sheetId="180" r:id="rId22"/>
    <sheet name="Devices-fsh" sheetId="181" r:id="rId23"/>
    <sheet name="Devices-ConceptMap-1" sheetId="182" r:id="rId24"/>
    <sheet name="Devices-CM-fsh" sheetId="183" r:id="rId25"/>
    <sheet name="A.2.3.1 Problem" sheetId="176" r:id="rId26"/>
    <sheet name="Problem-fsh" sheetId="177" r:id="rId27"/>
    <sheet name="Problem-ConceptMap-1" sheetId="178" r:id="rId28"/>
    <sheet name="Problem-CM-fsh" sheetId="179" r:id="rId29"/>
    <sheet name="A.2.2.2 ClosedProblem" sheetId="131" r:id="rId30"/>
    <sheet name="ClosedProblem-fsh" sheetId="133" r:id="rId31"/>
    <sheet name="ClosedProblem-ConceptMap-1" sheetId="162" r:id="rId32"/>
    <sheet name="ClosedProblem-CM-fsh" sheetId="165" r:id="rId33"/>
    <sheet name="A.2.8 Results" sheetId="134" r:id="rId34"/>
    <sheet name="Results-fsh" sheetId="136" r:id="rId35"/>
    <sheet name="Results-ConceptMap-1" sheetId="168" r:id="rId36"/>
    <sheet name="Results-CM-fsh" sheetId="171" r:id="rId37"/>
    <sheet name="A.2.4.1  Medicine" sheetId="118" r:id="rId38"/>
    <sheet name="Medicine-fsh" sheetId="120" r:id="rId39"/>
    <sheet name="Medicine-ConceptMap-1" sheetId="157" r:id="rId40"/>
    <sheet name="Medicine-ConceptMap-2" sheetId="175" r:id="rId41"/>
    <sheet name="Medicine-CM-fsh" sheetId="158" r:id="rId42"/>
    <sheet name="A.2.2.1 Vaccination" sheetId="128" r:id="rId43"/>
    <sheet name="Vaccination-fsh" sheetId="130" r:id="rId44"/>
    <sheet name="Vaccination-ConceptMap-1" sheetId="159" r:id="rId45"/>
    <sheet name="Vaccination-CM-fsh" sheetId="161" r:id="rId46"/>
    <sheet name="Subj" sheetId="12" r:id="rId47"/>
    <sheet name="Subj-fsh" sheetId="73" r:id="rId48"/>
    <sheet name="Subj-ConceptMap-1" sheetId="141" r:id="rId49"/>
    <sheet name="Subj-ConceptMap-2" sheetId="198" r:id="rId50"/>
    <sheet name="Subj-CM-fsh" sheetId="143" r:id="rId51"/>
    <sheet name="A1.3 Payer" sheetId="111" r:id="rId52"/>
    <sheet name="Payer-Map-1" sheetId="112" r:id="rId53"/>
    <sheet name="Payer-fsh" sheetId="113" r:id="rId54"/>
    <sheet name="Payer-ConceptMap-1" sheetId="144" r:id="rId55"/>
    <sheet name="Payer-ConceptMap-2" sheetId="173" r:id="rId56"/>
    <sheet name="Payer-ConceptMap-3" sheetId="172" r:id="rId57"/>
    <sheet name="Payer-CM-fsh" sheetId="145" r:id="rId58"/>
    <sheet name="A.2.1.1 Allergy" sheetId="115" r:id="rId59"/>
    <sheet name="Allergy-fsh" sheetId="117" r:id="rId60"/>
    <sheet name="Allergy-ConceptMap-1" sheetId="146" r:id="rId61"/>
    <sheet name="Allergy-CM-fsh" sheetId="147" r:id="rId62"/>
    <sheet name="A1.5 Author" sheetId="124" r:id="rId63"/>
    <sheet name="Author-Map-1" sheetId="125" r:id="rId64"/>
    <sheet name="Author-fsh" sheetId="126" r:id="rId65"/>
    <sheet name="Author-ConceptMap-1" sheetId="153" r:id="rId66"/>
    <sheet name="Author-ConceptMap-2" sheetId="148" r:id="rId67"/>
    <sheet name="Author-ConceptMap-2-delete" sheetId="151" r:id="rId68"/>
    <sheet name="Author-CM-fsh" sheetId="156" r:id="rId69"/>
    <sheet name="A1.6 LegalAuth" sheetId="121" r:id="rId70"/>
    <sheet name="LegalAuth-fsh" sheetId="123" r:id="rId71"/>
    <sheet name="LegalAuth-ConceptMap-1" sheetId="154" r:id="rId72"/>
    <sheet name="LegalAuth-CM-fsh" sheetId="155" r:id="rId73"/>
  </sheets>
  <externalReferences>
    <externalReference r:id="rId74"/>
  </externalReferences>
  <definedNames>
    <definedName name="AllergyIntolerance.verificationStatus" localSheetId="60">'Allergy-ConceptMap-1'!$D$24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26" i="138" l="1"/>
  <c r="B327" i="138"/>
  <c r="B328" i="138"/>
  <c r="B329" i="138"/>
  <c r="B330" i="138"/>
  <c r="B331" i="138"/>
  <c r="B332" i="138"/>
  <c r="B333" i="138"/>
  <c r="B334" i="138"/>
  <c r="B335" i="138"/>
  <c r="B336" i="138"/>
  <c r="B337" i="138"/>
  <c r="B338" i="138"/>
  <c r="B339" i="138"/>
  <c r="B317" i="138"/>
  <c r="B318" i="138"/>
  <c r="B319" i="138"/>
  <c r="B320" i="138"/>
  <c r="B321" i="138"/>
  <c r="B322" i="138"/>
  <c r="B323" i="138"/>
  <c r="B324" i="138"/>
  <c r="B325" i="138"/>
  <c r="B316" i="138"/>
  <c r="B314" i="138"/>
  <c r="B313" i="138"/>
  <c r="Q16" i="199"/>
  <c r="R16" i="199"/>
  <c r="Q17" i="199"/>
  <c r="S17" i="199" s="1" a="1"/>
  <c r="S17" i="199" s="1"/>
  <c r="R17" i="199"/>
  <c r="Q18" i="199"/>
  <c r="R18" i="199"/>
  <c r="Q19" i="199"/>
  <c r="S19" i="199" s="1" a="1"/>
  <c r="S19" i="199" s="1"/>
  <c r="R19" i="199"/>
  <c r="Q20" i="199"/>
  <c r="R20" i="199"/>
  <c r="Q21" i="199"/>
  <c r="R21" i="199"/>
  <c r="Q22" i="199"/>
  <c r="R22" i="199"/>
  <c r="Q23" i="199"/>
  <c r="S23" i="199" s="1" a="1"/>
  <c r="S23" i="199" s="1"/>
  <c r="R23" i="199"/>
  <c r="Q24" i="199"/>
  <c r="S24" i="199" s="1" a="1"/>
  <c r="S24" i="199" s="1"/>
  <c r="R24" i="199"/>
  <c r="Q25" i="199"/>
  <c r="S25" i="199" s="1" a="1"/>
  <c r="S25" i="199" s="1"/>
  <c r="R25" i="199"/>
  <c r="Q26" i="199"/>
  <c r="R26" i="199"/>
  <c r="Q27" i="199"/>
  <c r="S27" i="199" s="1" a="1"/>
  <c r="S27" i="199" s="1"/>
  <c r="R27" i="199"/>
  <c r="Q28" i="199"/>
  <c r="R28" i="199"/>
  <c r="Q29" i="199"/>
  <c r="R29" i="199"/>
  <c r="S29" i="199" a="1"/>
  <c r="S29" i="199" s="1"/>
  <c r="Q30" i="199"/>
  <c r="S30" i="199" s="1" a="1"/>
  <c r="S30" i="199" s="1"/>
  <c r="R30" i="199"/>
  <c r="Q31" i="199"/>
  <c r="S31" i="199" s="1" a="1"/>
  <c r="S31" i="199" s="1"/>
  <c r="R31" i="199"/>
  <c r="Q32" i="199"/>
  <c r="R32" i="199"/>
  <c r="Q33" i="199"/>
  <c r="S33" i="199" s="1" a="1"/>
  <c r="S33" i="199" s="1"/>
  <c r="R33" i="199"/>
  <c r="Q34" i="199"/>
  <c r="R34" i="199"/>
  <c r="Q35" i="199"/>
  <c r="S35" i="199" s="1" a="1"/>
  <c r="S35" i="199" s="1"/>
  <c r="R35" i="199"/>
  <c r="Q36" i="199"/>
  <c r="S36" i="199" s="1" a="1"/>
  <c r="S36" i="199" s="1"/>
  <c r="R36" i="199"/>
  <c r="Q37" i="199"/>
  <c r="R37" i="199"/>
  <c r="Q38" i="199"/>
  <c r="R38" i="199"/>
  <c r="Q39" i="199"/>
  <c r="R39" i="199"/>
  <c r="S39" i="199" a="1"/>
  <c r="S39" i="199" s="1"/>
  <c r="Q40" i="199"/>
  <c r="S40" i="199" s="1" a="1"/>
  <c r="S40" i="199" s="1"/>
  <c r="R40" i="199"/>
  <c r="K16" i="199"/>
  <c r="L16" i="199"/>
  <c r="M16" i="199"/>
  <c r="N16" i="199"/>
  <c r="K17" i="199"/>
  <c r="L17" i="199"/>
  <c r="M17" i="199"/>
  <c r="N17" i="199"/>
  <c r="Q16" i="137"/>
  <c r="S16" i="137" s="1" a="1"/>
  <c r="S16" i="137" s="1"/>
  <c r="R16" i="137"/>
  <c r="Q17" i="137"/>
  <c r="S17" i="137" s="1" a="1"/>
  <c r="S17" i="137" s="1"/>
  <c r="R17" i="137"/>
  <c r="Q18" i="137"/>
  <c r="S18" i="137" s="1" a="1"/>
  <c r="S18" i="137" s="1"/>
  <c r="R18" i="137"/>
  <c r="Q19" i="137"/>
  <c r="S19" i="137" s="1" a="1"/>
  <c r="S19" i="137" s="1"/>
  <c r="R19" i="137"/>
  <c r="Q20" i="137"/>
  <c r="S20" i="137" s="1" a="1"/>
  <c r="S20" i="137" s="1"/>
  <c r="R20" i="137"/>
  <c r="Q21" i="137"/>
  <c r="S21" i="137" s="1" a="1"/>
  <c r="S21" i="137" s="1"/>
  <c r="R21" i="137"/>
  <c r="Q22" i="137"/>
  <c r="S22" i="137" s="1" a="1"/>
  <c r="S22" i="137" s="1"/>
  <c r="R22" i="137"/>
  <c r="Q23" i="137"/>
  <c r="S23" i="137" s="1" a="1"/>
  <c r="S23" i="137" s="1"/>
  <c r="R23" i="137"/>
  <c r="Q24" i="137"/>
  <c r="S24" i="137" s="1" a="1"/>
  <c r="S24" i="137" s="1"/>
  <c r="R24" i="137"/>
  <c r="Q25" i="137"/>
  <c r="S25" i="137" s="1" a="1"/>
  <c r="S25" i="137" s="1"/>
  <c r="R25" i="137"/>
  <c r="Q26" i="137"/>
  <c r="S26" i="137" s="1" a="1"/>
  <c r="S26" i="137" s="1"/>
  <c r="R26" i="137"/>
  <c r="Q27" i="137"/>
  <c r="S27" i="137" s="1" a="1"/>
  <c r="S27" i="137" s="1"/>
  <c r="R27" i="137"/>
  <c r="Q28" i="137"/>
  <c r="S28" i="137" s="1" a="1"/>
  <c r="S28" i="137" s="1"/>
  <c r="R28" i="137"/>
  <c r="Q29" i="137"/>
  <c r="S29" i="137" s="1" a="1"/>
  <c r="S29" i="137" s="1"/>
  <c r="B34" i="138" s="1"/>
  <c r="R29" i="137"/>
  <c r="Q30" i="137"/>
  <c r="S30" i="137" s="1" a="1"/>
  <c r="S30" i="137" s="1"/>
  <c r="R30" i="137"/>
  <c r="Q31" i="137"/>
  <c r="S31" i="137" s="1" a="1"/>
  <c r="S31" i="137" s="1"/>
  <c r="B36" i="138" s="1"/>
  <c r="R31" i="137"/>
  <c r="Q32" i="137"/>
  <c r="S32" i="137" s="1" a="1"/>
  <c r="S32" i="137" s="1"/>
  <c r="R32" i="137"/>
  <c r="Q33" i="137"/>
  <c r="S33" i="137" s="1" a="1"/>
  <c r="S33" i="137" s="1"/>
  <c r="R33" i="137"/>
  <c r="Q34" i="137"/>
  <c r="S34" i="137" s="1" a="1"/>
  <c r="S34" i="137" s="1"/>
  <c r="R34" i="137"/>
  <c r="Q35" i="137"/>
  <c r="S35" i="137" s="1" a="1"/>
  <c r="S35" i="137" s="1"/>
  <c r="R35" i="137"/>
  <c r="Q36" i="137"/>
  <c r="S36" i="137" s="1" a="1"/>
  <c r="S36" i="137" s="1"/>
  <c r="R36" i="137"/>
  <c r="Q37" i="137"/>
  <c r="S37" i="137" s="1" a="1"/>
  <c r="S37" i="137" s="1"/>
  <c r="R37" i="137"/>
  <c r="Q38" i="137"/>
  <c r="S38" i="137" s="1" a="1"/>
  <c r="S38" i="137" s="1"/>
  <c r="R38" i="137"/>
  <c r="Q39" i="137"/>
  <c r="S39" i="137" s="1" a="1"/>
  <c r="S39" i="137" s="1"/>
  <c r="B44" i="138" s="1"/>
  <c r="R39" i="137"/>
  <c r="Q40" i="137"/>
  <c r="S40" i="137" s="1" a="1"/>
  <c r="S40" i="137" s="1"/>
  <c r="R40" i="137"/>
  <c r="Q41" i="137"/>
  <c r="S41" i="137" s="1" a="1"/>
  <c r="S41" i="137" s="1"/>
  <c r="R41" i="137"/>
  <c r="Q42" i="137"/>
  <c r="S42" i="137" s="1" a="1"/>
  <c r="S42" i="137" s="1"/>
  <c r="R42" i="137"/>
  <c r="Q43" i="137"/>
  <c r="S43" i="137" s="1" a="1"/>
  <c r="S43" i="137" s="1"/>
  <c r="R43" i="137"/>
  <c r="Q44" i="137"/>
  <c r="S44" i="137" s="1" a="1"/>
  <c r="S44" i="137" s="1"/>
  <c r="R44" i="137"/>
  <c r="Q45" i="137"/>
  <c r="S45" i="137" s="1" a="1"/>
  <c r="S45" i="137" s="1"/>
  <c r="B50" i="138" s="1"/>
  <c r="R45" i="137"/>
  <c r="Q46" i="137"/>
  <c r="S46" i="137" s="1" a="1"/>
  <c r="S46" i="137"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R50" i="137"/>
  <c r="Q51" i="137"/>
  <c r="S51" i="137" s="1" a="1"/>
  <c r="S51" i="137" s="1"/>
  <c r="R51" i="137"/>
  <c r="Q52" i="137"/>
  <c r="R52" i="137"/>
  <c r="Q53" i="137"/>
  <c r="R53" i="137"/>
  <c r="Q54" i="137"/>
  <c r="S54" i="137" s="1" a="1"/>
  <c r="S54" i="137" s="1"/>
  <c r="R54" i="137"/>
  <c r="Q55" i="137"/>
  <c r="R55" i="137"/>
  <c r="Q56" i="137"/>
  <c r="S56" i="137" s="1" a="1"/>
  <c r="S56" i="137" s="1"/>
  <c r="B61" i="138" s="1"/>
  <c r="R56" i="137"/>
  <c r="Q57" i="137"/>
  <c r="R57" i="137"/>
  <c r="Q58" i="137"/>
  <c r="R58" i="137"/>
  <c r="Q59" i="137"/>
  <c r="S59" i="137" s="1" a="1"/>
  <c r="S59" i="137" s="1"/>
  <c r="R59" i="137"/>
  <c r="Q60" i="137"/>
  <c r="R60" i="137"/>
  <c r="Q61" i="137"/>
  <c r="R61" i="137"/>
  <c r="Q62" i="137"/>
  <c r="S62" i="137" s="1" a="1"/>
  <c r="S62" i="137" s="1"/>
  <c r="R62" i="137"/>
  <c r="Q63" i="137"/>
  <c r="R63" i="137"/>
  <c r="Q64" i="137"/>
  <c r="R64" i="137"/>
  <c r="Q65" i="137"/>
  <c r="R65" i="137"/>
  <c r="Q66" i="137"/>
  <c r="R66" i="137"/>
  <c r="Q67" i="137"/>
  <c r="S67" i="137" s="1" a="1"/>
  <c r="S67" i="137" s="1"/>
  <c r="R67" i="137"/>
  <c r="Q68" i="137"/>
  <c r="R68" i="137"/>
  <c r="Q69" i="137"/>
  <c r="S69" i="137" s="1" a="1"/>
  <c r="S69" i="137" s="1"/>
  <c r="R69" i="137"/>
  <c r="Q70" i="137"/>
  <c r="S70" i="137" s="1" a="1"/>
  <c r="S70" i="137" s="1"/>
  <c r="R70" i="137"/>
  <c r="Q71" i="137"/>
  <c r="R71" i="137"/>
  <c r="Q72" i="137"/>
  <c r="S72" i="137" s="1" a="1"/>
  <c r="S72" i="137" s="1"/>
  <c r="R72" i="137"/>
  <c r="Q73" i="137"/>
  <c r="R73" i="137"/>
  <c r="Q74" i="137"/>
  <c r="R74" i="137"/>
  <c r="Q75" i="137"/>
  <c r="S75" i="137" s="1" a="1"/>
  <c r="S75" i="137" s="1"/>
  <c r="R75" i="137"/>
  <c r="Q76" i="137"/>
  <c r="R76" i="137"/>
  <c r="Q77" i="137"/>
  <c r="R77" i="137"/>
  <c r="Q78" i="137"/>
  <c r="S78" i="137" s="1" a="1"/>
  <c r="S78" i="137" s="1"/>
  <c r="R78" i="137"/>
  <c r="Q79" i="137"/>
  <c r="R79" i="137"/>
  <c r="Q80" i="137"/>
  <c r="S80" i="137" s="1" a="1"/>
  <c r="S80" i="137" s="1"/>
  <c r="B85" i="138" s="1"/>
  <c r="R80" i="137"/>
  <c r="Q81" i="137"/>
  <c r="R81" i="137"/>
  <c r="Q82" i="137"/>
  <c r="R82" i="137"/>
  <c r="Q83" i="137"/>
  <c r="S83" i="137" s="1" a="1"/>
  <c r="S83" i="137" s="1"/>
  <c r="R83" i="137"/>
  <c r="Q84" i="137"/>
  <c r="R84" i="137"/>
  <c r="Q85" i="137"/>
  <c r="S85" i="137" s="1" a="1"/>
  <c r="S85" i="137" s="1"/>
  <c r="R85" i="137"/>
  <c r="Q86" i="137"/>
  <c r="S86" i="137" s="1" a="1"/>
  <c r="S86" i="137" s="1"/>
  <c r="R86" i="137"/>
  <c r="Q87" i="137"/>
  <c r="R87" i="137"/>
  <c r="Q88" i="137"/>
  <c r="S88" i="137" s="1" a="1"/>
  <c r="S88" i="137" s="1"/>
  <c r="B93" i="138" s="1"/>
  <c r="R88" i="137"/>
  <c r="Q89" i="137"/>
  <c r="R89" i="137"/>
  <c r="Q90" i="137"/>
  <c r="R90" i="137"/>
  <c r="Q91" i="137"/>
  <c r="S91" i="137" s="1" a="1"/>
  <c r="S91" i="137" s="1"/>
  <c r="R91" i="137"/>
  <c r="Q92" i="137"/>
  <c r="R92" i="137"/>
  <c r="Q93" i="137"/>
  <c r="S93" i="137" s="1" a="1"/>
  <c r="S93" i="137" s="1"/>
  <c r="B98" i="138" s="1"/>
  <c r="R93" i="137"/>
  <c r="Q94" i="137"/>
  <c r="S94" i="137" s="1" a="1"/>
  <c r="S94" i="137" s="1"/>
  <c r="R94" i="137"/>
  <c r="Q95" i="137"/>
  <c r="R95" i="137"/>
  <c r="Q96" i="137"/>
  <c r="S96" i="137" s="1" a="1"/>
  <c r="S96" i="137" s="1"/>
  <c r="B101" i="138" s="1"/>
  <c r="R96" i="137"/>
  <c r="Q97" i="137"/>
  <c r="R97" i="137"/>
  <c r="Q98" i="137"/>
  <c r="R98" i="137"/>
  <c r="Q99" i="137"/>
  <c r="S99" i="137" s="1" a="1"/>
  <c r="S99" i="137" s="1"/>
  <c r="B104" i="138" s="1"/>
  <c r="R99" i="137"/>
  <c r="Q100" i="137"/>
  <c r="R100" i="137"/>
  <c r="Q101" i="137"/>
  <c r="S101" i="137" s="1" a="1"/>
  <c r="S101" i="137" s="1"/>
  <c r="R101" i="137"/>
  <c r="Q102" i="137"/>
  <c r="S102" i="137" s="1" a="1"/>
  <c r="S102" i="137" s="1"/>
  <c r="R102" i="137"/>
  <c r="Q103" i="137"/>
  <c r="R103" i="137"/>
  <c r="Q104" i="137"/>
  <c r="S104" i="137" s="1" a="1"/>
  <c r="S104" i="137" s="1"/>
  <c r="B109" i="138" s="1"/>
  <c r="R104" i="137"/>
  <c r="Q105" i="137"/>
  <c r="R105" i="137"/>
  <c r="Q106" i="137"/>
  <c r="R106" i="137"/>
  <c r="Q107" i="137"/>
  <c r="S107" i="137" s="1" a="1"/>
  <c r="S107" i="137" s="1"/>
  <c r="R107" i="137"/>
  <c r="Q108" i="137"/>
  <c r="R108" i="137"/>
  <c r="Q109" i="137"/>
  <c r="S109" i="137" s="1" a="1"/>
  <c r="S109" i="137" s="1"/>
  <c r="R109" i="137"/>
  <c r="Q110" i="137"/>
  <c r="S110" i="137" s="1" a="1"/>
  <c r="S110" i="137" s="1"/>
  <c r="R110" i="137"/>
  <c r="Q111" i="137"/>
  <c r="R111" i="137"/>
  <c r="Q112" i="137"/>
  <c r="S112" i="137" s="1" a="1"/>
  <c r="S112" i="137" s="1"/>
  <c r="R112" i="137"/>
  <c r="Q113" i="137"/>
  <c r="S113" i="137" s="1" a="1"/>
  <c r="S113" i="137" s="1"/>
  <c r="R113" i="137"/>
  <c r="Q114" i="137"/>
  <c r="S114" i="137" s="1" a="1"/>
  <c r="S114" i="137" s="1"/>
  <c r="R114" i="137"/>
  <c r="Q115" i="137"/>
  <c r="R115" i="137"/>
  <c r="S115" i="137" s="1" a="1"/>
  <c r="S115" i="137" s="1"/>
  <c r="Q116" i="137"/>
  <c r="R116" i="137"/>
  <c r="S116" i="137" s="1" a="1"/>
  <c r="S116" i="137" s="1"/>
  <c r="Q117" i="137"/>
  <c r="R117" i="137"/>
  <c r="S117" i="137" a="1"/>
  <c r="S117" i="137" s="1"/>
  <c r="Q118" i="137"/>
  <c r="R118" i="137"/>
  <c r="S118" i="137" a="1"/>
  <c r="S118" i="137" s="1"/>
  <c r="Q119" i="137"/>
  <c r="R119" i="137"/>
  <c r="Q120" i="137"/>
  <c r="R120" i="137"/>
  <c r="Q121" i="137"/>
  <c r="R121" i="137"/>
  <c r="Q122" i="137"/>
  <c r="S122" i="137" s="1" a="1"/>
  <c r="S122" i="137" s="1"/>
  <c r="R122" i="137"/>
  <c r="Q123" i="137"/>
  <c r="R123" i="137"/>
  <c r="S123" i="137" s="1" a="1"/>
  <c r="S123" i="137" s="1"/>
  <c r="B128" i="138" s="1"/>
  <c r="Q124" i="137"/>
  <c r="R124" i="137"/>
  <c r="S124" i="137" s="1" a="1"/>
  <c r="S124" i="137" s="1"/>
  <c r="Q125" i="137"/>
  <c r="R125" i="137"/>
  <c r="S125" i="137" a="1"/>
  <c r="S125" i="137" s="1"/>
  <c r="Q126" i="137"/>
  <c r="R126" i="137"/>
  <c r="S126" i="137" a="1"/>
  <c r="S126" i="137" s="1"/>
  <c r="B131" i="138" s="1"/>
  <c r="Q127" i="137"/>
  <c r="S127" i="137" s="1" a="1"/>
  <c r="S127" i="137" s="1"/>
  <c r="B132" i="138" s="1"/>
  <c r="R127" i="137"/>
  <c r="Q128" i="137"/>
  <c r="S128" i="137" s="1" a="1"/>
  <c r="S128" i="137" s="1"/>
  <c r="R128" i="137"/>
  <c r="Q129" i="137"/>
  <c r="S129" i="137" s="1" a="1"/>
  <c r="S129" i="137" s="1"/>
  <c r="R129" i="137"/>
  <c r="Q130" i="137"/>
  <c r="S130" i="137" s="1" a="1"/>
  <c r="S130" i="137" s="1"/>
  <c r="R130" i="137"/>
  <c r="Q131" i="137"/>
  <c r="R131" i="137"/>
  <c r="S131" i="137" s="1" a="1"/>
  <c r="S131" i="137" s="1"/>
  <c r="Q132" i="137"/>
  <c r="R132" i="137"/>
  <c r="S132" i="137" s="1" a="1"/>
  <c r="S132" i="137" s="1"/>
  <c r="Q133" i="137"/>
  <c r="R133" i="137"/>
  <c r="S133" i="137" a="1"/>
  <c r="S133" i="137" s="1"/>
  <c r="B138" i="138" s="1"/>
  <c r="Q134" i="137"/>
  <c r="R134" i="137"/>
  <c r="Q135" i="137"/>
  <c r="S135" i="137" s="1" a="1"/>
  <c r="S135" i="137" s="1"/>
  <c r="B140" i="138" s="1"/>
  <c r="R135" i="137"/>
  <c r="Q136" i="137"/>
  <c r="S136" i="137" s="1" a="1"/>
  <c r="S136" i="137" s="1"/>
  <c r="R136" i="137"/>
  <c r="Q137" i="137"/>
  <c r="S137" i="137" s="1" a="1"/>
  <c r="S137" i="137" s="1"/>
  <c r="R137" i="137"/>
  <c r="Q138" i="137"/>
  <c r="S138" i="137" s="1" a="1"/>
  <c r="S138" i="137" s="1"/>
  <c r="R138" i="137"/>
  <c r="Q139" i="137"/>
  <c r="R139" i="137"/>
  <c r="S139" i="137" s="1" a="1"/>
  <c r="S139" i="137" s="1"/>
  <c r="Q140" i="137"/>
  <c r="R140" i="137"/>
  <c r="Q141" i="137"/>
  <c r="R141" i="137"/>
  <c r="S141" i="137" a="1"/>
  <c r="S141" i="137" s="1"/>
  <c r="B146" i="138" s="1"/>
  <c r="Q142" i="137"/>
  <c r="R142" i="137"/>
  <c r="S142" i="137" a="1"/>
  <c r="S142" i="137" s="1"/>
  <c r="Q143" i="137"/>
  <c r="S143" i="137" s="1" a="1"/>
  <c r="S143" i="137" s="1"/>
  <c r="B148" i="138" s="1"/>
  <c r="R143" i="137"/>
  <c r="Q144" i="137"/>
  <c r="S144" i="137" s="1" a="1"/>
  <c r="S144" i="137" s="1"/>
  <c r="R144" i="137"/>
  <c r="Q145" i="137"/>
  <c r="S145" i="137" s="1" a="1"/>
  <c r="S145" i="137" s="1"/>
  <c r="R145" i="137"/>
  <c r="Q146" i="137"/>
  <c r="S146" i="137" s="1" a="1"/>
  <c r="S146" i="137" s="1"/>
  <c r="R146" i="137"/>
  <c r="Q147" i="137"/>
  <c r="R147" i="137"/>
  <c r="S147" i="137" s="1" a="1"/>
  <c r="S147" i="137" s="1"/>
  <c r="Q148" i="137"/>
  <c r="R148" i="137"/>
  <c r="S148" i="137" s="1" a="1"/>
  <c r="S148" i="137" s="1"/>
  <c r="Q149" i="137"/>
  <c r="R149" i="137"/>
  <c r="Q150" i="137"/>
  <c r="R150" i="137"/>
  <c r="S150" i="137" a="1"/>
  <c r="S150" i="137" s="1"/>
  <c r="B155" i="138" s="1"/>
  <c r="Q151" i="137"/>
  <c r="S151" i="137" s="1" a="1"/>
  <c r="S151" i="137" s="1"/>
  <c r="B156" i="138" s="1"/>
  <c r="R151" i="137"/>
  <c r="Q152" i="137"/>
  <c r="S152" i="137" s="1" a="1"/>
  <c r="S152" i="137" s="1"/>
  <c r="B157" i="138" s="1"/>
  <c r="R152" i="137"/>
  <c r="Q153" i="137"/>
  <c r="S153" i="137" s="1" a="1"/>
  <c r="S153" i="137" s="1"/>
  <c r="R153" i="137"/>
  <c r="Q154" i="137"/>
  <c r="S154" i="137" s="1" a="1"/>
  <c r="S154" i="137" s="1"/>
  <c r="B159" i="138" s="1"/>
  <c r="R154" i="137"/>
  <c r="Q155" i="137"/>
  <c r="R155" i="137"/>
  <c r="Q156" i="137"/>
  <c r="R156" i="137"/>
  <c r="S156" i="137" s="1" a="1"/>
  <c r="S156" i="137" s="1"/>
  <c r="Q157" i="137"/>
  <c r="R157" i="137"/>
  <c r="S157" i="137" a="1"/>
  <c r="S157" i="137" s="1"/>
  <c r="B162" i="138" s="1"/>
  <c r="Q158" i="137"/>
  <c r="R158" i="137"/>
  <c r="S158" i="137" a="1"/>
  <c r="S158" i="137" s="1"/>
  <c r="B163" i="138" s="1"/>
  <c r="Q159" i="137"/>
  <c r="S159" i="137" s="1" a="1"/>
  <c r="S159" i="137" s="1"/>
  <c r="B164" i="138" s="1"/>
  <c r="R159" i="137"/>
  <c r="Q160" i="137"/>
  <c r="S160" i="137" s="1" a="1"/>
  <c r="S160" i="137" s="1"/>
  <c r="R160" i="137"/>
  <c r="Q161" i="137"/>
  <c r="S161" i="137" s="1" a="1"/>
  <c r="S161" i="137" s="1"/>
  <c r="B166" i="138" s="1"/>
  <c r="R161" i="137"/>
  <c r="Q162" i="137"/>
  <c r="S162" i="137" s="1" a="1"/>
  <c r="S162" i="137" s="1"/>
  <c r="R162" i="137"/>
  <c r="Q163" i="137"/>
  <c r="R163" i="137"/>
  <c r="S163" i="137" s="1" a="1"/>
  <c r="S163" i="137" s="1"/>
  <c r="Q164" i="137"/>
  <c r="R164" i="137"/>
  <c r="S164" i="137" s="1" a="1"/>
  <c r="S164" i="137" s="1"/>
  <c r="Q165" i="137"/>
  <c r="R165" i="137"/>
  <c r="S165" i="137" a="1"/>
  <c r="S165" i="137" s="1"/>
  <c r="Q166" i="137"/>
  <c r="R166" i="137"/>
  <c r="S166" i="137" a="1"/>
  <c r="S166" i="137" s="1"/>
  <c r="Q167" i="137"/>
  <c r="S167" i="137" s="1" a="1"/>
  <c r="R167" i="137"/>
  <c r="S167" i="137"/>
  <c r="B172" i="138" s="1"/>
  <c r="Q168" i="137"/>
  <c r="S168" i="137" s="1" a="1"/>
  <c r="S168" i="137" s="1"/>
  <c r="R168" i="137"/>
  <c r="Q169" i="137"/>
  <c r="S169" i="137" s="1" a="1"/>
  <c r="S169" i="137" s="1"/>
  <c r="R169" i="137"/>
  <c r="Q170" i="137"/>
  <c r="S170" i="137" s="1" a="1"/>
  <c r="S170" i="137" s="1"/>
  <c r="R170" i="137"/>
  <c r="Q171" i="137"/>
  <c r="R171" i="137"/>
  <c r="S171" i="137" s="1" a="1"/>
  <c r="S171" i="137" s="1"/>
  <c r="B176" i="138" s="1"/>
  <c r="Q172" i="137"/>
  <c r="R172" i="137"/>
  <c r="S172" i="137" s="1" a="1"/>
  <c r="S172" i="137" s="1"/>
  <c r="Q173" i="137"/>
  <c r="R173" i="137"/>
  <c r="S173" i="137" a="1"/>
  <c r="S173" i="137" s="1"/>
  <c r="Q174" i="137"/>
  <c r="R174" i="137"/>
  <c r="S174" i="137" a="1"/>
  <c r="S174" i="137" s="1"/>
  <c r="B179" i="138" s="1"/>
  <c r="Q175" i="137"/>
  <c r="S175" i="137" s="1" a="1"/>
  <c r="S175" i="137" s="1"/>
  <c r="B180" i="138" s="1"/>
  <c r="R175" i="137"/>
  <c r="Q176" i="137"/>
  <c r="S176" i="137" s="1" a="1"/>
  <c r="S176" i="137" s="1"/>
  <c r="B181" i="138" s="1"/>
  <c r="R176" i="137"/>
  <c r="Q177" i="137"/>
  <c r="S177" i="137" s="1" a="1"/>
  <c r="S177" i="137" s="1"/>
  <c r="R177" i="137"/>
  <c r="Q178" i="137"/>
  <c r="S178" i="137" s="1" a="1"/>
  <c r="S178" i="137" s="1"/>
  <c r="B183" i="138" s="1"/>
  <c r="R178" i="137"/>
  <c r="Q179" i="137"/>
  <c r="R179" i="137"/>
  <c r="S179" i="137" s="1" a="1"/>
  <c r="S179" i="137" s="1"/>
  <c r="B184" i="138" s="1"/>
  <c r="Q180" i="137"/>
  <c r="R180" i="137"/>
  <c r="S180" i="137" s="1" a="1"/>
  <c r="S180" i="137" s="1"/>
  <c r="Q181" i="137"/>
  <c r="R181" i="137"/>
  <c r="S181" i="137" a="1"/>
  <c r="S181" i="137" s="1"/>
  <c r="B186" i="138" s="1"/>
  <c r="Q182" i="137"/>
  <c r="R182" i="137"/>
  <c r="S182" i="137" a="1"/>
  <c r="S182" i="137" s="1"/>
  <c r="Q183" i="137"/>
  <c r="S183" i="137" s="1" a="1"/>
  <c r="S183" i="137" s="1"/>
  <c r="B188" i="138" s="1"/>
  <c r="R183" i="137"/>
  <c r="Q184" i="137"/>
  <c r="S184" i="137" s="1" a="1"/>
  <c r="S184" i="137" s="1"/>
  <c r="R184" i="137"/>
  <c r="Q185" i="137"/>
  <c r="S185" i="137" s="1" a="1"/>
  <c r="S185" i="137" s="1"/>
  <c r="R185" i="137"/>
  <c r="Q186" i="137"/>
  <c r="R186" i="137"/>
  <c r="Q187" i="137"/>
  <c r="S187" i="137" s="1" a="1"/>
  <c r="S187" i="137" s="1"/>
  <c r="B192" i="138" s="1"/>
  <c r="R187" i="137"/>
  <c r="Q188" i="137"/>
  <c r="S188" i="137" s="1" a="1"/>
  <c r="S188" i="137" s="1"/>
  <c r="R188" i="137"/>
  <c r="Q189" i="137"/>
  <c r="S189" i="137" s="1" a="1"/>
  <c r="S189" i="137" s="1"/>
  <c r="R189" i="137"/>
  <c r="Q190" i="137"/>
  <c r="R190" i="137"/>
  <c r="Q191" i="137"/>
  <c r="S191" i="137" s="1" a="1"/>
  <c r="S191" i="137" s="1"/>
  <c r="B196" i="138" s="1"/>
  <c r="R191" i="137"/>
  <c r="Q192" i="137"/>
  <c r="S192" i="137" s="1" a="1"/>
  <c r="S192" i="137" s="1"/>
  <c r="R192" i="137"/>
  <c r="Q193" i="137"/>
  <c r="S193" i="137" s="1" a="1"/>
  <c r="S193" i="137" s="1"/>
  <c r="R193" i="137"/>
  <c r="Q194" i="137"/>
  <c r="R194" i="137"/>
  <c r="Q195" i="137"/>
  <c r="S195" i="137" s="1" a="1"/>
  <c r="S195" i="137" s="1"/>
  <c r="B200" i="138" s="1"/>
  <c r="R195" i="137"/>
  <c r="Q196" i="137"/>
  <c r="S196" i="137" s="1" a="1"/>
  <c r="S196" i="137" s="1"/>
  <c r="R196" i="137"/>
  <c r="Q197" i="137"/>
  <c r="S197" i="137" s="1" a="1"/>
  <c r="S197" i="137" s="1"/>
  <c r="R197" i="137"/>
  <c r="Q198" i="137"/>
  <c r="R198" i="137"/>
  <c r="Q199" i="137"/>
  <c r="S199" i="137" s="1" a="1"/>
  <c r="S199" i="137" s="1"/>
  <c r="B204" i="138" s="1"/>
  <c r="R199" i="137"/>
  <c r="Q200" i="137"/>
  <c r="S200" i="137" s="1" a="1"/>
  <c r="S200" i="137" s="1"/>
  <c r="R200" i="137"/>
  <c r="Q201" i="137"/>
  <c r="S201" i="137" s="1" a="1"/>
  <c r="S201" i="137" s="1"/>
  <c r="R201" i="137"/>
  <c r="Q202" i="137"/>
  <c r="R202" i="137"/>
  <c r="Q203" i="137"/>
  <c r="S203" i="137" s="1" a="1"/>
  <c r="S203" i="137" s="1"/>
  <c r="B208" i="138" s="1"/>
  <c r="R203" i="137"/>
  <c r="Q204" i="137"/>
  <c r="S204" i="137" s="1" a="1"/>
  <c r="S204" i="137" s="1"/>
  <c r="R204" i="137"/>
  <c r="Q205" i="137"/>
  <c r="S205" i="137" s="1" a="1"/>
  <c r="S205" i="137" s="1"/>
  <c r="R205" i="137"/>
  <c r="Q206" i="137"/>
  <c r="R206" i="137"/>
  <c r="Q207" i="137"/>
  <c r="S207" i="137" s="1" a="1"/>
  <c r="S207" i="137" s="1"/>
  <c r="B212" i="138" s="1"/>
  <c r="R207" i="137"/>
  <c r="Q208" i="137"/>
  <c r="S208" i="137" s="1" a="1"/>
  <c r="S208" i="137" s="1"/>
  <c r="R208" i="137"/>
  <c r="Q209" i="137"/>
  <c r="S209" i="137" s="1" a="1"/>
  <c r="S209" i="137" s="1"/>
  <c r="R209" i="137"/>
  <c r="Q210" i="137"/>
  <c r="R210" i="137"/>
  <c r="Q211" i="137"/>
  <c r="S211" i="137" s="1" a="1"/>
  <c r="S211" i="137" s="1"/>
  <c r="B216" i="138" s="1"/>
  <c r="R211" i="137"/>
  <c r="Q212" i="137"/>
  <c r="S212" i="137" s="1" a="1"/>
  <c r="S212" i="137" s="1"/>
  <c r="R212" i="137"/>
  <c r="Q213" i="137"/>
  <c r="R213" i="137"/>
  <c r="Q214" i="137"/>
  <c r="R214" i="137"/>
  <c r="Q215" i="137"/>
  <c r="S215" i="137" s="1" a="1"/>
  <c r="S215" i="137" s="1"/>
  <c r="B220" i="138" s="1"/>
  <c r="R215" i="137"/>
  <c r="Q216" i="137"/>
  <c r="S216" i="137" s="1" a="1"/>
  <c r="S216" i="137" s="1"/>
  <c r="R216" i="137"/>
  <c r="Q217" i="137"/>
  <c r="R217" i="137"/>
  <c r="Q218" i="137"/>
  <c r="R218" i="137"/>
  <c r="Q219" i="137"/>
  <c r="S219" i="137" s="1" a="1"/>
  <c r="S219" i="137" s="1"/>
  <c r="B224" i="138" s="1"/>
  <c r="R219" i="137"/>
  <c r="Q220" i="137"/>
  <c r="S220" i="137" s="1" a="1"/>
  <c r="S220" i="137" s="1"/>
  <c r="R220" i="137"/>
  <c r="Q221" i="137"/>
  <c r="R221" i="137"/>
  <c r="Q222" i="137"/>
  <c r="R222" i="137"/>
  <c r="Q223" i="137"/>
  <c r="S223" i="137" s="1" a="1"/>
  <c r="S223" i="137" s="1"/>
  <c r="B228" i="138" s="1"/>
  <c r="R223" i="137"/>
  <c r="Q224" i="137"/>
  <c r="S224" i="137" s="1" a="1"/>
  <c r="S224" i="137" s="1"/>
  <c r="R224" i="137"/>
  <c r="Q225" i="137"/>
  <c r="R225" i="137"/>
  <c r="Q226" i="137"/>
  <c r="R226" i="137"/>
  <c r="Q227" i="137"/>
  <c r="S227" i="137" s="1" a="1"/>
  <c r="S227" i="137" s="1"/>
  <c r="B232" i="138" s="1"/>
  <c r="R227" i="137"/>
  <c r="Q228" i="137"/>
  <c r="S228" i="137" s="1" a="1"/>
  <c r="S228" i="137" s="1"/>
  <c r="R228" i="137"/>
  <c r="Q229" i="137"/>
  <c r="R229" i="137"/>
  <c r="Q230" i="137"/>
  <c r="R230" i="137"/>
  <c r="Q231" i="137"/>
  <c r="S231" i="137" s="1" a="1"/>
  <c r="S231" i="137" s="1"/>
  <c r="B236" i="138" s="1"/>
  <c r="R231" i="137"/>
  <c r="Q232" i="137"/>
  <c r="S232" i="137" s="1" a="1"/>
  <c r="S232" i="137" s="1"/>
  <c r="R232" i="137"/>
  <c r="Q233" i="137"/>
  <c r="R233" i="137"/>
  <c r="Q234" i="137"/>
  <c r="R234" i="137"/>
  <c r="Q235" i="137"/>
  <c r="S235" i="137" s="1" a="1"/>
  <c r="S235" i="137" s="1"/>
  <c r="B240" i="138" s="1"/>
  <c r="R235" i="137"/>
  <c r="Q236" i="137"/>
  <c r="S236" i="137" s="1" a="1"/>
  <c r="S236" i="137" s="1"/>
  <c r="R236" i="137"/>
  <c r="Q237" i="137"/>
  <c r="R237" i="137"/>
  <c r="Q238" i="137"/>
  <c r="R238" i="137"/>
  <c r="Q239" i="137"/>
  <c r="S239" i="137" s="1" a="1"/>
  <c r="S239" i="137" s="1"/>
  <c r="B244" i="138" s="1"/>
  <c r="R239" i="137"/>
  <c r="Q240" i="137"/>
  <c r="S240" i="137" s="1" a="1"/>
  <c r="S240" i="137" s="1"/>
  <c r="R240" i="137"/>
  <c r="Q241" i="137"/>
  <c r="R241" i="137"/>
  <c r="Q242" i="137"/>
  <c r="R242" i="137"/>
  <c r="Q243" i="137"/>
  <c r="S243" i="137" s="1" a="1"/>
  <c r="S243" i="137" s="1"/>
  <c r="B248" i="138" s="1"/>
  <c r="R243" i="137"/>
  <c r="Q244" i="137"/>
  <c r="S244" i="137" s="1" a="1"/>
  <c r="S244" i="137" s="1"/>
  <c r="R244" i="137"/>
  <c r="Q245" i="137"/>
  <c r="R245" i="137"/>
  <c r="Q246" i="137"/>
  <c r="R246" i="137"/>
  <c r="Q247" i="137"/>
  <c r="S247" i="137" s="1" a="1"/>
  <c r="S247" i="137" s="1"/>
  <c r="B252" i="138" s="1"/>
  <c r="R247" i="137"/>
  <c r="Q248" i="137"/>
  <c r="S248" i="137" s="1" a="1"/>
  <c r="S248" i="137" s="1"/>
  <c r="R248" i="137"/>
  <c r="Q249" i="137"/>
  <c r="R249" i="137"/>
  <c r="Q250" i="137"/>
  <c r="R250" i="137"/>
  <c r="Q251" i="137"/>
  <c r="S251" i="137" s="1" a="1"/>
  <c r="S251" i="137" s="1"/>
  <c r="B256" i="138" s="1"/>
  <c r="R251" i="137"/>
  <c r="Q252" i="137"/>
  <c r="S252" i="137" s="1" a="1"/>
  <c r="S252" i="137" s="1"/>
  <c r="R252" i="137"/>
  <c r="Q253" i="137"/>
  <c r="S253" i="137" s="1" a="1"/>
  <c r="S253" i="137" s="1"/>
  <c r="R253" i="137"/>
  <c r="Q254" i="137"/>
  <c r="S254" i="137" s="1" a="1"/>
  <c r="S254" i="137" s="1"/>
  <c r="R254" i="137"/>
  <c r="Q255" i="137"/>
  <c r="S255" i="137" s="1" a="1"/>
  <c r="S255" i="137" s="1"/>
  <c r="B260" i="138" s="1"/>
  <c r="R255" i="137"/>
  <c r="Q256" i="137"/>
  <c r="S256" i="137" s="1" a="1"/>
  <c r="S256" i="137" s="1"/>
  <c r="B261" i="138" s="1"/>
  <c r="R256" i="137"/>
  <c r="Q257" i="137"/>
  <c r="R257" i="137"/>
  <c r="Q258" i="137"/>
  <c r="S258" i="137" s="1" a="1"/>
  <c r="S258" i="137" s="1"/>
  <c r="R258" i="137"/>
  <c r="Q259" i="137"/>
  <c r="R259" i="137"/>
  <c r="Q260" i="137"/>
  <c r="R260" i="137"/>
  <c r="S260" i="137" a="1"/>
  <c r="S260" i="137" s="1"/>
  <c r="Q261" i="137"/>
  <c r="R261" i="137"/>
  <c r="Q262" i="137"/>
  <c r="R262" i="137"/>
  <c r="S262" i="137" a="1"/>
  <c r="S262" i="137" s="1"/>
  <c r="B267" i="138" s="1"/>
  <c r="Q263" i="137"/>
  <c r="R263" i="137"/>
  <c r="Q264" i="137"/>
  <c r="R264" i="137"/>
  <c r="S264" i="137" a="1"/>
  <c r="S264" i="137" s="1"/>
  <c r="Q265" i="137"/>
  <c r="R265" i="137"/>
  <c r="S265" i="137" a="1"/>
  <c r="S265" i="137" s="1"/>
  <c r="B270" i="138" s="1"/>
  <c r="Q266" i="137"/>
  <c r="R266" i="137"/>
  <c r="S266" i="137" a="1"/>
  <c r="S266" i="137" s="1"/>
  <c r="Q267" i="137"/>
  <c r="S267" i="137" s="1" a="1"/>
  <c r="S267" i="137" s="1"/>
  <c r="B272" i="138" s="1"/>
  <c r="R267" i="137"/>
  <c r="Q268" i="137"/>
  <c r="S268" i="137" s="1" a="1"/>
  <c r="S268" i="137" s="1"/>
  <c r="R268" i="137"/>
  <c r="Q269" i="137"/>
  <c r="S269" i="137" s="1" a="1"/>
  <c r="S269" i="137" s="1"/>
  <c r="R269" i="137"/>
  <c r="Q270" i="137"/>
  <c r="S270" i="137" s="1" a="1"/>
  <c r="S270" i="137" s="1"/>
  <c r="R270" i="137"/>
  <c r="Q271" i="137"/>
  <c r="S271" i="137" s="1" a="1"/>
  <c r="S271" i="137" s="1"/>
  <c r="B276" i="138" s="1"/>
  <c r="R271" i="137"/>
  <c r="Q272" i="137"/>
  <c r="R272" i="137"/>
  <c r="S272" i="137" a="1"/>
  <c r="S272" i="137" s="1"/>
  <c r="Q273" i="137"/>
  <c r="R273" i="137"/>
  <c r="S273" i="137" a="1"/>
  <c r="S273" i="137" s="1"/>
  <c r="Q274" i="137"/>
  <c r="R274" i="137"/>
  <c r="S274" i="137" a="1"/>
  <c r="S274" i="137" s="1"/>
  <c r="Q275" i="137"/>
  <c r="S275" i="137" s="1" a="1"/>
  <c r="S275" i="137" s="1"/>
  <c r="B280" i="138" s="1"/>
  <c r="R275" i="137"/>
  <c r="Q276" i="137"/>
  <c r="S276" i="137" s="1" a="1"/>
  <c r="S276" i="137" s="1"/>
  <c r="R276" i="137"/>
  <c r="Q277" i="137"/>
  <c r="S277" i="137" s="1" a="1"/>
  <c r="S277" i="137" s="1"/>
  <c r="R277" i="137"/>
  <c r="Q278" i="137"/>
  <c r="S278" i="137" s="1" a="1"/>
  <c r="S278" i="137" s="1"/>
  <c r="B283" i="138" s="1"/>
  <c r="R278" i="137"/>
  <c r="Q279" i="137"/>
  <c r="S279" i="137" s="1" a="1"/>
  <c r="S279" i="137" s="1"/>
  <c r="B284" i="138" s="1"/>
  <c r="R279" i="137"/>
  <c r="Q280" i="137"/>
  <c r="R280" i="137"/>
  <c r="S280" i="137" a="1"/>
  <c r="S280" i="137" s="1"/>
  <c r="Q281" i="137"/>
  <c r="R281" i="137"/>
  <c r="S281" i="137" a="1"/>
  <c r="S281" i="137" s="1"/>
  <c r="B286" i="138" s="1"/>
  <c r="Q282" i="137"/>
  <c r="R282" i="137"/>
  <c r="S282" i="137" a="1"/>
  <c r="S282" i="137" s="1"/>
  <c r="Q283" i="137"/>
  <c r="S283" i="137" s="1" a="1"/>
  <c r="S283" i="137" s="1"/>
  <c r="B288" i="138" s="1"/>
  <c r="R283" i="137"/>
  <c r="Q284" i="137"/>
  <c r="S284" i="137" s="1" a="1"/>
  <c r="S284" i="137" s="1"/>
  <c r="R284" i="137"/>
  <c r="Q285" i="137"/>
  <c r="S285" i="137" s="1" a="1"/>
  <c r="S285" i="137" s="1"/>
  <c r="R285" i="137"/>
  <c r="Q286" i="137"/>
  <c r="S286" i="137" s="1" a="1"/>
  <c r="S286" i="137" s="1"/>
  <c r="R286" i="137"/>
  <c r="Q287" i="137"/>
  <c r="S287" i="137" s="1" a="1"/>
  <c r="S287" i="137" s="1"/>
  <c r="B292" i="138" s="1"/>
  <c r="R287" i="137"/>
  <c r="Q288" i="137"/>
  <c r="R288" i="137"/>
  <c r="S288" i="137" a="1"/>
  <c r="S288" i="137" s="1"/>
  <c r="Q289" i="137"/>
  <c r="R289" i="137"/>
  <c r="S289" i="137" a="1"/>
  <c r="S289" i="137" s="1"/>
  <c r="Q290" i="137"/>
  <c r="R290" i="137"/>
  <c r="S290" i="137" a="1"/>
  <c r="S290" i="137" s="1"/>
  <c r="Q291" i="137"/>
  <c r="S291" i="137" s="1" a="1"/>
  <c r="S291" i="137" s="1"/>
  <c r="B296" i="138" s="1"/>
  <c r="R291" i="137"/>
  <c r="Q292" i="137"/>
  <c r="S292" i="137" s="1" a="1"/>
  <c r="S292" i="137" s="1"/>
  <c r="R292" i="137"/>
  <c r="Q293" i="137"/>
  <c r="R293" i="137"/>
  <c r="S293" i="137" s="1" a="1"/>
  <c r="S293" i="137" s="1"/>
  <c r="Q294" i="137"/>
  <c r="S294" i="137" s="1" a="1"/>
  <c r="S294" i="137" s="1"/>
  <c r="B299" i="138" s="1"/>
  <c r="R294" i="137"/>
  <c r="Q295" i="137"/>
  <c r="S295" i="137" s="1" a="1"/>
  <c r="S295" i="137" s="1"/>
  <c r="B300" i="138" s="1"/>
  <c r="R295" i="137"/>
  <c r="Q296" i="137"/>
  <c r="R296" i="137"/>
  <c r="S296" i="137" a="1"/>
  <c r="S296" i="137" s="1"/>
  <c r="B301" i="138" s="1"/>
  <c r="Q297" i="137"/>
  <c r="R297" i="137"/>
  <c r="S297" i="137" a="1"/>
  <c r="S297" i="137" s="1"/>
  <c r="B302" i="138" s="1"/>
  <c r="Q298" i="137"/>
  <c r="R298" i="137"/>
  <c r="S298" i="137" a="1"/>
  <c r="S298" i="137" s="1"/>
  <c r="Q299" i="137"/>
  <c r="S299" i="137" s="1" a="1"/>
  <c r="S299" i="137" s="1"/>
  <c r="B304" i="138" s="1"/>
  <c r="R299" i="137"/>
  <c r="Q300" i="137"/>
  <c r="S300" i="137" s="1" a="1"/>
  <c r="S300" i="137" s="1"/>
  <c r="R300" i="137"/>
  <c r="Q301" i="137"/>
  <c r="R301" i="137"/>
  <c r="S301" i="137" a="1"/>
  <c r="S301" i="137" s="1"/>
  <c r="Q302" i="137"/>
  <c r="S302" i="137" s="1" a="1"/>
  <c r="S302" i="137" s="1"/>
  <c r="R302" i="137"/>
  <c r="Q303" i="137"/>
  <c r="R303" i="137"/>
  <c r="S303" i="137" a="1"/>
  <c r="S303" i="137" s="1"/>
  <c r="B308" i="138" s="1"/>
  <c r="Q304" i="137"/>
  <c r="S304" i="137" s="1" a="1"/>
  <c r="S304" i="137" s="1"/>
  <c r="B309" i="138" s="1"/>
  <c r="R304" i="137"/>
  <c r="Q305" i="137"/>
  <c r="R305" i="137"/>
  <c r="S305" i="137" a="1"/>
  <c r="S305" i="137" s="1"/>
  <c r="B310" i="138" s="1"/>
  <c r="Q306" i="137"/>
  <c r="S306" i="137" s="1" a="1"/>
  <c r="S306" i="137" s="1"/>
  <c r="R306" i="137"/>
  <c r="Q307" i="137"/>
  <c r="R307" i="137"/>
  <c r="S307" i="137" a="1"/>
  <c r="S307" i="137" s="1"/>
  <c r="Q308" i="137"/>
  <c r="S308" i="137" s="1" a="1"/>
  <c r="S308" i="137" s="1"/>
  <c r="R308" i="137"/>
  <c r="Q309" i="137"/>
  <c r="R309" i="137"/>
  <c r="S309" i="137" a="1"/>
  <c r="S309" i="137" s="1"/>
  <c r="Q310" i="137"/>
  <c r="S310" i="137" s="1" a="1"/>
  <c r="S310" i="137" s="1"/>
  <c r="R310" i="137"/>
  <c r="Q311" i="137"/>
  <c r="R311" i="137"/>
  <c r="S311" i="137" a="1"/>
  <c r="S311" i="137" s="1"/>
  <c r="Q312" i="137"/>
  <c r="S312" i="137" s="1" a="1"/>
  <c r="S312" i="137" s="1"/>
  <c r="R312" i="137"/>
  <c r="Q313" i="137"/>
  <c r="R313" i="137"/>
  <c r="S313" i="137" a="1"/>
  <c r="S313" i="137" s="1"/>
  <c r="Q314" i="137"/>
  <c r="S314" i="137" s="1" a="1"/>
  <c r="S314" i="137" s="1"/>
  <c r="R314" i="137"/>
  <c r="Q315" i="137"/>
  <c r="R315" i="137"/>
  <c r="S315" i="137" a="1"/>
  <c r="S315" i="137" s="1"/>
  <c r="Q316" i="137"/>
  <c r="S316" i="137" s="1" a="1"/>
  <c r="S316" i="137" s="1"/>
  <c r="R316" i="137"/>
  <c r="Q317" i="137"/>
  <c r="R317" i="137"/>
  <c r="S317" i="137" a="1"/>
  <c r="S317" i="137" s="1"/>
  <c r="Q318" i="137"/>
  <c r="S318" i="137" s="1" a="1"/>
  <c r="S318" i="137" s="1"/>
  <c r="R318" i="137"/>
  <c r="Q319" i="137"/>
  <c r="R319" i="137"/>
  <c r="S319" i="137" a="1"/>
  <c r="S319" i="137" s="1"/>
  <c r="Q320" i="137"/>
  <c r="S320" i="137" s="1" a="1"/>
  <c r="S320" i="137" s="1"/>
  <c r="R320" i="137"/>
  <c r="Q321" i="137"/>
  <c r="R321" i="137"/>
  <c r="S321" i="137" a="1"/>
  <c r="S321" i="137" s="1"/>
  <c r="Q322" i="137"/>
  <c r="S322" i="137" s="1" a="1"/>
  <c r="S322" i="137" s="1"/>
  <c r="R322" i="137"/>
  <c r="Q323" i="137"/>
  <c r="R323" i="137"/>
  <c r="S323" i="137" a="1"/>
  <c r="S323" i="137" s="1"/>
  <c r="Q324" i="137"/>
  <c r="S324" i="137" s="1" a="1"/>
  <c r="S324" i="137" s="1"/>
  <c r="R324" i="137"/>
  <c r="Q325" i="137"/>
  <c r="R325" i="137"/>
  <c r="S325" i="137" a="1"/>
  <c r="S325" i="137" s="1"/>
  <c r="Q326" i="137"/>
  <c r="S326" i="137" s="1" a="1"/>
  <c r="S326" i="137" s="1"/>
  <c r="R326" i="137"/>
  <c r="Q327" i="137"/>
  <c r="R327" i="137"/>
  <c r="S327" i="137" a="1"/>
  <c r="S327" i="137" s="1"/>
  <c r="Q328" i="137"/>
  <c r="S328" i="137" s="1" a="1"/>
  <c r="S328" i="137" s="1"/>
  <c r="R328" i="137"/>
  <c r="Q329" i="137"/>
  <c r="R329" i="137"/>
  <c r="S329" i="137" a="1"/>
  <c r="S329" i="137" s="1"/>
  <c r="Q330" i="137"/>
  <c r="S330" i="137" s="1" a="1"/>
  <c r="S330" i="137" s="1"/>
  <c r="R330" i="137"/>
  <c r="Q331" i="137"/>
  <c r="R331" i="137"/>
  <c r="S331" i="137" a="1"/>
  <c r="S331" i="137" s="1"/>
  <c r="Q332" i="137"/>
  <c r="S332" i="137" s="1" a="1"/>
  <c r="S332" i="137" s="1"/>
  <c r="R332" i="137"/>
  <c r="Q333" i="137"/>
  <c r="R333" i="137"/>
  <c r="S333" i="137" a="1"/>
  <c r="S333" i="137" s="1"/>
  <c r="Q334" i="137"/>
  <c r="S334" i="137" s="1" a="1"/>
  <c r="S334" i="137" s="1"/>
  <c r="R334" i="137"/>
  <c r="Q335" i="137"/>
  <c r="R335" i="137"/>
  <c r="S335" i="137" a="1"/>
  <c r="S335" i="137" s="1"/>
  <c r="Q336" i="137"/>
  <c r="S336" i="137" s="1" a="1"/>
  <c r="S336" i="137" s="1"/>
  <c r="R336" i="137"/>
  <c r="Q337" i="137"/>
  <c r="R337" i="137"/>
  <c r="S337" i="137" a="1"/>
  <c r="S337" i="137" s="1"/>
  <c r="Q338" i="137"/>
  <c r="S338" i="137" s="1" a="1"/>
  <c r="S338" i="137" s="1"/>
  <c r="R338" i="137"/>
  <c r="Q339" i="137"/>
  <c r="R339" i="137"/>
  <c r="S339" i="137" a="1"/>
  <c r="S339" i="137" s="1"/>
  <c r="Q340" i="137"/>
  <c r="S340" i="137" s="1" a="1"/>
  <c r="S340" i="137" s="1"/>
  <c r="R340" i="137"/>
  <c r="Q341" i="137"/>
  <c r="R341" i="137"/>
  <c r="S341" i="137" a="1"/>
  <c r="S341" i="137" s="1"/>
  <c r="Q342" i="137"/>
  <c r="S342" i="137" s="1" a="1"/>
  <c r="S342" i="137" s="1"/>
  <c r="R342" i="137"/>
  <c r="Q343" i="137"/>
  <c r="R343" i="137"/>
  <c r="S343" i="137" a="1"/>
  <c r="S343" i="137" s="1"/>
  <c r="Q344" i="137"/>
  <c r="S344" i="137" s="1" a="1"/>
  <c r="S344" i="137" s="1"/>
  <c r="R344" i="137"/>
  <c r="Q345" i="137"/>
  <c r="R345" i="137"/>
  <c r="S345" i="137" a="1"/>
  <c r="S345" i="137" s="1"/>
  <c r="Q346" i="137"/>
  <c r="S346" i="137" s="1" a="1"/>
  <c r="S346" i="137" s="1"/>
  <c r="R346" i="137"/>
  <c r="Q347" i="137"/>
  <c r="R347" i="137"/>
  <c r="S347" i="137" a="1"/>
  <c r="S347" i="137" s="1"/>
  <c r="Q348" i="137"/>
  <c r="S348" i="137" s="1" a="1"/>
  <c r="S348" i="137" s="1"/>
  <c r="R348" i="137"/>
  <c r="Q349" i="137"/>
  <c r="R349" i="137"/>
  <c r="S349" i="137" a="1"/>
  <c r="S349" i="137" s="1"/>
  <c r="Q350" i="137"/>
  <c r="S350" i="137" s="1" a="1"/>
  <c r="S350" i="137" s="1"/>
  <c r="R350" i="137"/>
  <c r="Q351" i="137"/>
  <c r="R351" i="137"/>
  <c r="S351" i="137" a="1"/>
  <c r="S351" i="137" s="1"/>
  <c r="Q352" i="137"/>
  <c r="S352" i="137" s="1" a="1"/>
  <c r="S352" i="137" s="1"/>
  <c r="R352" i="137"/>
  <c r="Q353" i="137"/>
  <c r="R353" i="137"/>
  <c r="S353" i="137" a="1"/>
  <c r="S353" i="137" s="1"/>
  <c r="Q354" i="137"/>
  <c r="S354" i="137" s="1" a="1"/>
  <c r="S354" i="137" s="1"/>
  <c r="R354" i="137"/>
  <c r="Q355" i="137"/>
  <c r="R355" i="137"/>
  <c r="S355" i="137" a="1"/>
  <c r="S355" i="137" s="1"/>
  <c r="Q356" i="137"/>
  <c r="S356" i="137" s="1" a="1"/>
  <c r="S356" i="137" s="1"/>
  <c r="R356" i="137"/>
  <c r="Q357" i="137"/>
  <c r="R357" i="137"/>
  <c r="S357" i="137" a="1"/>
  <c r="S357" i="137" s="1"/>
  <c r="Q358" i="137"/>
  <c r="S358" i="137" s="1" a="1"/>
  <c r="S358" i="137" s="1"/>
  <c r="R358" i="137"/>
  <c r="Q359" i="137"/>
  <c r="R359" i="137"/>
  <c r="S359" i="137" a="1"/>
  <c r="S359" i="137" s="1"/>
  <c r="Q360" i="137"/>
  <c r="S360" i="137" s="1" a="1"/>
  <c r="S360" i="137" s="1"/>
  <c r="R360" i="137"/>
  <c r="Q361" i="137"/>
  <c r="R361" i="137"/>
  <c r="S361" i="137" a="1"/>
  <c r="S361" i="137" s="1"/>
  <c r="Q362" i="137"/>
  <c r="S362" i="137" s="1" a="1"/>
  <c r="S362" i="137" s="1"/>
  <c r="R362" i="137"/>
  <c r="Q363" i="137"/>
  <c r="R363" i="137"/>
  <c r="S363" i="137" a="1"/>
  <c r="S363" i="137" s="1"/>
  <c r="Q364" i="137"/>
  <c r="S364" i="137" s="1" a="1"/>
  <c r="S364" i="137" s="1"/>
  <c r="R364" i="137"/>
  <c r="Q365" i="137"/>
  <c r="R365" i="137"/>
  <c r="S365" i="137" a="1"/>
  <c r="S365" i="137" s="1"/>
  <c r="Q366" i="137"/>
  <c r="S366" i="137" s="1" a="1"/>
  <c r="S366" i="137" s="1"/>
  <c r="R366" i="137"/>
  <c r="Q367" i="137"/>
  <c r="R367" i="137"/>
  <c r="S367" i="137" a="1"/>
  <c r="S367" i="137" s="1"/>
  <c r="Q368" i="137"/>
  <c r="S368" i="137" s="1" a="1"/>
  <c r="S368" i="137" s="1"/>
  <c r="R368" i="137"/>
  <c r="Q369" i="137"/>
  <c r="R369" i="137"/>
  <c r="S369" i="137" a="1"/>
  <c r="S369" i="137" s="1"/>
  <c r="Q370" i="137"/>
  <c r="S370" i="137" s="1" a="1"/>
  <c r="S370" i="137" s="1"/>
  <c r="R370" i="137"/>
  <c r="Q371" i="137"/>
  <c r="R371" i="137"/>
  <c r="S371" i="137" a="1"/>
  <c r="S371" i="137" s="1"/>
  <c r="Q372" i="137"/>
  <c r="S372" i="137" s="1" a="1"/>
  <c r="S372" i="137" s="1"/>
  <c r="R372"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S134" i="137" s="1" a="1"/>
  <c r="S134" i="137" s="1"/>
  <c r="B139" i="138" s="1"/>
  <c r="I35" i="137"/>
  <c r="J35" i="137"/>
  <c r="K35" i="137"/>
  <c r="L35" i="137"/>
  <c r="M35" i="137"/>
  <c r="N35" i="137"/>
  <c r="I36" i="137"/>
  <c r="J36" i="137"/>
  <c r="K36" i="137"/>
  <c r="L36" i="137"/>
  <c r="M36" i="137"/>
  <c r="N36" i="137"/>
  <c r="I37" i="137"/>
  <c r="J37" i="137"/>
  <c r="K37" i="137"/>
  <c r="S149" i="137" s="1" a="1"/>
  <c r="S149" i="137" s="1"/>
  <c r="B154" i="138" s="1"/>
  <c r="L37" i="137"/>
  <c r="M37" i="137"/>
  <c r="N37" i="137"/>
  <c r="I38" i="137"/>
  <c r="J38" i="137"/>
  <c r="K38" i="137"/>
  <c r="L38" i="137"/>
  <c r="B161" i="138" s="1"/>
  <c r="M38" i="137"/>
  <c r="N38" i="137"/>
  <c r="I39" i="137"/>
  <c r="J39" i="137"/>
  <c r="K39" i="137"/>
  <c r="L39" i="137"/>
  <c r="M39" i="137"/>
  <c r="N39" i="137"/>
  <c r="I40" i="137"/>
  <c r="J40" i="137"/>
  <c r="K40" i="137"/>
  <c r="L40" i="137"/>
  <c r="M40" i="137"/>
  <c r="N40" i="137"/>
  <c r="I41" i="137"/>
  <c r="J41" i="137"/>
  <c r="B177" i="138" s="1"/>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62" i="137"/>
  <c r="J62" i="137"/>
  <c r="K62" i="137"/>
  <c r="L62" i="137"/>
  <c r="M62" i="137"/>
  <c r="N62" i="137"/>
  <c r="B16" i="199"/>
  <c r="I16" i="199" s="1"/>
  <c r="C16" i="199"/>
  <c r="J16" i="199" s="1"/>
  <c r="B17" i="199"/>
  <c r="I17" i="199" s="1"/>
  <c r="C17" i="199"/>
  <c r="J17" i="199" s="1"/>
  <c r="C15" i="199"/>
  <c r="B15" i="199"/>
  <c r="I15" i="199" s="1"/>
  <c r="R15" i="199"/>
  <c r="Q15" i="199"/>
  <c r="N15" i="199"/>
  <c r="M15" i="199"/>
  <c r="L15" i="199"/>
  <c r="K15" i="199"/>
  <c r="J15" i="199"/>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238" i="143"/>
  <c r="B239" i="143"/>
  <c r="B240" i="143"/>
  <c r="B241" i="143"/>
  <c r="B242" i="143"/>
  <c r="B243" i="143"/>
  <c r="B244" i="143"/>
  <c r="B245" i="143"/>
  <c r="B246" i="143"/>
  <c r="B247" i="143"/>
  <c r="B248" i="143"/>
  <c r="B249" i="143"/>
  <c r="B250" i="143"/>
  <c r="B251" i="143"/>
  <c r="B252" i="143"/>
  <c r="B194" i="143"/>
  <c r="B192" i="143"/>
  <c r="B191" i="143"/>
  <c r="B181" i="143"/>
  <c r="B182" i="143"/>
  <c r="B183" i="143"/>
  <c r="B184" i="143"/>
  <c r="B185" i="143"/>
  <c r="B186" i="143"/>
  <c r="B187" i="143"/>
  <c r="B188" i="143"/>
  <c r="B21" i="143"/>
  <c r="B22" i="143"/>
  <c r="B23" i="143"/>
  <c r="B24"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Q70" i="198"/>
  <c r="S70" i="198" s="1" a="1"/>
  <c r="S70" i="198" s="1"/>
  <c r="R70" i="198"/>
  <c r="Q71" i="198"/>
  <c r="S71" i="198" s="1" a="1"/>
  <c r="S71" i="198" s="1"/>
  <c r="R71" i="198"/>
  <c r="Q72" i="198"/>
  <c r="S72" i="198" s="1" a="1"/>
  <c r="S72" i="198" s="1"/>
  <c r="R72" i="198"/>
  <c r="Q73" i="198"/>
  <c r="S73" i="198" s="1" a="1"/>
  <c r="S73" i="198" s="1"/>
  <c r="R73" i="198"/>
  <c r="Q74" i="198"/>
  <c r="S74" i="198" s="1" a="1"/>
  <c r="S74" i="198" s="1"/>
  <c r="R74" i="198"/>
  <c r="Q75" i="198"/>
  <c r="S75" i="198" s="1" a="1"/>
  <c r="S75" i="198" s="1"/>
  <c r="R75" i="198"/>
  <c r="Q76" i="198"/>
  <c r="S76" i="198" s="1" a="1"/>
  <c r="S76" i="198" s="1"/>
  <c r="R76" i="198"/>
  <c r="Q77" i="198"/>
  <c r="S77" i="198" s="1" a="1"/>
  <c r="S77" i="198" s="1"/>
  <c r="R77" i="198"/>
  <c r="Q78" i="198"/>
  <c r="S78" i="198" s="1" a="1"/>
  <c r="S78" i="198" s="1"/>
  <c r="R78" i="198"/>
  <c r="Q79" i="198"/>
  <c r="S79" i="198" s="1" a="1"/>
  <c r="S79" i="198" s="1"/>
  <c r="R79" i="198"/>
  <c r="Q80" i="198"/>
  <c r="S80" i="198" s="1" a="1"/>
  <c r="S80" i="198" s="1"/>
  <c r="R80" i="198"/>
  <c r="Q55" i="198"/>
  <c r="S55" i="198" s="1" a="1"/>
  <c r="S55" i="198" s="1"/>
  <c r="R55" i="198"/>
  <c r="Q56" i="198"/>
  <c r="S56" i="198" s="1" a="1"/>
  <c r="S56" i="198" s="1"/>
  <c r="R56" i="198"/>
  <c r="Q57" i="198"/>
  <c r="S57" i="198" s="1" a="1"/>
  <c r="S57" i="198" s="1"/>
  <c r="R57" i="198"/>
  <c r="Q58" i="198"/>
  <c r="S58" i="198" s="1" a="1"/>
  <c r="S58" i="198" s="1"/>
  <c r="R58" i="198"/>
  <c r="Q59" i="198"/>
  <c r="S59" i="198" s="1" a="1"/>
  <c r="S59" i="198" s="1"/>
  <c r="R59" i="198"/>
  <c r="Q60" i="198"/>
  <c r="S60" i="198" s="1" a="1"/>
  <c r="S60" i="198" s="1"/>
  <c r="R60" i="198"/>
  <c r="Q61" i="198"/>
  <c r="S61" i="198" s="1" a="1"/>
  <c r="S61" i="198" s="1"/>
  <c r="R61" i="198"/>
  <c r="Q62" i="198"/>
  <c r="S62" i="198" s="1" a="1"/>
  <c r="S62" i="198" s="1"/>
  <c r="R62" i="198"/>
  <c r="Q63" i="198"/>
  <c r="S63" i="198" s="1" a="1"/>
  <c r="S63" i="198" s="1"/>
  <c r="R63" i="198"/>
  <c r="Q64" i="198"/>
  <c r="S64" i="198" s="1" a="1"/>
  <c r="S64" i="198" s="1"/>
  <c r="R64" i="198"/>
  <c r="Q65" i="198"/>
  <c r="S65" i="198" s="1" a="1"/>
  <c r="S65" i="198" s="1"/>
  <c r="R65" i="198"/>
  <c r="Q66" i="198"/>
  <c r="S66" i="198" s="1" a="1"/>
  <c r="S66" i="198" s="1"/>
  <c r="R66" i="198"/>
  <c r="Q67" i="198"/>
  <c r="S67" i="198" s="1" a="1"/>
  <c r="S67" i="198" s="1"/>
  <c r="R67" i="198"/>
  <c r="Q68" i="198"/>
  <c r="S68" i="198" s="1" a="1"/>
  <c r="S68" i="198" s="1"/>
  <c r="R68" i="198"/>
  <c r="Q69" i="198"/>
  <c r="S69" i="198" s="1" a="1"/>
  <c r="S69" i="198" s="1"/>
  <c r="R69" i="198"/>
  <c r="Q16" i="198"/>
  <c r="S16" i="198" s="1" a="1"/>
  <c r="S16" i="198" s="1"/>
  <c r="R16" i="198"/>
  <c r="Q17" i="198"/>
  <c r="R17" i="198"/>
  <c r="S17" i="198" s="1" a="1"/>
  <c r="S17" i="198" s="1"/>
  <c r="Q18" i="198"/>
  <c r="S18" i="198" s="1" a="1"/>
  <c r="S18" i="198" s="1"/>
  <c r="R18" i="198"/>
  <c r="Q19" i="198"/>
  <c r="R19" i="198"/>
  <c r="S19" i="198" s="1" a="1"/>
  <c r="S19" i="198" s="1"/>
  <c r="Q20" i="198"/>
  <c r="S20" i="198" s="1" a="1"/>
  <c r="S20" i="198" s="1"/>
  <c r="R20" i="198"/>
  <c r="Q21" i="198"/>
  <c r="R21" i="198"/>
  <c r="S21" i="198" s="1" a="1"/>
  <c r="S21" i="198" s="1"/>
  <c r="Q22" i="198"/>
  <c r="S22" i="198" s="1" a="1"/>
  <c r="S22" i="198" s="1"/>
  <c r="R22" i="198"/>
  <c r="Q23" i="198"/>
  <c r="R23" i="198"/>
  <c r="S23" i="198" s="1" a="1"/>
  <c r="S23" i="198" s="1"/>
  <c r="Q24" i="198"/>
  <c r="S24" i="198" s="1" a="1"/>
  <c r="S24" i="198" s="1"/>
  <c r="R24" i="198"/>
  <c r="Q25" i="198"/>
  <c r="R25" i="198"/>
  <c r="S25" i="198" s="1" a="1"/>
  <c r="S25" i="198" s="1"/>
  <c r="Q26" i="198"/>
  <c r="S26" i="198" s="1" a="1"/>
  <c r="S26" i="198" s="1"/>
  <c r="R26" i="198"/>
  <c r="Q27" i="198"/>
  <c r="R27" i="198"/>
  <c r="S27" i="198" s="1" a="1"/>
  <c r="S27" i="198" s="1"/>
  <c r="Q28" i="198"/>
  <c r="S28" i="198" s="1" a="1"/>
  <c r="S28" i="198" s="1"/>
  <c r="R28" i="198"/>
  <c r="Q29" i="198"/>
  <c r="R29" i="198"/>
  <c r="S29" i="198" s="1" a="1"/>
  <c r="S29" i="198" s="1"/>
  <c r="Q30" i="198"/>
  <c r="S30" i="198" s="1" a="1"/>
  <c r="S30" i="198" s="1"/>
  <c r="R30" i="198"/>
  <c r="Q31" i="198"/>
  <c r="S31" i="198" s="1" a="1"/>
  <c r="S31" i="198" s="1"/>
  <c r="R31" i="198"/>
  <c r="Q32" i="198"/>
  <c r="S32" i="198" s="1" a="1"/>
  <c r="S32" i="198" s="1"/>
  <c r="R32" i="198"/>
  <c r="Q33" i="198"/>
  <c r="S33" i="198" s="1" a="1"/>
  <c r="S33" i="198" s="1"/>
  <c r="R33" i="198"/>
  <c r="Q34" i="198"/>
  <c r="S34" i="198" s="1" a="1"/>
  <c r="S34" i="198" s="1"/>
  <c r="R34" i="198"/>
  <c r="Q35" i="198"/>
  <c r="S35" i="198" s="1" a="1"/>
  <c r="S35" i="198" s="1"/>
  <c r="R35" i="198"/>
  <c r="Q36" i="198"/>
  <c r="S36" i="198" s="1" a="1"/>
  <c r="S36" i="198" s="1"/>
  <c r="R36" i="198"/>
  <c r="Q37" i="198"/>
  <c r="S37" i="198" s="1" a="1"/>
  <c r="S37" i="198" s="1"/>
  <c r="R37" i="198"/>
  <c r="Q38" i="198"/>
  <c r="S38" i="198" s="1" a="1"/>
  <c r="S38" i="198" s="1"/>
  <c r="R38" i="198"/>
  <c r="Q39" i="198"/>
  <c r="S39" i="198" s="1" a="1"/>
  <c r="S39" i="198" s="1"/>
  <c r="R39" i="198"/>
  <c r="Q40" i="198"/>
  <c r="S40" i="198" s="1" a="1"/>
  <c r="S40" i="198" s="1"/>
  <c r="R40" i="198"/>
  <c r="Q41" i="198"/>
  <c r="S41" i="198" s="1" a="1"/>
  <c r="S41" i="198" s="1"/>
  <c r="R41" i="198"/>
  <c r="Q42" i="198"/>
  <c r="S42" i="198" s="1" a="1"/>
  <c r="S42" i="198" s="1"/>
  <c r="R42" i="198"/>
  <c r="Q43" i="198"/>
  <c r="S43" i="198" s="1" a="1"/>
  <c r="S43" i="198" s="1"/>
  <c r="R43" i="198"/>
  <c r="Q44" i="198"/>
  <c r="S44" i="198" s="1" a="1"/>
  <c r="S44" i="198" s="1"/>
  <c r="R44" i="198"/>
  <c r="Q45" i="198"/>
  <c r="S45" i="198" s="1" a="1"/>
  <c r="S45" i="198" s="1"/>
  <c r="R45" i="198"/>
  <c r="Q46" i="198"/>
  <c r="S46" i="198" s="1" a="1"/>
  <c r="S46" i="198" s="1"/>
  <c r="R46" i="198"/>
  <c r="Q47" i="198"/>
  <c r="S47" i="198" s="1" a="1"/>
  <c r="S47" i="198" s="1"/>
  <c r="R47" i="198"/>
  <c r="Q48" i="198"/>
  <c r="S48" i="198" s="1" a="1"/>
  <c r="S48" i="198" s="1"/>
  <c r="R48" i="198"/>
  <c r="Q49" i="198"/>
  <c r="S49" i="198" s="1" a="1"/>
  <c r="S49" i="198" s="1"/>
  <c r="R49" i="198"/>
  <c r="Q50" i="198"/>
  <c r="S50" i="198" s="1" a="1"/>
  <c r="S50" i="198" s="1"/>
  <c r="R50" i="198"/>
  <c r="Q51" i="198"/>
  <c r="S51" i="198" s="1" a="1"/>
  <c r="S51" i="198" s="1"/>
  <c r="R51" i="198"/>
  <c r="Q52" i="198"/>
  <c r="S52" i="198" s="1" a="1"/>
  <c r="S52" i="198" s="1"/>
  <c r="R52" i="198"/>
  <c r="Q53" i="198"/>
  <c r="S53" i="198" s="1" a="1"/>
  <c r="S53" i="198" s="1"/>
  <c r="R53" i="198"/>
  <c r="Q54" i="198"/>
  <c r="S54" i="198" s="1" a="1"/>
  <c r="S54" i="198" s="1"/>
  <c r="R54" i="198"/>
  <c r="I23" i="198"/>
  <c r="J23" i="198"/>
  <c r="K23" i="198"/>
  <c r="L23" i="198"/>
  <c r="M23" i="198"/>
  <c r="N23" i="198"/>
  <c r="I17" i="198"/>
  <c r="J17" i="198"/>
  <c r="K17" i="198"/>
  <c r="L17" i="198"/>
  <c r="M17" i="198"/>
  <c r="N17" i="198"/>
  <c r="I18" i="198"/>
  <c r="J18" i="198"/>
  <c r="K18" i="198"/>
  <c r="L18" i="198"/>
  <c r="M18" i="198"/>
  <c r="N18" i="198"/>
  <c r="I19" i="198"/>
  <c r="J19" i="198"/>
  <c r="K19" i="198"/>
  <c r="L19" i="198"/>
  <c r="M19" i="198"/>
  <c r="N19" i="198"/>
  <c r="I20" i="198"/>
  <c r="J20" i="198"/>
  <c r="K20" i="198"/>
  <c r="L20" i="198"/>
  <c r="M20" i="198"/>
  <c r="N20" i="198"/>
  <c r="I21" i="198"/>
  <c r="J21" i="198"/>
  <c r="K21" i="198"/>
  <c r="L21" i="198"/>
  <c r="M21" i="198"/>
  <c r="N21" i="198"/>
  <c r="I22" i="198"/>
  <c r="J22" i="198"/>
  <c r="K22" i="198"/>
  <c r="L22" i="198"/>
  <c r="M22" i="198"/>
  <c r="N22" i="198"/>
  <c r="Q16" i="141"/>
  <c r="R16" i="141"/>
  <c r="S16" i="141" a="1"/>
  <c r="S16" i="141" s="1"/>
  <c r="Q17" i="141"/>
  <c r="R17" i="141"/>
  <c r="S17" i="141" a="1"/>
  <c r="S17" i="141"/>
  <c r="Q18" i="141"/>
  <c r="R18" i="141"/>
  <c r="S18" i="141" a="1"/>
  <c r="S18" i="141" s="1"/>
  <c r="Q19" i="141"/>
  <c r="R19" i="141"/>
  <c r="S19" i="141" a="1"/>
  <c r="S19" i="141"/>
  <c r="Q20" i="141"/>
  <c r="R20" i="141"/>
  <c r="S20" i="141" a="1"/>
  <c r="S20" i="141" s="1"/>
  <c r="Q21" i="141"/>
  <c r="R21" i="141"/>
  <c r="S21" i="141" a="1"/>
  <c r="S21" i="141"/>
  <c r="Q22" i="141"/>
  <c r="R22" i="141"/>
  <c r="S22" i="141" a="1"/>
  <c r="S22" i="141" s="1"/>
  <c r="Q23" i="141"/>
  <c r="R23" i="141"/>
  <c r="S23" i="141" a="1"/>
  <c r="S23" i="141"/>
  <c r="Q24" i="141"/>
  <c r="R24" i="141"/>
  <c r="S24" i="141" a="1"/>
  <c r="S24" i="141" s="1"/>
  <c r="Q25" i="141"/>
  <c r="R25" i="141"/>
  <c r="S25" i="141" a="1"/>
  <c r="S25" i="141"/>
  <c r="Q26" i="141"/>
  <c r="R26" i="141"/>
  <c r="S26" i="141" a="1"/>
  <c r="S26" i="141" s="1"/>
  <c r="Q27" i="141"/>
  <c r="R27" i="141"/>
  <c r="S27" i="141" a="1"/>
  <c r="S27" i="141"/>
  <c r="Q28" i="141"/>
  <c r="R28" i="141"/>
  <c r="S28" i="141" a="1"/>
  <c r="S28" i="141" s="1"/>
  <c r="Q29" i="141"/>
  <c r="R29" i="141"/>
  <c r="S29" i="141" a="1"/>
  <c r="S29" i="141" s="1"/>
  <c r="Q30" i="141"/>
  <c r="R30" i="141"/>
  <c r="S30" i="141" a="1"/>
  <c r="S30" i="141" s="1"/>
  <c r="Q31" i="141"/>
  <c r="R31" i="141"/>
  <c r="S31" i="141" a="1"/>
  <c r="S31" i="141"/>
  <c r="Q32" i="141"/>
  <c r="R32" i="141"/>
  <c r="S32" i="141" a="1"/>
  <c r="S32" i="141" s="1"/>
  <c r="Q33" i="141"/>
  <c r="R33" i="141"/>
  <c r="S33" i="141" a="1"/>
  <c r="S33" i="141"/>
  <c r="Q34" i="141"/>
  <c r="R34" i="141"/>
  <c r="S34" i="141" a="1"/>
  <c r="S34" i="141" s="1"/>
  <c r="Q35" i="141"/>
  <c r="R35" i="141"/>
  <c r="S35" i="141" a="1"/>
  <c r="S35" i="141" s="1"/>
  <c r="Q36" i="141"/>
  <c r="R36" i="141"/>
  <c r="S36" i="141" a="1"/>
  <c r="S36" i="141" s="1"/>
  <c r="Q37" i="141"/>
  <c r="R37" i="141"/>
  <c r="S37" i="141" a="1"/>
  <c r="S37" i="141"/>
  <c r="Q38" i="141"/>
  <c r="R38" i="141"/>
  <c r="S38" i="141" a="1"/>
  <c r="S38" i="141" s="1"/>
  <c r="Q39" i="141"/>
  <c r="R39" i="141"/>
  <c r="S39" i="141" a="1"/>
  <c r="S39" i="141"/>
  <c r="Q40" i="141"/>
  <c r="R40" i="141"/>
  <c r="S40" i="141" a="1"/>
  <c r="S40" i="141" s="1"/>
  <c r="Q41" i="141"/>
  <c r="R41" i="141"/>
  <c r="S41" i="141" a="1"/>
  <c r="S41" i="141"/>
  <c r="Q42" i="141"/>
  <c r="R42" i="141"/>
  <c r="S42" i="141" a="1"/>
  <c r="S42" i="141" s="1"/>
  <c r="Q43" i="141"/>
  <c r="R43" i="141"/>
  <c r="S43" i="141" a="1"/>
  <c r="S43" i="141"/>
  <c r="Q44" i="141"/>
  <c r="R44" i="141"/>
  <c r="S44" i="141" a="1"/>
  <c r="S44" i="141" s="1"/>
  <c r="Q45" i="141"/>
  <c r="R45" i="141"/>
  <c r="S45" i="141" a="1"/>
  <c r="S45" i="141" s="1"/>
  <c r="Q46" i="141"/>
  <c r="R46" i="141"/>
  <c r="S46" i="141" a="1"/>
  <c r="S46" i="141" s="1"/>
  <c r="Q47" i="141"/>
  <c r="R47" i="141"/>
  <c r="S47" i="141" a="1"/>
  <c r="S47" i="141"/>
  <c r="Q48" i="141"/>
  <c r="R48" i="141"/>
  <c r="S48" i="141" a="1"/>
  <c r="S48" i="141" s="1"/>
  <c r="Q49" i="141"/>
  <c r="R49" i="141"/>
  <c r="S49" i="141" s="1" a="1"/>
  <c r="S49" i="141" s="1"/>
  <c r="Q50" i="141"/>
  <c r="R50" i="141"/>
  <c r="S50" i="141" a="1"/>
  <c r="S50" i="141" s="1"/>
  <c r="Q51" i="141"/>
  <c r="R51" i="141"/>
  <c r="S51" i="141" a="1"/>
  <c r="S51" i="141" s="1"/>
  <c r="Q52" i="141"/>
  <c r="R52" i="141"/>
  <c r="S52" i="141" a="1"/>
  <c r="S52" i="141" s="1"/>
  <c r="Q53" i="141"/>
  <c r="R53" i="141"/>
  <c r="S53" i="141" s="1" a="1"/>
  <c r="S53" i="141" s="1"/>
  <c r="Q54" i="141"/>
  <c r="R54" i="141"/>
  <c r="S54" i="141" a="1"/>
  <c r="S54" i="141" s="1"/>
  <c r="Q55" i="141"/>
  <c r="R55" i="141"/>
  <c r="S55" i="141" a="1"/>
  <c r="S55" i="141" s="1"/>
  <c r="Q56" i="141"/>
  <c r="R56" i="141"/>
  <c r="S56" i="141" a="1"/>
  <c r="S56" i="141" s="1"/>
  <c r="Q57" i="141"/>
  <c r="S57" i="141" s="1" a="1"/>
  <c r="S57" i="141" s="1"/>
  <c r="R57" i="141"/>
  <c r="Q58" i="141"/>
  <c r="R58" i="141"/>
  <c r="S58" i="141" s="1" a="1"/>
  <c r="S58" i="141" s="1"/>
  <c r="Q59" i="141"/>
  <c r="S59" i="141" s="1" a="1"/>
  <c r="S59" i="141" s="1"/>
  <c r="R59" i="141"/>
  <c r="Q60" i="141"/>
  <c r="S60" i="141" s="1" a="1"/>
  <c r="S60" i="141" s="1"/>
  <c r="R60" i="141"/>
  <c r="Q61" i="141"/>
  <c r="R61" i="141"/>
  <c r="S61" i="141" a="1"/>
  <c r="S61" i="141" s="1"/>
  <c r="Q62" i="141"/>
  <c r="R62" i="141"/>
  <c r="S62" i="141" s="1" a="1"/>
  <c r="S62" i="141" s="1"/>
  <c r="Q63" i="141"/>
  <c r="R63" i="141"/>
  <c r="S63" i="141" a="1"/>
  <c r="S63" i="141"/>
  <c r="Q64" i="141"/>
  <c r="R64" i="141"/>
  <c r="S64" i="141" a="1"/>
  <c r="S64" i="141" s="1"/>
  <c r="Q65" i="141"/>
  <c r="R65" i="141"/>
  <c r="S65" i="141" s="1" a="1"/>
  <c r="S65" i="141" s="1"/>
  <c r="Q66" i="141"/>
  <c r="S66" i="141" s="1" a="1"/>
  <c r="S66" i="141" s="1"/>
  <c r="R66" i="141"/>
  <c r="Q67" i="141"/>
  <c r="S67" i="141" s="1" a="1"/>
  <c r="S67" i="141" s="1"/>
  <c r="R67" i="141"/>
  <c r="Q68" i="141"/>
  <c r="S68" i="141" s="1" a="1"/>
  <c r="S68" i="141" s="1"/>
  <c r="R68" i="141"/>
  <c r="Q69" i="141"/>
  <c r="S69" i="141" s="1" a="1"/>
  <c r="S69" i="141" s="1"/>
  <c r="R69" i="141"/>
  <c r="Q70" i="141"/>
  <c r="R70" i="141"/>
  <c r="S70" i="141" a="1"/>
  <c r="S70" i="141" s="1"/>
  <c r="Q71" i="141"/>
  <c r="R71" i="141"/>
  <c r="S71" i="141" a="1"/>
  <c r="S71" i="141" s="1"/>
  <c r="Q72" i="141"/>
  <c r="R72" i="141"/>
  <c r="S72" i="141" a="1"/>
  <c r="S72" i="141" s="1"/>
  <c r="Q73" i="141"/>
  <c r="S73" i="141" s="1" a="1"/>
  <c r="S73" i="141" s="1"/>
  <c r="R73" i="141"/>
  <c r="Q74" i="141"/>
  <c r="R74" i="141"/>
  <c r="S74" i="141" s="1" a="1"/>
  <c r="S74" i="141" s="1"/>
  <c r="Q75" i="141"/>
  <c r="S75" i="141" s="1" a="1"/>
  <c r="S75" i="141" s="1"/>
  <c r="R75" i="141"/>
  <c r="Q76" i="141"/>
  <c r="S76" i="141" s="1" a="1"/>
  <c r="S76" i="141" s="1"/>
  <c r="R76" i="141"/>
  <c r="Q77" i="141"/>
  <c r="R77" i="141"/>
  <c r="S77" i="141" a="1"/>
  <c r="S77" i="141" s="1"/>
  <c r="Q78" i="141"/>
  <c r="S78" i="141" s="1" a="1"/>
  <c r="S78" i="141" s="1"/>
  <c r="R78" i="141"/>
  <c r="Q79" i="141"/>
  <c r="R79" i="141"/>
  <c r="S79" i="141" a="1"/>
  <c r="S79" i="141"/>
  <c r="Q80" i="141"/>
  <c r="R80" i="141"/>
  <c r="S80" i="141" a="1"/>
  <c r="S80" i="141" s="1"/>
  <c r="Q81" i="141"/>
  <c r="R81" i="141"/>
  <c r="S81" i="141" s="1" a="1"/>
  <c r="S81" i="141" s="1"/>
  <c r="Q82" i="141"/>
  <c r="S82" i="141" s="1" a="1"/>
  <c r="S82" i="141" s="1"/>
  <c r="R82" i="141"/>
  <c r="Q83" i="141"/>
  <c r="S83" i="141" s="1" a="1"/>
  <c r="S83" i="141" s="1"/>
  <c r="R83" i="141"/>
  <c r="Q84" i="141"/>
  <c r="S84" i="141" s="1" a="1"/>
  <c r="S84" i="141" s="1"/>
  <c r="R84" i="141"/>
  <c r="Q85" i="141"/>
  <c r="R85" i="141"/>
  <c r="S85" i="141" s="1" a="1"/>
  <c r="S85" i="141" s="1"/>
  <c r="Q86" i="141"/>
  <c r="R86" i="141"/>
  <c r="S86" i="141" a="1"/>
  <c r="S86" i="141" s="1"/>
  <c r="Q87" i="141"/>
  <c r="R87" i="141"/>
  <c r="S87" i="141" a="1"/>
  <c r="S87" i="141" s="1"/>
  <c r="Q88" i="141"/>
  <c r="R88" i="141"/>
  <c r="S88" i="141" a="1"/>
  <c r="S88" i="141" s="1"/>
  <c r="Q89" i="141"/>
  <c r="S89" i="141" s="1" a="1"/>
  <c r="S89" i="141" s="1"/>
  <c r="R89" i="141"/>
  <c r="Q90" i="141"/>
  <c r="R90" i="141"/>
  <c r="S90" i="141" s="1" a="1"/>
  <c r="S90" i="141" s="1"/>
  <c r="Q91" i="141"/>
  <c r="S91" i="141" s="1" a="1"/>
  <c r="S91" i="141" s="1"/>
  <c r="R91" i="141"/>
  <c r="Q92" i="141"/>
  <c r="S92" i="141" s="1" a="1"/>
  <c r="S92" i="141" s="1"/>
  <c r="R92" i="141"/>
  <c r="Q93" i="141"/>
  <c r="R93" i="141"/>
  <c r="S93" i="141" a="1"/>
  <c r="S93" i="141" s="1"/>
  <c r="Q94" i="141"/>
  <c r="S94" i="141" s="1" a="1"/>
  <c r="S94" i="141" s="1"/>
  <c r="R94" i="141"/>
  <c r="Q95" i="141"/>
  <c r="R95" i="141"/>
  <c r="S95" i="141" a="1"/>
  <c r="S95" i="141"/>
  <c r="Q96" i="141"/>
  <c r="R96" i="141"/>
  <c r="S96" i="141" a="1"/>
  <c r="S96" i="141" s="1"/>
  <c r="Q97" i="141"/>
  <c r="R97" i="141"/>
  <c r="S97" i="141" s="1" a="1"/>
  <c r="S97" i="141" s="1"/>
  <c r="Q98" i="141"/>
  <c r="S98" i="141" s="1" a="1"/>
  <c r="S98" i="141" s="1"/>
  <c r="R98" i="141"/>
  <c r="Q99" i="141"/>
  <c r="S99" i="141" s="1" a="1"/>
  <c r="S99" i="141" s="1"/>
  <c r="R99" i="141"/>
  <c r="Q100" i="141"/>
  <c r="S100" i="141" s="1" a="1"/>
  <c r="S100" i="141" s="1"/>
  <c r="R100" i="141"/>
  <c r="Q101" i="141"/>
  <c r="S101" i="141" s="1" a="1"/>
  <c r="S101" i="141" s="1"/>
  <c r="R101" i="141"/>
  <c r="Q102" i="141"/>
  <c r="R102" i="141"/>
  <c r="S102" i="141" a="1"/>
  <c r="S102" i="141" s="1"/>
  <c r="Q103" i="141"/>
  <c r="R103" i="141"/>
  <c r="S103" i="141" a="1"/>
  <c r="S103" i="141" s="1"/>
  <c r="Q104" i="141"/>
  <c r="R104" i="141"/>
  <c r="S104" i="141" a="1"/>
  <c r="S104" i="141" s="1"/>
  <c r="Q105" i="141"/>
  <c r="S105" i="141" s="1" a="1"/>
  <c r="S105" i="141" s="1"/>
  <c r="R105" i="141"/>
  <c r="Q106" i="141"/>
  <c r="R106" i="141"/>
  <c r="S106" i="141" s="1" a="1"/>
  <c r="S106" i="141" s="1"/>
  <c r="Q107" i="141"/>
  <c r="S107" i="141" s="1" a="1"/>
  <c r="S107" i="141" s="1"/>
  <c r="R107" i="141"/>
  <c r="Q108" i="141"/>
  <c r="S108" i="141" s="1" a="1"/>
  <c r="S108" i="141" s="1"/>
  <c r="R108" i="141"/>
  <c r="Q109" i="141"/>
  <c r="R109" i="141"/>
  <c r="S109" i="141" a="1"/>
  <c r="S109" i="141" s="1"/>
  <c r="Q110" i="141"/>
  <c r="S110" i="141" s="1" a="1"/>
  <c r="S110" i="141" s="1"/>
  <c r="R110" i="141"/>
  <c r="Q111" i="141"/>
  <c r="R111" i="141"/>
  <c r="S111" i="141" a="1"/>
  <c r="S111" i="141"/>
  <c r="Q112" i="141"/>
  <c r="R112" i="141"/>
  <c r="S112" i="141" a="1"/>
  <c r="S112" i="141" s="1"/>
  <c r="Q113" i="141"/>
  <c r="R113" i="141"/>
  <c r="S113" i="141" s="1" a="1"/>
  <c r="S113" i="141" s="1"/>
  <c r="Q114" i="141"/>
  <c r="S114" i="141" s="1" a="1"/>
  <c r="S114" i="141" s="1"/>
  <c r="R114" i="141"/>
  <c r="Q115" i="141"/>
  <c r="S115" i="141" s="1" a="1"/>
  <c r="S115" i="141" s="1"/>
  <c r="R115" i="141"/>
  <c r="Q116" i="141"/>
  <c r="S116" i="141" s="1" a="1"/>
  <c r="S116" i="141" s="1"/>
  <c r="R116" i="141"/>
  <c r="Q117" i="141"/>
  <c r="S117" i="141" s="1" a="1"/>
  <c r="S117" i="141" s="1"/>
  <c r="R117" i="141"/>
  <c r="Q118" i="141"/>
  <c r="R118" i="141"/>
  <c r="S118" i="141" a="1"/>
  <c r="S118" i="141" s="1"/>
  <c r="Q119" i="141"/>
  <c r="R119" i="141"/>
  <c r="S119" i="141" a="1"/>
  <c r="S119" i="141" s="1"/>
  <c r="Q120" i="141"/>
  <c r="R120" i="141"/>
  <c r="S120" i="141" a="1"/>
  <c r="S120" i="141" s="1"/>
  <c r="Q121" i="141"/>
  <c r="S121" i="141" s="1" a="1"/>
  <c r="S121" i="141" s="1"/>
  <c r="R121" i="141"/>
  <c r="Q122" i="141"/>
  <c r="R122" i="141"/>
  <c r="S122" i="141" s="1" a="1"/>
  <c r="S122" i="141" s="1"/>
  <c r="Q123" i="141"/>
  <c r="S123" i="141" s="1" a="1"/>
  <c r="S123" i="141" s="1"/>
  <c r="R123" i="141"/>
  <c r="Q124" i="141"/>
  <c r="S124" i="141" s="1" a="1"/>
  <c r="S124" i="141" s="1"/>
  <c r="R124" i="141"/>
  <c r="Q125" i="141"/>
  <c r="R125" i="141"/>
  <c r="S125" i="141" a="1"/>
  <c r="S125" i="141" s="1"/>
  <c r="Q126" i="141"/>
  <c r="S126" i="141" s="1" a="1"/>
  <c r="S126" i="141" s="1"/>
  <c r="R126" i="141"/>
  <c r="Q127" i="141"/>
  <c r="R127" i="141"/>
  <c r="S127" i="141" a="1"/>
  <c r="S127" i="141"/>
  <c r="Q128" i="141"/>
  <c r="R128" i="141"/>
  <c r="S128" i="141" a="1"/>
  <c r="S128" i="141" s="1"/>
  <c r="Q129" i="141"/>
  <c r="R129" i="141"/>
  <c r="S129" i="141" s="1" a="1"/>
  <c r="S129" i="141" s="1"/>
  <c r="Q130" i="141"/>
  <c r="S130" i="141" s="1" a="1"/>
  <c r="S130" i="141" s="1"/>
  <c r="R130" i="141"/>
  <c r="Q131" i="141"/>
  <c r="S131" i="141" s="1" a="1"/>
  <c r="S131" i="141" s="1"/>
  <c r="R131" i="141"/>
  <c r="Q132" i="141"/>
  <c r="S132" i="141" s="1" a="1"/>
  <c r="S132" i="141" s="1"/>
  <c r="R132" i="141"/>
  <c r="Q133" i="141"/>
  <c r="S133" i="141" s="1" a="1"/>
  <c r="S133" i="141" s="1"/>
  <c r="R133" i="141"/>
  <c r="Q134" i="141"/>
  <c r="R134" i="141"/>
  <c r="S134" i="141" a="1"/>
  <c r="S134" i="141" s="1"/>
  <c r="Q135" i="141"/>
  <c r="R135" i="141"/>
  <c r="S135" i="141" a="1"/>
  <c r="S135" i="141" s="1"/>
  <c r="Q136" i="141"/>
  <c r="R136" i="141"/>
  <c r="S136" i="141" a="1"/>
  <c r="S136" i="141" s="1"/>
  <c r="Q137" i="141"/>
  <c r="S137" i="141" s="1" a="1"/>
  <c r="S137" i="141" s="1"/>
  <c r="R137" i="141"/>
  <c r="Q138" i="141"/>
  <c r="R138" i="141"/>
  <c r="S138" i="141" a="1"/>
  <c r="S138" i="141" s="1"/>
  <c r="Q139" i="141"/>
  <c r="S139" i="141" s="1" a="1"/>
  <c r="S139" i="141" s="1"/>
  <c r="R139" i="141"/>
  <c r="Q140" i="141"/>
  <c r="S140" i="141" s="1" a="1"/>
  <c r="S140" i="141" s="1"/>
  <c r="R140" i="141"/>
  <c r="Q141" i="141"/>
  <c r="R141" i="141"/>
  <c r="S141" i="141" a="1"/>
  <c r="S141" i="141" s="1"/>
  <c r="Q142" i="141"/>
  <c r="S142" i="141" s="1" a="1"/>
  <c r="S142" i="141" s="1"/>
  <c r="R142" i="141"/>
  <c r="Q143" i="141"/>
  <c r="R143" i="141"/>
  <c r="S143" i="141" a="1"/>
  <c r="S143" i="141"/>
  <c r="Q144" i="141"/>
  <c r="R144" i="141"/>
  <c r="S144" i="141" a="1"/>
  <c r="S144" i="141" s="1"/>
  <c r="Q145" i="141"/>
  <c r="R145" i="141"/>
  <c r="S145" i="141" a="1"/>
  <c r="S145" i="141"/>
  <c r="Q146" i="141"/>
  <c r="S146" i="141" s="1" a="1"/>
  <c r="S146" i="141" s="1"/>
  <c r="R146" i="141"/>
  <c r="Q147" i="141"/>
  <c r="S147" i="141" s="1" a="1"/>
  <c r="S147" i="141" s="1"/>
  <c r="R147" i="141"/>
  <c r="Q148" i="141"/>
  <c r="S148" i="141" s="1" a="1"/>
  <c r="S148" i="141" s="1"/>
  <c r="R148" i="141"/>
  <c r="Q149" i="141"/>
  <c r="S149" i="141" s="1" a="1"/>
  <c r="S149" i="141" s="1"/>
  <c r="R149" i="141"/>
  <c r="Q150" i="141"/>
  <c r="R150" i="141"/>
  <c r="S150" i="141" a="1"/>
  <c r="S150" i="141" s="1"/>
  <c r="Q151" i="141"/>
  <c r="R151" i="141"/>
  <c r="S151" i="141" a="1"/>
  <c r="S151" i="141" s="1"/>
  <c r="Q152" i="141"/>
  <c r="R152" i="141"/>
  <c r="S152" i="141" a="1"/>
  <c r="S152" i="141" s="1"/>
  <c r="Q153" i="141"/>
  <c r="S153" i="141" s="1" a="1"/>
  <c r="S153" i="141" s="1"/>
  <c r="R153" i="141"/>
  <c r="Q154" i="141"/>
  <c r="R154" i="141"/>
  <c r="S154" i="141" a="1"/>
  <c r="S154" i="141" s="1"/>
  <c r="Q155" i="141"/>
  <c r="S155" i="141" s="1" a="1"/>
  <c r="S155" i="141" s="1"/>
  <c r="R155" i="141"/>
  <c r="Q156" i="141"/>
  <c r="S156" i="141" s="1" a="1"/>
  <c r="S156" i="141" s="1"/>
  <c r="R156" i="141"/>
  <c r="Q157" i="141"/>
  <c r="R157" i="141"/>
  <c r="S157" i="141" a="1"/>
  <c r="S157" i="141" s="1"/>
  <c r="Q158" i="141"/>
  <c r="S158" i="141" s="1" a="1"/>
  <c r="S158" i="141" s="1"/>
  <c r="R158" i="141"/>
  <c r="Q159" i="141"/>
  <c r="R159" i="141"/>
  <c r="S159" i="141" a="1"/>
  <c r="S159" i="141"/>
  <c r="Q160" i="141"/>
  <c r="R160" i="141"/>
  <c r="S160" i="141" a="1"/>
  <c r="S160" i="141" s="1"/>
  <c r="Q161" i="141"/>
  <c r="R161" i="141"/>
  <c r="S161" i="141" a="1"/>
  <c r="S161" i="141"/>
  <c r="Q162" i="141"/>
  <c r="S162" i="141" s="1" a="1"/>
  <c r="S162" i="141" s="1"/>
  <c r="R162" i="141"/>
  <c r="Q163" i="141"/>
  <c r="S163" i="141" s="1" a="1"/>
  <c r="S163" i="141" s="1"/>
  <c r="R163" i="141"/>
  <c r="Q164" i="141"/>
  <c r="S164" i="141" s="1" a="1"/>
  <c r="S164" i="141" s="1"/>
  <c r="R164" i="141"/>
  <c r="Q165" i="141"/>
  <c r="S165" i="141" s="1" a="1"/>
  <c r="S165" i="141" s="1"/>
  <c r="R165" i="141"/>
  <c r="Q166" i="141"/>
  <c r="R166" i="141"/>
  <c r="S166" i="141" a="1"/>
  <c r="S166" i="141" s="1"/>
  <c r="Q167" i="141"/>
  <c r="R167" i="141"/>
  <c r="S167" i="141" a="1"/>
  <c r="S167" i="141" s="1"/>
  <c r="Q168" i="141"/>
  <c r="R168" i="141"/>
  <c r="S168" i="141" a="1"/>
  <c r="S168" i="141" s="1"/>
  <c r="Q169" i="141"/>
  <c r="S169" i="141" s="1" a="1"/>
  <c r="S169" i="141" s="1"/>
  <c r="R169" i="141"/>
  <c r="Q170" i="141"/>
  <c r="R170" i="141"/>
  <c r="S170" i="141" a="1"/>
  <c r="S170" i="141" s="1"/>
  <c r="Q171" i="141"/>
  <c r="S171" i="141" s="1" a="1"/>
  <c r="S171" i="141" s="1"/>
  <c r="R171" i="141"/>
  <c r="Q172" i="141"/>
  <c r="S172" i="141" s="1" a="1"/>
  <c r="S172" i="141" s="1"/>
  <c r="R172" i="141"/>
  <c r="Q173" i="141"/>
  <c r="R173" i="141"/>
  <c r="S173" i="141" a="1"/>
  <c r="S173" i="141" s="1"/>
  <c r="Q174" i="141"/>
  <c r="S174" i="141" s="1" a="1"/>
  <c r="S174" i="141" s="1"/>
  <c r="R174" i="141"/>
  <c r="Q175" i="141"/>
  <c r="R175" i="141"/>
  <c r="S175" i="141" a="1"/>
  <c r="S175" i="141"/>
  <c r="Q176" i="141"/>
  <c r="R176" i="141"/>
  <c r="S176" i="141" a="1"/>
  <c r="S176" i="141" s="1"/>
  <c r="Q177" i="141"/>
  <c r="R177" i="141"/>
  <c r="S177" i="141" a="1"/>
  <c r="S177" i="141"/>
  <c r="Q178" i="141"/>
  <c r="S178" i="141" s="1" a="1"/>
  <c r="S178" i="141" s="1"/>
  <c r="R178" i="141"/>
  <c r="Q179" i="141"/>
  <c r="S179" i="141" s="1" a="1"/>
  <c r="S179" i="141" s="1"/>
  <c r="R179" i="141"/>
  <c r="Q180" i="141"/>
  <c r="S180" i="141" s="1" a="1"/>
  <c r="S180" i="141" s="1"/>
  <c r="R180" i="141"/>
  <c r="Q181" i="141"/>
  <c r="S181" i="141" s="1" a="1"/>
  <c r="S181" i="141" s="1"/>
  <c r="R181" i="141"/>
  <c r="Q182" i="141"/>
  <c r="R182" i="141"/>
  <c r="S182" i="141" a="1"/>
  <c r="S182" i="141" s="1"/>
  <c r="Q183" i="141"/>
  <c r="R183" i="141"/>
  <c r="S183" i="141" a="1"/>
  <c r="S183" i="141" s="1"/>
  <c r="Q184" i="141"/>
  <c r="R184" i="141"/>
  <c r="S184" i="141" a="1"/>
  <c r="S184" i="141" s="1"/>
  <c r="Q185" i="141"/>
  <c r="S185" i="141" s="1" a="1"/>
  <c r="S185" i="141" s="1"/>
  <c r="R185" i="141"/>
  <c r="Q186" i="141"/>
  <c r="R186" i="141"/>
  <c r="S186" i="141" a="1"/>
  <c r="S186" i="141"/>
  <c r="Q187" i="141"/>
  <c r="S187" i="141" s="1" a="1"/>
  <c r="S187" i="141" s="1"/>
  <c r="R187" i="141"/>
  <c r="Q188" i="141"/>
  <c r="R188" i="141"/>
  <c r="S188" i="141" a="1"/>
  <c r="S188" i="141"/>
  <c r="Q189" i="141"/>
  <c r="S189" i="141" s="1" a="1"/>
  <c r="S189" i="141" s="1"/>
  <c r="R189" i="141"/>
  <c r="Q190" i="141"/>
  <c r="R190" i="141"/>
  <c r="S190" i="141" a="1"/>
  <c r="S190" i="141"/>
  <c r="Q191" i="141"/>
  <c r="S191" i="141" s="1" a="1"/>
  <c r="S191" i="141" s="1"/>
  <c r="R191" i="141"/>
  <c r="Q192" i="141"/>
  <c r="R192" i="141"/>
  <c r="S192" i="141" a="1"/>
  <c r="S192" i="141"/>
  <c r="Q193" i="141"/>
  <c r="S193" i="141" s="1" a="1"/>
  <c r="S193" i="141" s="1"/>
  <c r="R193" i="141"/>
  <c r="Q194" i="141"/>
  <c r="R194" i="141"/>
  <c r="S194" i="141" a="1"/>
  <c r="S194" i="141"/>
  <c r="Q195" i="141"/>
  <c r="S195" i="141" s="1" a="1"/>
  <c r="S195" i="141" s="1"/>
  <c r="R195" i="141"/>
  <c r="Q196" i="141"/>
  <c r="R196" i="141"/>
  <c r="S196" i="141" a="1"/>
  <c r="S196" i="141"/>
  <c r="Q197" i="141"/>
  <c r="S197" i="141" s="1" a="1"/>
  <c r="S197" i="141" s="1"/>
  <c r="R197" i="141"/>
  <c r="Q198" i="141"/>
  <c r="R198" i="141"/>
  <c r="S198" i="141" a="1"/>
  <c r="S198"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218" i="141"/>
  <c r="R218" i="141"/>
  <c r="S218" i="141" a="1"/>
  <c r="S218" i="141"/>
  <c r="Q219" i="141"/>
  <c r="S219" i="141" s="1" a="1"/>
  <c r="S219" i="141" s="1"/>
  <c r="R219" i="141"/>
  <c r="Q220" i="141"/>
  <c r="R220" i="141"/>
  <c r="S220" i="141" a="1"/>
  <c r="S220" i="141"/>
  <c r="Q221" i="141"/>
  <c r="S221" i="141" s="1" a="1"/>
  <c r="S221" i="141" s="1"/>
  <c r="R221" i="141"/>
  <c r="Q222" i="141"/>
  <c r="R222" i="141"/>
  <c r="S222" i="141" a="1"/>
  <c r="S222" i="141"/>
  <c r="Q223" i="141"/>
  <c r="S223" i="141" s="1" a="1"/>
  <c r="S223" i="141" s="1"/>
  <c r="R223" i="141"/>
  <c r="Q224" i="141"/>
  <c r="R224" i="141"/>
  <c r="S224" i="141" a="1"/>
  <c r="S224" i="141"/>
  <c r="Q225" i="141"/>
  <c r="S225" i="141" s="1" a="1"/>
  <c r="S225" i="141" s="1"/>
  <c r="R225" i="141"/>
  <c r="Q226" i="141"/>
  <c r="R226" i="141"/>
  <c r="S226" i="141" a="1"/>
  <c r="S226" i="141"/>
  <c r="Q227" i="141"/>
  <c r="S227" i="141" s="1" a="1"/>
  <c r="S227" i="141" s="1"/>
  <c r="R227" i="141"/>
  <c r="Q228" i="141"/>
  <c r="R228" i="141"/>
  <c r="S228" i="141" a="1"/>
  <c r="S228" i="141"/>
  <c r="Q229" i="141"/>
  <c r="S229" i="141" s="1" a="1"/>
  <c r="S229" i="141" s="1"/>
  <c r="R229" i="141"/>
  <c r="Q230" i="141"/>
  <c r="R230" i="141"/>
  <c r="S230" i="141" a="1"/>
  <c r="S230" i="141"/>
  <c r="Q231" i="141"/>
  <c r="S231" i="141" s="1" a="1"/>
  <c r="S231" i="141" s="1"/>
  <c r="R231" i="141"/>
  <c r="Q232" i="141"/>
  <c r="R232" i="141"/>
  <c r="S232" i="141" a="1"/>
  <c r="S232" i="141"/>
  <c r="Q233" i="141"/>
  <c r="S233" i="141" s="1" a="1"/>
  <c r="S233" i="141" s="1"/>
  <c r="R233" i="141"/>
  <c r="Q234" i="141"/>
  <c r="R234" i="141"/>
  <c r="S234" i="141" a="1"/>
  <c r="S234" i="141"/>
  <c r="Q235" i="141"/>
  <c r="S235" i="141" s="1" a="1"/>
  <c r="S235" i="141" s="1"/>
  <c r="R235" i="141"/>
  <c r="Q236" i="141"/>
  <c r="R236" i="141"/>
  <c r="S236" i="141" a="1"/>
  <c r="S236" i="141"/>
  <c r="Q237" i="141"/>
  <c r="S237" i="141" s="1" a="1"/>
  <c r="S237" i="141" s="1"/>
  <c r="R237" i="141"/>
  <c r="Q238" i="141"/>
  <c r="R238" i="141"/>
  <c r="S238" i="141" a="1"/>
  <c r="S238" i="141"/>
  <c r="Q239" i="141"/>
  <c r="S239" i="141" s="1" a="1"/>
  <c r="S239" i="141" s="1"/>
  <c r="R239" i="141"/>
  <c r="Q240" i="141"/>
  <c r="R240" i="141"/>
  <c r="S240" i="141" a="1"/>
  <c r="S240" i="141"/>
  <c r="Q241" i="141"/>
  <c r="S241" i="141" s="1" a="1"/>
  <c r="S241" i="141" s="1"/>
  <c r="R241" i="141"/>
  <c r="Q242" i="141"/>
  <c r="R242" i="141"/>
  <c r="S242" i="141" a="1"/>
  <c r="S242"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B17" i="198"/>
  <c r="C17" i="198"/>
  <c r="B29" i="198"/>
  <c r="B28" i="198"/>
  <c r="B27" i="198"/>
  <c r="B26" i="198"/>
  <c r="B25" i="198"/>
  <c r="B24" i="198"/>
  <c r="C23" i="198"/>
  <c r="B23" i="198"/>
  <c r="C22" i="198"/>
  <c r="B22" i="198"/>
  <c r="C21" i="198"/>
  <c r="B21" i="198"/>
  <c r="C20" i="198"/>
  <c r="B20" i="198"/>
  <c r="C19" i="198"/>
  <c r="B19" i="198"/>
  <c r="C18" i="198"/>
  <c r="B18" i="198"/>
  <c r="N16" i="198"/>
  <c r="M16" i="198"/>
  <c r="L16" i="198"/>
  <c r="K16" i="198"/>
  <c r="C16" i="198"/>
  <c r="J16" i="198" s="1"/>
  <c r="B16" i="198"/>
  <c r="R15" i="198"/>
  <c r="Q15" i="198"/>
  <c r="N15" i="198"/>
  <c r="M15" i="198"/>
  <c r="L15" i="198"/>
  <c r="K15" i="198"/>
  <c r="C15" i="198"/>
  <c r="J15" i="198" s="1"/>
  <c r="B15" i="198"/>
  <c r="B14" i="198"/>
  <c r="B90" i="158"/>
  <c r="B91" i="158"/>
  <c r="B92" i="158"/>
  <c r="B93" i="158"/>
  <c r="B94" i="158"/>
  <c r="B95" i="158"/>
  <c r="B96" i="158"/>
  <c r="B97" i="158"/>
  <c r="B98" i="158"/>
  <c r="B99" i="158"/>
  <c r="B100" i="158"/>
  <c r="B101" i="158"/>
  <c r="B102" i="158"/>
  <c r="B103" i="158"/>
  <c r="B104" i="158"/>
  <c r="B105" i="158"/>
  <c r="B106" i="158"/>
  <c r="B107" i="158"/>
  <c r="B108" i="158"/>
  <c r="B109" i="158"/>
  <c r="B110" i="158"/>
  <c r="B111" i="158"/>
  <c r="B112" i="158"/>
  <c r="B113" i="158"/>
  <c r="B114" i="158"/>
  <c r="B115" i="158"/>
  <c r="Q16" i="175"/>
  <c r="S16" i="175" s="1" a="1"/>
  <c r="S16" i="175" s="1"/>
  <c r="R16" i="175"/>
  <c r="Q17" i="175"/>
  <c r="S17" i="175" s="1" a="1"/>
  <c r="S17" i="175" s="1"/>
  <c r="R17" i="175"/>
  <c r="Q18" i="175"/>
  <c r="S18" i="175" s="1" a="1"/>
  <c r="S18" i="175" s="1"/>
  <c r="R18" i="175"/>
  <c r="Q19" i="175"/>
  <c r="S19" i="175" s="1" a="1"/>
  <c r="S19" i="175" s="1"/>
  <c r="R19" i="175"/>
  <c r="Q20" i="175"/>
  <c r="S20" i="175" s="1" a="1"/>
  <c r="S20" i="175" s="1"/>
  <c r="R20" i="175"/>
  <c r="Q21" i="175"/>
  <c r="S21" i="175" s="1" a="1"/>
  <c r="S21" i="175" s="1"/>
  <c r="R21" i="175"/>
  <c r="Q22" i="175"/>
  <c r="S22" i="175" s="1" a="1"/>
  <c r="S22" i="175" s="1"/>
  <c r="R22" i="175"/>
  <c r="Q23" i="175"/>
  <c r="S23" i="175" s="1" a="1"/>
  <c r="S23" i="175" s="1"/>
  <c r="R23" i="175"/>
  <c r="Q24" i="175"/>
  <c r="S24" i="175" s="1" a="1"/>
  <c r="S24" i="175" s="1"/>
  <c r="R24" i="175"/>
  <c r="Q25" i="175"/>
  <c r="S25" i="175" s="1" a="1"/>
  <c r="S25" i="175" s="1"/>
  <c r="R25" i="175"/>
  <c r="Q26" i="175"/>
  <c r="S26" i="175" s="1" a="1"/>
  <c r="S26" i="175" s="1"/>
  <c r="R26" i="175"/>
  <c r="Q27" i="175"/>
  <c r="S27" i="175" s="1" a="1"/>
  <c r="S27" i="175" s="1"/>
  <c r="R27" i="175"/>
  <c r="Q28" i="175"/>
  <c r="S28" i="175" s="1" a="1"/>
  <c r="S28" i="175" s="1"/>
  <c r="R28" i="175"/>
  <c r="Q29" i="175"/>
  <c r="S29" i="175" s="1" a="1"/>
  <c r="S29" i="175" s="1"/>
  <c r="R29" i="175"/>
  <c r="Q30" i="175"/>
  <c r="S30" i="175" s="1" a="1"/>
  <c r="S30" i="175" s="1"/>
  <c r="R30" i="175"/>
  <c r="Q31" i="175"/>
  <c r="S31" i="175" s="1" a="1"/>
  <c r="S31" i="175" s="1"/>
  <c r="R31" i="175"/>
  <c r="Q32" i="175"/>
  <c r="S32" i="175" s="1" a="1"/>
  <c r="S32" i="175" s="1"/>
  <c r="R32" i="175"/>
  <c r="Q33" i="175"/>
  <c r="S33" i="175" s="1" a="1"/>
  <c r="S33" i="175" s="1"/>
  <c r="R33" i="175"/>
  <c r="Q34" i="175"/>
  <c r="S34" i="175" s="1" a="1"/>
  <c r="S34" i="175" s="1"/>
  <c r="R34" i="175"/>
  <c r="Q35" i="175"/>
  <c r="S35" i="175" s="1" a="1"/>
  <c r="S35" i="175" s="1"/>
  <c r="R35" i="175"/>
  <c r="Q36" i="175"/>
  <c r="S36" i="175" s="1" a="1"/>
  <c r="S36" i="175" s="1"/>
  <c r="R36" i="175"/>
  <c r="Q37" i="175"/>
  <c r="S37" i="175" s="1" a="1"/>
  <c r="S37" i="175" s="1"/>
  <c r="R37" i="175"/>
  <c r="Q38" i="175"/>
  <c r="S38" i="175" s="1" a="1"/>
  <c r="S38" i="175" s="1"/>
  <c r="R38" i="175"/>
  <c r="Q39" i="175"/>
  <c r="S39" i="175" s="1" a="1"/>
  <c r="S39" i="175" s="1"/>
  <c r="R39" i="175"/>
  <c r="Q40" i="175"/>
  <c r="S40" i="175" s="1" a="1"/>
  <c r="S40" i="175" s="1"/>
  <c r="R40" i="175"/>
  <c r="Q41" i="175"/>
  <c r="S41" i="175" s="1" a="1"/>
  <c r="S41" i="175" s="1"/>
  <c r="R41" i="175"/>
  <c r="Q42" i="175"/>
  <c r="S42" i="175" s="1" a="1"/>
  <c r="S42" i="175" s="1"/>
  <c r="R42" i="175"/>
  <c r="Q43" i="175"/>
  <c r="S43" i="175" s="1" a="1"/>
  <c r="S43" i="175" s="1"/>
  <c r="R43" i="175"/>
  <c r="Q44" i="175"/>
  <c r="S44" i="175" s="1" a="1"/>
  <c r="S44" i="175" s="1"/>
  <c r="R44" i="175"/>
  <c r="Q45" i="175"/>
  <c r="S45" i="175" s="1" a="1"/>
  <c r="S45" i="175" s="1"/>
  <c r="R45" i="175"/>
  <c r="Q46" i="175"/>
  <c r="S46" i="175" s="1" a="1"/>
  <c r="S46" i="175" s="1"/>
  <c r="R46" i="175"/>
  <c r="Q47" i="175"/>
  <c r="S47" i="175" s="1" a="1"/>
  <c r="S47" i="175" s="1"/>
  <c r="R47" i="175"/>
  <c r="Q48" i="175"/>
  <c r="S48" i="175" s="1" a="1"/>
  <c r="S48" i="175" s="1"/>
  <c r="R48" i="175"/>
  <c r="Q49" i="175"/>
  <c r="S49" i="175" s="1" a="1"/>
  <c r="S49" i="175" s="1"/>
  <c r="R49" i="175"/>
  <c r="Q50" i="175"/>
  <c r="S50" i="175" s="1" a="1"/>
  <c r="S50" i="175" s="1"/>
  <c r="R50" i="175"/>
  <c r="Q51" i="175"/>
  <c r="S51" i="175" s="1" a="1"/>
  <c r="S51" i="175" s="1"/>
  <c r="R51" i="175"/>
  <c r="Q52" i="175"/>
  <c r="S52" i="175" s="1" a="1"/>
  <c r="S52" i="175" s="1"/>
  <c r="R52" i="175"/>
  <c r="Q53" i="175"/>
  <c r="S53" i="175" s="1" a="1"/>
  <c r="S53" i="175" s="1"/>
  <c r="R53" i="175"/>
  <c r="Q54" i="175"/>
  <c r="S54" i="175" s="1" a="1"/>
  <c r="S54" i="175" s="1"/>
  <c r="R54" i="175"/>
  <c r="Q55" i="175"/>
  <c r="S55" i="175" s="1" a="1"/>
  <c r="S55" i="175" s="1"/>
  <c r="R55" i="175"/>
  <c r="Q56" i="175"/>
  <c r="S56" i="175" s="1" a="1"/>
  <c r="S56" i="175" s="1"/>
  <c r="R56" i="175"/>
  <c r="Q57" i="175"/>
  <c r="S57" i="175" s="1" a="1"/>
  <c r="S57" i="175" s="1"/>
  <c r="R57" i="175"/>
  <c r="Q58" i="175"/>
  <c r="S58" i="175" s="1" a="1"/>
  <c r="S58" i="175" s="1"/>
  <c r="R58" i="175"/>
  <c r="Q59" i="175"/>
  <c r="S59" i="175" s="1" a="1"/>
  <c r="S59" i="175" s="1"/>
  <c r="R59" i="175"/>
  <c r="Q60" i="175"/>
  <c r="S60" i="175" s="1" a="1"/>
  <c r="S60" i="175" s="1"/>
  <c r="R60" i="175"/>
  <c r="Q61" i="175"/>
  <c r="S61" i="175" s="1" a="1"/>
  <c r="S61" i="175" s="1"/>
  <c r="R61" i="175"/>
  <c r="Q62" i="175"/>
  <c r="S62" i="175" s="1" a="1"/>
  <c r="S62" i="175" s="1"/>
  <c r="R62" i="175"/>
  <c r="Q63" i="175"/>
  <c r="S63" i="175" s="1" a="1"/>
  <c r="S63" i="175" s="1"/>
  <c r="R63" i="175"/>
  <c r="Q64" i="175"/>
  <c r="S64" i="175" s="1" a="1"/>
  <c r="S64" i="175" s="1"/>
  <c r="R64" i="175"/>
  <c r="Q65" i="175"/>
  <c r="S65" i="175" s="1" a="1"/>
  <c r="S65" i="175" s="1"/>
  <c r="R65" i="175"/>
  <c r="Q66" i="175"/>
  <c r="S66" i="175" s="1" a="1"/>
  <c r="S66" i="175" s="1"/>
  <c r="R66" i="175"/>
  <c r="Q67" i="175"/>
  <c r="S67" i="175" s="1" a="1"/>
  <c r="S67" i="175" s="1"/>
  <c r="R67" i="175"/>
  <c r="I16" i="175"/>
  <c r="J16" i="175"/>
  <c r="K16" i="175"/>
  <c r="L16" i="175"/>
  <c r="M16" i="175"/>
  <c r="N16" i="175"/>
  <c r="I17" i="175"/>
  <c r="J17" i="175"/>
  <c r="K17" i="175"/>
  <c r="L17" i="175"/>
  <c r="M17" i="175"/>
  <c r="N17" i="175"/>
  <c r="I18" i="175"/>
  <c r="J18" i="175"/>
  <c r="K18" i="175"/>
  <c r="L18" i="175"/>
  <c r="M18" i="175"/>
  <c r="N18" i="175"/>
  <c r="B163" i="195"/>
  <c r="B126" i="195"/>
  <c r="B127" i="195"/>
  <c r="B128" i="195"/>
  <c r="B129" i="195"/>
  <c r="B130" i="195"/>
  <c r="B131" i="195"/>
  <c r="B132" i="195"/>
  <c r="B133" i="195"/>
  <c r="B134" i="195"/>
  <c r="B135" i="195"/>
  <c r="B136" i="195"/>
  <c r="B137" i="195"/>
  <c r="B138" i="195"/>
  <c r="B139" i="195"/>
  <c r="B140" i="195"/>
  <c r="B141" i="195"/>
  <c r="B142" i="195"/>
  <c r="B143" i="195"/>
  <c r="B144" i="195"/>
  <c r="B145" i="195"/>
  <c r="B146" i="195"/>
  <c r="B147" i="195"/>
  <c r="B148" i="195"/>
  <c r="B149" i="195"/>
  <c r="B150" i="195"/>
  <c r="B151" i="195"/>
  <c r="B152" i="195"/>
  <c r="B153" i="195"/>
  <c r="B154" i="195"/>
  <c r="B155" i="195"/>
  <c r="B156" i="195"/>
  <c r="B157" i="195"/>
  <c r="B158" i="195"/>
  <c r="B159" i="195"/>
  <c r="B160" i="195"/>
  <c r="B161" i="195"/>
  <c r="B162" i="195"/>
  <c r="B125" i="195"/>
  <c r="B123" i="195"/>
  <c r="B122" i="195"/>
  <c r="Q16" i="197"/>
  <c r="S16" i="197" s="1" a="1"/>
  <c r="S16" i="197" s="1"/>
  <c r="R16" i="197"/>
  <c r="Q17" i="197"/>
  <c r="S17" i="197" s="1" a="1"/>
  <c r="S17" i="197" s="1"/>
  <c r="R17" i="197"/>
  <c r="Q18" i="197"/>
  <c r="S18" i="197" s="1" a="1"/>
  <c r="S18" i="197" s="1"/>
  <c r="R18" i="197"/>
  <c r="Q19" i="197"/>
  <c r="S19" i="197" s="1" a="1"/>
  <c r="S19" i="197" s="1"/>
  <c r="R19" i="197"/>
  <c r="Q20" i="197"/>
  <c r="S20" i="197" s="1" a="1"/>
  <c r="S20" i="197" s="1"/>
  <c r="R20" i="197"/>
  <c r="Q21" i="197"/>
  <c r="S21" i="197" s="1" a="1"/>
  <c r="S21" i="197" s="1"/>
  <c r="R21" i="197"/>
  <c r="Q22" i="197"/>
  <c r="S22" i="197" s="1" a="1"/>
  <c r="S22" i="197" s="1"/>
  <c r="R22" i="197"/>
  <c r="Q23" i="197"/>
  <c r="S23" i="197" s="1" a="1"/>
  <c r="S23" i="197" s="1"/>
  <c r="R23" i="197"/>
  <c r="Q24" i="197"/>
  <c r="S24" i="197" s="1" a="1"/>
  <c r="S24" i="197" s="1"/>
  <c r="R24" i="197"/>
  <c r="Q25" i="197"/>
  <c r="S25" i="197" s="1" a="1"/>
  <c r="S25" i="197" s="1"/>
  <c r="R25" i="197"/>
  <c r="Q26" i="197"/>
  <c r="S26" i="197" s="1" a="1"/>
  <c r="S26" i="197" s="1"/>
  <c r="R26" i="197"/>
  <c r="Q27" i="197"/>
  <c r="S27" i="197" s="1" a="1"/>
  <c r="S27" i="197" s="1"/>
  <c r="R27" i="197"/>
  <c r="Q28" i="197"/>
  <c r="S28" i="197" s="1" a="1"/>
  <c r="S28" i="197" s="1"/>
  <c r="R28" i="197"/>
  <c r="Q29" i="197"/>
  <c r="S29" i="197" s="1" a="1"/>
  <c r="S29" i="197" s="1"/>
  <c r="R29" i="197"/>
  <c r="Q30" i="197"/>
  <c r="S30" i="197" s="1" a="1"/>
  <c r="S30" i="197" s="1"/>
  <c r="R30" i="197"/>
  <c r="Q31" i="197"/>
  <c r="S31" i="197" s="1" a="1"/>
  <c r="S31" i="197" s="1"/>
  <c r="R31" i="197"/>
  <c r="Q32" i="197"/>
  <c r="S32" i="197" s="1" a="1"/>
  <c r="S32" i="197" s="1"/>
  <c r="R32" i="197"/>
  <c r="Q33" i="197"/>
  <c r="S33" i="197" s="1" a="1"/>
  <c r="S33" i="197" s="1"/>
  <c r="R33" i="197"/>
  <c r="Q34" i="197"/>
  <c r="S34" i="197" s="1" a="1"/>
  <c r="S34" i="197" s="1"/>
  <c r="R34" i="197"/>
  <c r="Q35" i="197"/>
  <c r="S35" i="197" s="1" a="1"/>
  <c r="S35" i="197" s="1"/>
  <c r="R35" i="197"/>
  <c r="Q36" i="197"/>
  <c r="S36" i="197" s="1" a="1"/>
  <c r="S36" i="197" s="1"/>
  <c r="R36" i="197"/>
  <c r="Q37" i="197"/>
  <c r="S37" i="197" s="1" a="1"/>
  <c r="S37" i="197" s="1"/>
  <c r="R37" i="197"/>
  <c r="Q38" i="197"/>
  <c r="S38" i="197" s="1" a="1"/>
  <c r="S38" i="197" s="1"/>
  <c r="R38" i="197"/>
  <c r="Q39" i="197"/>
  <c r="S39" i="197" s="1" a="1"/>
  <c r="S39" i="197" s="1"/>
  <c r="R39" i="197"/>
  <c r="Q40" i="197"/>
  <c r="S40" i="197" s="1" a="1"/>
  <c r="S40" i="197" s="1"/>
  <c r="R40" i="197"/>
  <c r="Q41" i="197"/>
  <c r="S41" i="197" s="1" a="1"/>
  <c r="S41" i="197" s="1"/>
  <c r="R41" i="197"/>
  <c r="Q42" i="197"/>
  <c r="S42" i="197" s="1" a="1"/>
  <c r="S42" i="197" s="1"/>
  <c r="R42" i="197"/>
  <c r="Q43" i="197"/>
  <c r="S43" i="197" s="1" a="1"/>
  <c r="S43" i="197" s="1"/>
  <c r="R43" i="197"/>
  <c r="Q44" i="197"/>
  <c r="S44" i="197" s="1" a="1"/>
  <c r="S44" i="197" s="1"/>
  <c r="R44" i="197"/>
  <c r="Q45" i="197"/>
  <c r="S45" i="197" s="1" a="1"/>
  <c r="S45" i="197" s="1"/>
  <c r="R45" i="197"/>
  <c r="Q46" i="197"/>
  <c r="S46" i="197" s="1" a="1"/>
  <c r="S46" i="197" s="1"/>
  <c r="R46" i="197"/>
  <c r="Q47" i="197"/>
  <c r="S47" i="197" s="1" a="1"/>
  <c r="S47" i="197" s="1"/>
  <c r="R47" i="197"/>
  <c r="Q48" i="197"/>
  <c r="S48" i="197" s="1" a="1"/>
  <c r="S48" i="197" s="1"/>
  <c r="R48" i="197"/>
  <c r="Q49" i="197"/>
  <c r="S49" i="197" s="1" a="1"/>
  <c r="S49" i="197" s="1"/>
  <c r="R49" i="197"/>
  <c r="Q50" i="197"/>
  <c r="S50" i="197" s="1" a="1"/>
  <c r="S50" i="197" s="1"/>
  <c r="R50" i="197"/>
  <c r="Q51" i="197"/>
  <c r="S51" i="197" s="1" a="1"/>
  <c r="S51" i="197" s="1"/>
  <c r="R51" i="197"/>
  <c r="Q52" i="197"/>
  <c r="S52" i="197" s="1" a="1"/>
  <c r="S52" i="197" s="1"/>
  <c r="R52" i="197"/>
  <c r="Q53" i="197"/>
  <c r="S53" i="197" s="1" a="1"/>
  <c r="S53" i="197" s="1"/>
  <c r="R53" i="197"/>
  <c r="Q54" i="197"/>
  <c r="S54" i="197" s="1" a="1"/>
  <c r="S54" i="197" s="1"/>
  <c r="R54" i="197"/>
  <c r="Q55" i="197"/>
  <c r="S55" i="197" s="1" a="1"/>
  <c r="S55" i="197" s="1"/>
  <c r="R55" i="197"/>
  <c r="Q56" i="197"/>
  <c r="S56" i="197" s="1" a="1"/>
  <c r="S56" i="197" s="1"/>
  <c r="R56" i="197"/>
  <c r="Q57" i="197"/>
  <c r="S57" i="197" s="1" a="1"/>
  <c r="S57" i="197" s="1"/>
  <c r="R57" i="197"/>
  <c r="Q58" i="197"/>
  <c r="S58" i="197" s="1" a="1"/>
  <c r="S58" i="197" s="1"/>
  <c r="R58" i="197"/>
  <c r="Q59" i="197"/>
  <c r="S59" i="197" s="1" a="1"/>
  <c r="S59" i="197" s="1"/>
  <c r="R59" i="197"/>
  <c r="Q60" i="197"/>
  <c r="S60" i="197" s="1" a="1"/>
  <c r="S60" i="197" s="1"/>
  <c r="R60" i="197"/>
  <c r="Q61" i="197"/>
  <c r="S61" i="197" s="1" a="1"/>
  <c r="S61" i="197" s="1"/>
  <c r="R61" i="197"/>
  <c r="Q62" i="197"/>
  <c r="S62" i="197" s="1" a="1"/>
  <c r="S62" i="197" s="1"/>
  <c r="R62" i="197"/>
  <c r="Q63" i="197"/>
  <c r="S63" i="197" s="1" a="1"/>
  <c r="S63" i="197" s="1"/>
  <c r="R63" i="197"/>
  <c r="Q64" i="197"/>
  <c r="S64" i="197" s="1" a="1"/>
  <c r="S64" i="197" s="1"/>
  <c r="R64" i="197"/>
  <c r="Q65" i="197"/>
  <c r="S65" i="197" s="1" a="1"/>
  <c r="S65" i="197" s="1"/>
  <c r="R65" i="197"/>
  <c r="Q66" i="197"/>
  <c r="S66" i="197" s="1" a="1"/>
  <c r="S66" i="197" s="1"/>
  <c r="R66" i="197"/>
  <c r="Q67" i="197"/>
  <c r="S67" i="197" s="1" a="1"/>
  <c r="S67" i="197" s="1"/>
  <c r="R67" i="197"/>
  <c r="Q68" i="197"/>
  <c r="S68" i="197" s="1" a="1"/>
  <c r="S68" i="197" s="1"/>
  <c r="R68" i="197"/>
  <c r="Q69" i="197"/>
  <c r="S69" i="197" s="1" a="1"/>
  <c r="S69" i="197" s="1"/>
  <c r="R69" i="197"/>
  <c r="Q70" i="197"/>
  <c r="S70" i="197" s="1" a="1"/>
  <c r="S70" i="197" s="1"/>
  <c r="R70" i="197"/>
  <c r="Q71" i="197"/>
  <c r="S71" i="197" s="1" a="1"/>
  <c r="S71" i="197" s="1"/>
  <c r="R71" i="197"/>
  <c r="Q72" i="197"/>
  <c r="S72" i="197" s="1" a="1"/>
  <c r="S72" i="197" s="1"/>
  <c r="R72" i="197"/>
  <c r="Q73" i="197"/>
  <c r="S73" i="197" s="1" a="1"/>
  <c r="S73" i="197" s="1"/>
  <c r="R73" i="197"/>
  <c r="Q74" i="197"/>
  <c r="S74" i="197" s="1" a="1"/>
  <c r="S74" i="197" s="1"/>
  <c r="R74" i="197"/>
  <c r="Q75" i="197"/>
  <c r="S75" i="197" s="1" a="1"/>
  <c r="S75" i="197" s="1"/>
  <c r="R75" i="197"/>
  <c r="Q76" i="197"/>
  <c r="S76" i="197" s="1" a="1"/>
  <c r="S76" i="197" s="1"/>
  <c r="R76" i="197"/>
  <c r="Q77" i="197"/>
  <c r="S77" i="197" s="1" a="1"/>
  <c r="S77" i="197" s="1"/>
  <c r="R77" i="197"/>
  <c r="Q78" i="197"/>
  <c r="S78" i="197" s="1" a="1"/>
  <c r="S78" i="197" s="1"/>
  <c r="R78" i="197"/>
  <c r="Q79" i="197"/>
  <c r="S79" i="197" s="1" a="1"/>
  <c r="S79" i="197" s="1"/>
  <c r="R79" i="197"/>
  <c r="Q80" i="197"/>
  <c r="S80" i="197" s="1" a="1"/>
  <c r="S80" i="197" s="1"/>
  <c r="R80" i="197"/>
  <c r="I16" i="197"/>
  <c r="J16" i="197"/>
  <c r="K16" i="197"/>
  <c r="L16" i="197"/>
  <c r="M16" i="197"/>
  <c r="N16" i="197"/>
  <c r="I17" i="197"/>
  <c r="J17" i="197"/>
  <c r="K17" i="197"/>
  <c r="L17" i="197"/>
  <c r="M17" i="197"/>
  <c r="N17" i="197"/>
  <c r="I18" i="197"/>
  <c r="J18" i="197"/>
  <c r="K18" i="197"/>
  <c r="L18" i="197"/>
  <c r="M18" i="197"/>
  <c r="N18" i="197"/>
  <c r="I19" i="197"/>
  <c r="J19" i="197"/>
  <c r="K19" i="197"/>
  <c r="L19" i="197"/>
  <c r="M19" i="197"/>
  <c r="N19" i="197"/>
  <c r="I20" i="197"/>
  <c r="J20" i="197"/>
  <c r="K20" i="197"/>
  <c r="L20" i="197"/>
  <c r="M20" i="197"/>
  <c r="N20" i="197"/>
  <c r="N42" i="197"/>
  <c r="N41" i="197"/>
  <c r="N40" i="197"/>
  <c r="N39" i="197"/>
  <c r="N38" i="197"/>
  <c r="N37" i="197"/>
  <c r="N36" i="197"/>
  <c r="N35" i="197"/>
  <c r="N34" i="197"/>
  <c r="N33" i="197"/>
  <c r="N32" i="197"/>
  <c r="N31" i="197"/>
  <c r="N30" i="197"/>
  <c r="N29" i="197"/>
  <c r="N28" i="197"/>
  <c r="N27" i="197"/>
  <c r="N26" i="197"/>
  <c r="N25" i="197"/>
  <c r="N24" i="197"/>
  <c r="N23" i="197"/>
  <c r="C20" i="197"/>
  <c r="B20" i="197"/>
  <c r="C19" i="197"/>
  <c r="B19" i="197"/>
  <c r="C18" i="197"/>
  <c r="B18" i="197"/>
  <c r="C17" i="197"/>
  <c r="B17" i="197"/>
  <c r="C16" i="197"/>
  <c r="B16" i="197"/>
  <c r="R15" i="197"/>
  <c r="Q15" i="197"/>
  <c r="N15" i="197"/>
  <c r="M15" i="197"/>
  <c r="L15" i="197"/>
  <c r="K15" i="197"/>
  <c r="C15" i="197"/>
  <c r="J15" i="197" s="1"/>
  <c r="B15" i="197"/>
  <c r="B14" i="197"/>
  <c r="E7" i="197"/>
  <c r="E3" i="197"/>
  <c r="E6" i="197" s="1"/>
  <c r="B92" i="195"/>
  <c r="B93" i="195"/>
  <c r="B94" i="195"/>
  <c r="B95" i="195"/>
  <c r="B96" i="195"/>
  <c r="B97" i="195"/>
  <c r="B98" i="195"/>
  <c r="B99" i="195"/>
  <c r="B100" i="195"/>
  <c r="B101" i="195"/>
  <c r="B102" i="195"/>
  <c r="B103" i="195"/>
  <c r="B104" i="195"/>
  <c r="B105" i="195"/>
  <c r="B106" i="195"/>
  <c r="B107" i="195"/>
  <c r="B108" i="195"/>
  <c r="B109" i="195"/>
  <c r="B110" i="195"/>
  <c r="B111" i="195"/>
  <c r="B112" i="195"/>
  <c r="B113" i="195"/>
  <c r="B114" i="195"/>
  <c r="B115" i="195"/>
  <c r="B116" i="195"/>
  <c r="B117" i="195"/>
  <c r="B118" i="195"/>
  <c r="B119" i="195"/>
  <c r="B120" i="195"/>
  <c r="B91" i="195"/>
  <c r="B89" i="195"/>
  <c r="B88" i="195"/>
  <c r="Q16" i="196"/>
  <c r="R16" i="196"/>
  <c r="S16" i="196" a="1"/>
  <c r="S16" i="196" s="1"/>
  <c r="Q17" i="196"/>
  <c r="R17" i="196"/>
  <c r="S17" i="196" a="1"/>
  <c r="S17" i="196"/>
  <c r="Q18" i="196"/>
  <c r="R18" i="196"/>
  <c r="S18" i="196" a="1"/>
  <c r="S18" i="196" s="1"/>
  <c r="Q19" i="196"/>
  <c r="R19" i="196"/>
  <c r="S19" i="196" a="1"/>
  <c r="S19" i="196"/>
  <c r="Q20" i="196"/>
  <c r="R20" i="196"/>
  <c r="S20" i="196" a="1"/>
  <c r="S20" i="196" s="1"/>
  <c r="Q21" i="196"/>
  <c r="R21" i="196"/>
  <c r="S21" i="196" a="1"/>
  <c r="S21" i="196"/>
  <c r="Q22" i="196"/>
  <c r="R22" i="196"/>
  <c r="S22" i="196" a="1"/>
  <c r="S22" i="196" s="1"/>
  <c r="Q23" i="196"/>
  <c r="R23" i="196"/>
  <c r="S23" i="196" a="1"/>
  <c r="S23" i="196"/>
  <c r="Q24" i="196"/>
  <c r="R24" i="196"/>
  <c r="S24" i="196" a="1"/>
  <c r="S24" i="196" s="1"/>
  <c r="Q25" i="196"/>
  <c r="R25" i="196"/>
  <c r="S25" i="196" a="1"/>
  <c r="S25" i="196"/>
  <c r="Q26" i="196"/>
  <c r="R26" i="196"/>
  <c r="S26" i="196" a="1"/>
  <c r="S26" i="196" s="1"/>
  <c r="Q27" i="196"/>
  <c r="R27" i="196"/>
  <c r="S27" i="196" a="1"/>
  <c r="S27" i="196"/>
  <c r="Q28" i="196"/>
  <c r="R28" i="196"/>
  <c r="S28" i="196" a="1"/>
  <c r="S28" i="196" s="1"/>
  <c r="Q29" i="196"/>
  <c r="R29" i="196"/>
  <c r="S29" i="196" a="1"/>
  <c r="S29" i="196"/>
  <c r="Q30" i="196"/>
  <c r="R30" i="196"/>
  <c r="S30" i="196" a="1"/>
  <c r="S30" i="196" s="1"/>
  <c r="Q31" i="196"/>
  <c r="R31" i="196"/>
  <c r="S31" i="196" a="1"/>
  <c r="S31" i="196"/>
  <c r="Q32" i="196"/>
  <c r="R32" i="196"/>
  <c r="S32" i="196" a="1"/>
  <c r="S32" i="196" s="1"/>
  <c r="Q33" i="196"/>
  <c r="R33" i="196"/>
  <c r="S33" i="196" a="1"/>
  <c r="S33" i="196"/>
  <c r="Q34" i="196"/>
  <c r="R34" i="196"/>
  <c r="S34" i="196" a="1"/>
  <c r="S34" i="196" s="1"/>
  <c r="Q35" i="196"/>
  <c r="R35" i="196"/>
  <c r="S35" i="196" a="1"/>
  <c r="S35" i="196"/>
  <c r="Q36" i="196"/>
  <c r="R36" i="196"/>
  <c r="S36" i="196" a="1"/>
  <c r="S36" i="196" s="1"/>
  <c r="Q37" i="196"/>
  <c r="R37" i="196"/>
  <c r="S37" i="196" a="1"/>
  <c r="S37" i="196"/>
  <c r="Q38" i="196"/>
  <c r="R38" i="196"/>
  <c r="S38" i="196" a="1"/>
  <c r="S38" i="196" s="1"/>
  <c r="Q39" i="196"/>
  <c r="R39" i="196"/>
  <c r="S39" i="196" a="1"/>
  <c r="S39" i="196"/>
  <c r="Q40" i="196"/>
  <c r="R40" i="196"/>
  <c r="S40" i="196" a="1"/>
  <c r="S40" i="196" s="1"/>
  <c r="Q41" i="196"/>
  <c r="R41" i="196"/>
  <c r="S41" i="196" a="1"/>
  <c r="S41" i="196"/>
  <c r="Q42" i="196"/>
  <c r="R42" i="196"/>
  <c r="S42" i="196" a="1"/>
  <c r="S42" i="196" s="1"/>
  <c r="Q43" i="196"/>
  <c r="R43" i="196"/>
  <c r="S43" i="196" a="1"/>
  <c r="S43" i="196"/>
  <c r="Q44" i="196"/>
  <c r="R44" i="196"/>
  <c r="S44" i="196" a="1"/>
  <c r="S44" i="196" s="1"/>
  <c r="Q45" i="196"/>
  <c r="R45" i="196"/>
  <c r="S45" i="196" a="1"/>
  <c r="S45" i="196"/>
  <c r="Q46" i="196"/>
  <c r="R46" i="196"/>
  <c r="S46" i="196" a="1"/>
  <c r="S46" i="196" s="1"/>
  <c r="Q47" i="196"/>
  <c r="R47" i="196"/>
  <c r="S47" i="196" a="1"/>
  <c r="S47" i="196"/>
  <c r="Q48" i="196"/>
  <c r="R48" i="196"/>
  <c r="S48" i="196" a="1"/>
  <c r="S48" i="196" s="1"/>
  <c r="Q49" i="196"/>
  <c r="R49" i="196"/>
  <c r="S49" i="196" a="1"/>
  <c r="S49" i="196"/>
  <c r="Q50" i="196"/>
  <c r="R50" i="196"/>
  <c r="S50" i="196" a="1"/>
  <c r="S50" i="196" s="1"/>
  <c r="Q51" i="196"/>
  <c r="R51" i="196"/>
  <c r="S51" i="196" a="1"/>
  <c r="S51" i="196"/>
  <c r="Q52" i="196"/>
  <c r="R52" i="196"/>
  <c r="S52" i="196" a="1"/>
  <c r="S52" i="196" s="1"/>
  <c r="Q53" i="196"/>
  <c r="R53" i="196"/>
  <c r="S53" i="196" a="1"/>
  <c r="S53" i="196"/>
  <c r="Q54" i="196"/>
  <c r="R54" i="196"/>
  <c r="S54" i="196" a="1"/>
  <c r="S54" i="196" s="1"/>
  <c r="Q55" i="196"/>
  <c r="R55" i="196"/>
  <c r="S55" i="196" a="1"/>
  <c r="S55" i="196"/>
  <c r="Q56" i="196"/>
  <c r="R56" i="196"/>
  <c r="S56" i="196" a="1"/>
  <c r="S56" i="196" s="1"/>
  <c r="Q57" i="196"/>
  <c r="R57" i="196"/>
  <c r="S57" i="196" a="1"/>
  <c r="S57" i="196"/>
  <c r="Q58" i="196"/>
  <c r="R58" i="196"/>
  <c r="S58" i="196" a="1"/>
  <c r="S58" i="196" s="1"/>
  <c r="Q59" i="196"/>
  <c r="R59" i="196"/>
  <c r="S59" i="196" a="1"/>
  <c r="S59" i="196"/>
  <c r="Q60" i="196"/>
  <c r="R60" i="196"/>
  <c r="S60" i="196" a="1"/>
  <c r="S60" i="196" s="1"/>
  <c r="Q61" i="196"/>
  <c r="R61" i="196"/>
  <c r="S61" i="196" a="1"/>
  <c r="S61" i="196"/>
  <c r="Q62" i="196"/>
  <c r="R62" i="196"/>
  <c r="S62" i="196" a="1"/>
  <c r="S62" i="196" s="1"/>
  <c r="Q63" i="196"/>
  <c r="R63" i="196"/>
  <c r="S63" i="196" a="1"/>
  <c r="S63" i="196"/>
  <c r="Q64" i="196"/>
  <c r="R64" i="196"/>
  <c r="S64" i="196" a="1"/>
  <c r="S64" i="196" s="1"/>
  <c r="Q65" i="196"/>
  <c r="R65" i="196"/>
  <c r="S65" i="196" a="1"/>
  <c r="S65" i="196"/>
  <c r="Q66" i="196"/>
  <c r="R66" i="196"/>
  <c r="S66" i="196" a="1"/>
  <c r="S66" i="196" s="1"/>
  <c r="Q67" i="196"/>
  <c r="R67" i="196"/>
  <c r="S67" i="196" a="1"/>
  <c r="S67" i="196"/>
  <c r="Q68" i="196"/>
  <c r="R68" i="196"/>
  <c r="S68" i="196" a="1"/>
  <c r="S68" i="196" s="1"/>
  <c r="Q69" i="196"/>
  <c r="R69" i="196"/>
  <c r="S69" i="196" a="1"/>
  <c r="S69" i="196"/>
  <c r="Q70" i="196"/>
  <c r="R70" i="196"/>
  <c r="S70" i="196" a="1"/>
  <c r="S70" i="196" s="1"/>
  <c r="Q71" i="196"/>
  <c r="R71" i="196"/>
  <c r="S71" i="196" a="1"/>
  <c r="S71" i="196"/>
  <c r="Q72" i="196"/>
  <c r="R72" i="196"/>
  <c r="S72" i="196" a="1"/>
  <c r="S72" i="196" s="1"/>
  <c r="Q73" i="196"/>
  <c r="R73" i="196"/>
  <c r="S73" i="196" a="1"/>
  <c r="S73" i="196"/>
  <c r="Q74" i="196"/>
  <c r="R74" i="196"/>
  <c r="S74" i="196" a="1"/>
  <c r="S74" i="196" s="1"/>
  <c r="Q75" i="196"/>
  <c r="R75" i="196"/>
  <c r="S75" i="196" a="1"/>
  <c r="S75" i="196"/>
  <c r="Q76" i="196"/>
  <c r="R76" i="196"/>
  <c r="S76" i="196" a="1"/>
  <c r="S76" i="196" s="1"/>
  <c r="Q77" i="196"/>
  <c r="R77" i="196"/>
  <c r="S77" i="196" a="1"/>
  <c r="S77" i="196"/>
  <c r="Q78" i="196"/>
  <c r="R78" i="196"/>
  <c r="S78" i="196" a="1"/>
  <c r="S78" i="196" s="1"/>
  <c r="N17" i="196"/>
  <c r="N18" i="196"/>
  <c r="I16" i="196"/>
  <c r="J16" i="196"/>
  <c r="K16" i="196"/>
  <c r="L16" i="196"/>
  <c r="M16" i="196"/>
  <c r="I17" i="196"/>
  <c r="J17" i="196"/>
  <c r="K17" i="196"/>
  <c r="L17" i="196"/>
  <c r="M17" i="196"/>
  <c r="I18" i="196"/>
  <c r="J18" i="196"/>
  <c r="K18" i="196"/>
  <c r="L18" i="196"/>
  <c r="M18" i="196"/>
  <c r="N40" i="196"/>
  <c r="N39" i="196"/>
  <c r="N38" i="196"/>
  <c r="N37" i="196"/>
  <c r="N36" i="196"/>
  <c r="N35" i="196"/>
  <c r="N34" i="196"/>
  <c r="N33" i="196"/>
  <c r="N32" i="196"/>
  <c r="N31" i="196"/>
  <c r="N30" i="196"/>
  <c r="N29" i="196"/>
  <c r="N28" i="196"/>
  <c r="N27" i="196"/>
  <c r="N26" i="196"/>
  <c r="N25" i="196"/>
  <c r="N24" i="196"/>
  <c r="N23" i="196"/>
  <c r="N22" i="196"/>
  <c r="N21" i="196"/>
  <c r="C18" i="196"/>
  <c r="B18" i="196"/>
  <c r="C17" i="196"/>
  <c r="B17" i="196"/>
  <c r="N16" i="196"/>
  <c r="C16" i="196"/>
  <c r="B16" i="196"/>
  <c r="R15" i="196"/>
  <c r="Q15" i="196"/>
  <c r="N15" i="196"/>
  <c r="M15" i="196"/>
  <c r="L15" i="196"/>
  <c r="K15" i="196"/>
  <c r="C15" i="196"/>
  <c r="J15" i="196" s="1"/>
  <c r="B15" i="196"/>
  <c r="B14" i="196"/>
  <c r="E7" i="196"/>
  <c r="E3" i="196"/>
  <c r="E6" i="196" s="1"/>
  <c r="B21" i="138"/>
  <c r="B22" i="138"/>
  <c r="B23" i="138"/>
  <c r="B24" i="138"/>
  <c r="B25" i="138"/>
  <c r="B26" i="138"/>
  <c r="B27" i="138"/>
  <c r="B28" i="138"/>
  <c r="B29" i="138"/>
  <c r="B30" i="138"/>
  <c r="B31" i="138"/>
  <c r="B32" i="138"/>
  <c r="B35" i="138"/>
  <c r="B37" i="138"/>
  <c r="B38" i="138"/>
  <c r="B39" i="138"/>
  <c r="B40" i="138"/>
  <c r="B42" i="138"/>
  <c r="B43" i="138"/>
  <c r="B45" i="138"/>
  <c r="B46" i="138"/>
  <c r="B47" i="138"/>
  <c r="B48" i="138"/>
  <c r="B51" i="138"/>
  <c r="B55" i="138"/>
  <c r="B56" i="138"/>
  <c r="B59" i="138"/>
  <c r="B64" i="138"/>
  <c r="B67" i="138"/>
  <c r="B72" i="138"/>
  <c r="B74" i="138"/>
  <c r="B75" i="138"/>
  <c r="B77" i="138"/>
  <c r="B80" i="138"/>
  <c r="B83" i="138"/>
  <c r="B88" i="138"/>
  <c r="B90" i="138"/>
  <c r="B91" i="138"/>
  <c r="B96" i="138"/>
  <c r="B99" i="138"/>
  <c r="B106" i="138"/>
  <c r="B107" i="138"/>
  <c r="B114" i="138"/>
  <c r="B115" i="138"/>
  <c r="B117" i="138"/>
  <c r="B118" i="138"/>
  <c r="B119" i="138"/>
  <c r="B120" i="138"/>
  <c r="B122" i="138"/>
  <c r="B123" i="138"/>
  <c r="B127" i="138"/>
  <c r="B129" i="138"/>
  <c r="B130" i="138"/>
  <c r="B133" i="138"/>
  <c r="B136" i="138"/>
  <c r="B141" i="138"/>
  <c r="B143" i="138"/>
  <c r="B144" i="138"/>
  <c r="B147" i="138"/>
  <c r="B149" i="138"/>
  <c r="B151" i="138"/>
  <c r="B152" i="138"/>
  <c r="B158" i="138"/>
  <c r="B165" i="138"/>
  <c r="B167" i="138"/>
  <c r="B168" i="138"/>
  <c r="B170" i="138"/>
  <c r="B171" i="138"/>
  <c r="B173" i="138"/>
  <c r="B175" i="138"/>
  <c r="B178" i="138"/>
  <c r="B187" i="138"/>
  <c r="B189" i="138"/>
  <c r="B197" i="138"/>
  <c r="B205" i="138"/>
  <c r="B206" i="138"/>
  <c r="B213" i="138"/>
  <c r="B221" i="138"/>
  <c r="B229" i="138"/>
  <c r="B237" i="138"/>
  <c r="B245" i="138"/>
  <c r="B253" i="138"/>
  <c r="B269" i="138"/>
  <c r="B277" i="138"/>
  <c r="B285" i="138"/>
  <c r="B293" i="138"/>
  <c r="B22" i="137"/>
  <c r="C22" i="137"/>
  <c r="E7" i="178"/>
  <c r="E7" i="162"/>
  <c r="Q15" i="175"/>
  <c r="R15" i="175"/>
  <c r="K15" i="175"/>
  <c r="L15" i="175"/>
  <c r="M15" i="175"/>
  <c r="N15" i="175"/>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S155" i="137" l="1" a="1"/>
  <c r="S155" i="137" s="1"/>
  <c r="B160" i="138" s="1"/>
  <c r="S140" i="137" a="1"/>
  <c r="S140" i="137" s="1"/>
  <c r="B145" i="138" s="1"/>
  <c r="S121" i="137" a="1"/>
  <c r="S121" i="137" s="1"/>
  <c r="B126" i="138" s="1"/>
  <c r="S120" i="137" a="1"/>
  <c r="S120" i="137" s="1"/>
  <c r="B125" i="138" s="1"/>
  <c r="S119" i="137" a="1"/>
  <c r="S119" i="137" s="1"/>
  <c r="B124" i="138" s="1"/>
  <c r="S21" i="199" a="1"/>
  <c r="S21" i="199" s="1"/>
  <c r="S18" i="199" a="1"/>
  <c r="S18" i="199" s="1"/>
  <c r="S32" i="199" a="1"/>
  <c r="S32" i="199" s="1"/>
  <c r="S26" i="199" a="1"/>
  <c r="S26" i="199" s="1"/>
  <c r="S20" i="199" a="1"/>
  <c r="S20" i="199" s="1"/>
  <c r="S38" i="199" a="1"/>
  <c r="S38" i="199" s="1"/>
  <c r="S28" i="199" a="1"/>
  <c r="S28" i="199" s="1"/>
  <c r="S34" i="199" a="1"/>
  <c r="S34" i="199" s="1"/>
  <c r="S22" i="199" a="1"/>
  <c r="S22" i="199" s="1"/>
  <c r="S16" i="199" a="1"/>
  <c r="S16" i="199" s="1"/>
  <c r="S37" i="199" a="1"/>
  <c r="S37" i="199" s="1"/>
  <c r="S259" i="137" a="1"/>
  <c r="S259" i="137" s="1"/>
  <c r="B264" i="138" s="1"/>
  <c r="S249" i="137" a="1"/>
  <c r="S249" i="137" s="1"/>
  <c r="B254" i="138" s="1"/>
  <c r="S245" i="137" a="1"/>
  <c r="S245" i="137" s="1"/>
  <c r="S241" i="137" a="1"/>
  <c r="S241" i="137" s="1"/>
  <c r="B246" i="138" s="1"/>
  <c r="S237" i="137" a="1"/>
  <c r="S237" i="137" s="1"/>
  <c r="S233" i="137" a="1"/>
  <c r="S233" i="137" s="1"/>
  <c r="B238" i="138" s="1"/>
  <c r="S229" i="137" a="1"/>
  <c r="S229" i="137" s="1"/>
  <c r="S225" i="137" a="1"/>
  <c r="S225" i="137" s="1"/>
  <c r="B230" i="138" s="1"/>
  <c r="S221" i="137" a="1"/>
  <c r="S221" i="137" s="1"/>
  <c r="B226" i="138" s="1"/>
  <c r="S217" i="137" a="1"/>
  <c r="S217" i="137" s="1"/>
  <c r="B222" i="138" s="1"/>
  <c r="S213" i="137" a="1"/>
  <c r="S213" i="137" s="1"/>
  <c r="S261" i="137" a="1"/>
  <c r="S261" i="137" s="1"/>
  <c r="B266" i="138" s="1"/>
  <c r="S257" i="137" a="1"/>
  <c r="S257" i="137" s="1"/>
  <c r="S263" i="137" a="1"/>
  <c r="S263" i="137" s="1"/>
  <c r="B268" i="138" s="1"/>
  <c r="S250" i="137" a="1"/>
  <c r="S250" i="137" s="1"/>
  <c r="B255" i="138" s="1"/>
  <c r="S246" i="137" a="1"/>
  <c r="S246" i="137" s="1"/>
  <c r="B251" i="138" s="1"/>
  <c r="S242" i="137" a="1"/>
  <c r="S242" i="137" s="1"/>
  <c r="B247" i="138" s="1"/>
  <c r="S238" i="137" a="1"/>
  <c r="S238" i="137" s="1"/>
  <c r="B243" i="138" s="1"/>
  <c r="S234" i="137" a="1"/>
  <c r="S234" i="137" s="1"/>
  <c r="S230" i="137" a="1"/>
  <c r="S230" i="137" s="1"/>
  <c r="B235" i="138" s="1"/>
  <c r="S226" i="137" a="1"/>
  <c r="S226" i="137" s="1"/>
  <c r="S222" i="137" a="1"/>
  <c r="S222" i="137" s="1"/>
  <c r="S218" i="137" a="1"/>
  <c r="S218" i="137" s="1"/>
  <c r="B223" i="138" s="1"/>
  <c r="S214" i="137" a="1"/>
  <c r="S214" i="137" s="1"/>
  <c r="B219" i="138" s="1"/>
  <c r="S210" i="137" a="1"/>
  <c r="S210" i="137" s="1"/>
  <c r="B215" i="138" s="1"/>
  <c r="S206" i="137" a="1"/>
  <c r="S206" i="137" s="1"/>
  <c r="S202" i="137" a="1"/>
  <c r="S202" i="137" s="1"/>
  <c r="S198" i="137" a="1"/>
  <c r="S198" i="137" s="1"/>
  <c r="B203" i="138" s="1"/>
  <c r="S194" i="137" a="1"/>
  <c r="S194" i="137" s="1"/>
  <c r="S190" i="137" a="1"/>
  <c r="S190" i="137" s="1"/>
  <c r="B195" i="138" s="1"/>
  <c r="S186" i="137" a="1"/>
  <c r="S186" i="137" s="1"/>
  <c r="B191" i="138" s="1"/>
  <c r="S108" i="137" a="1"/>
  <c r="S108" i="137" s="1"/>
  <c r="B113" i="138" s="1"/>
  <c r="S105" i="137" a="1"/>
  <c r="S105" i="137" s="1"/>
  <c r="B110" i="138" s="1"/>
  <c r="S92" i="137" a="1"/>
  <c r="S92" i="137" s="1"/>
  <c r="B97" i="138" s="1"/>
  <c r="S89" i="137" a="1"/>
  <c r="S89" i="137" s="1"/>
  <c r="B94" i="138" s="1"/>
  <c r="S76" i="137" a="1"/>
  <c r="S76" i="137" s="1"/>
  <c r="B81" i="138" s="1"/>
  <c r="S73" i="137" a="1"/>
  <c r="S73" i="137" s="1"/>
  <c r="B78" i="138" s="1"/>
  <c r="S60" i="137" a="1"/>
  <c r="S60" i="137" s="1"/>
  <c r="B65" i="138" s="1"/>
  <c r="S57" i="137" a="1"/>
  <c r="S57" i="137" s="1"/>
  <c r="B62" i="138" s="1"/>
  <c r="S111" i="137" a="1"/>
  <c r="S111" i="137" s="1"/>
  <c r="B116" i="138" s="1"/>
  <c r="S98" i="137" a="1"/>
  <c r="S98" i="137" s="1"/>
  <c r="B103" i="138" s="1"/>
  <c r="S95" i="137" a="1"/>
  <c r="S95" i="137" s="1"/>
  <c r="B100" i="138" s="1"/>
  <c r="S82" i="137" a="1"/>
  <c r="S82" i="137" s="1"/>
  <c r="B87" i="138" s="1"/>
  <c r="S79" i="137" a="1"/>
  <c r="S79" i="137" s="1"/>
  <c r="B84" i="138" s="1"/>
  <c r="S66" i="137" a="1"/>
  <c r="S66" i="137" s="1"/>
  <c r="B71" i="138" s="1"/>
  <c r="S63" i="137" a="1"/>
  <c r="S63" i="137" s="1"/>
  <c r="B68" i="138" s="1"/>
  <c r="S53" i="137" a="1"/>
  <c r="S53" i="137" s="1"/>
  <c r="B58" i="138" s="1"/>
  <c r="S100" i="137" a="1"/>
  <c r="S100" i="137" s="1"/>
  <c r="B105" i="138" s="1"/>
  <c r="S97" i="137" a="1"/>
  <c r="S97" i="137" s="1"/>
  <c r="B102" i="138" s="1"/>
  <c r="S84" i="137" a="1"/>
  <c r="S84" i="137" s="1"/>
  <c r="S81" i="137" a="1"/>
  <c r="S81" i="137" s="1"/>
  <c r="B86" i="138" s="1"/>
  <c r="S68" i="137" a="1"/>
  <c r="S68" i="137" s="1"/>
  <c r="B73" i="138" s="1"/>
  <c r="S65" i="137" a="1"/>
  <c r="S65" i="137" s="1"/>
  <c r="B70" i="138" s="1"/>
  <c r="S52" i="137" a="1"/>
  <c r="S52" i="137" s="1"/>
  <c r="B57" i="138" s="1"/>
  <c r="S106" i="137" a="1"/>
  <c r="S106" i="137" s="1"/>
  <c r="B111" i="138" s="1"/>
  <c r="S103" i="137" a="1"/>
  <c r="S103" i="137" s="1"/>
  <c r="B108" i="138" s="1"/>
  <c r="S90" i="137" a="1"/>
  <c r="S90" i="137" s="1"/>
  <c r="B95" i="138" s="1"/>
  <c r="S87" i="137" a="1"/>
  <c r="S87" i="137" s="1"/>
  <c r="S74" i="137" a="1"/>
  <c r="S74" i="137" s="1"/>
  <c r="B79" i="138" s="1"/>
  <c r="S71" i="137" a="1"/>
  <c r="S71" i="137" s="1"/>
  <c r="B76" i="138" s="1"/>
  <c r="S58" i="137" a="1"/>
  <c r="S58" i="137" s="1"/>
  <c r="B63" i="138" s="1"/>
  <c r="S55" i="137" a="1"/>
  <c r="S55" i="137" s="1"/>
  <c r="S77" i="137" a="1"/>
  <c r="S77" i="137" s="1"/>
  <c r="B82" i="138" s="1"/>
  <c r="S64" i="137" a="1"/>
  <c r="S64" i="137" s="1"/>
  <c r="B69" i="138" s="1"/>
  <c r="S61" i="137" a="1"/>
  <c r="S61" i="137" s="1"/>
  <c r="B66" i="138" s="1"/>
  <c r="B305" i="138"/>
  <c r="B297" i="138"/>
  <c r="B169" i="138"/>
  <c r="B49" i="138"/>
  <c r="B33" i="138"/>
  <c r="B289" i="138"/>
  <c r="B281" i="138"/>
  <c r="B121" i="138"/>
  <c r="B273" i="138"/>
  <c r="B265" i="138"/>
  <c r="B257" i="138"/>
  <c r="B249" i="138"/>
  <c r="B241" i="138"/>
  <c r="B233" i="138"/>
  <c r="B153" i="138"/>
  <c r="B225" i="138"/>
  <c r="B217" i="138"/>
  <c r="B209" i="138"/>
  <c r="B41" i="138"/>
  <c r="B201" i="138"/>
  <c r="B193" i="138"/>
  <c r="B185" i="138"/>
  <c r="B137" i="138"/>
  <c r="S15" i="199" a="1"/>
  <c r="S15" i="199" s="1"/>
  <c r="I16" i="198"/>
  <c r="I15" i="198"/>
  <c r="S15" i="198" s="1" a="1"/>
  <c r="S15" i="198" s="1"/>
  <c r="S15" i="197" a="1"/>
  <c r="S15" i="197" s="1"/>
  <c r="I15" i="197"/>
  <c r="I15" i="196"/>
  <c r="S15" i="196" s="1" a="1"/>
  <c r="S15" i="196" s="1"/>
  <c r="B190" i="138"/>
  <c r="B298" i="138"/>
  <c r="B295" i="138"/>
  <c r="B282" i="138"/>
  <c r="B279" i="138"/>
  <c r="B263" i="138"/>
  <c r="B250" i="138"/>
  <c r="B234" i="138"/>
  <c r="B231" i="138"/>
  <c r="B218" i="138"/>
  <c r="B202" i="138"/>
  <c r="B199" i="138"/>
  <c r="B134" i="138"/>
  <c r="B60" i="138"/>
  <c r="B307" i="138"/>
  <c r="B294" i="138"/>
  <c r="B291" i="138"/>
  <c r="B278" i="138"/>
  <c r="B275" i="138"/>
  <c r="B262" i="138"/>
  <c r="B259" i="138"/>
  <c r="B227" i="138"/>
  <c r="B214" i="138"/>
  <c r="B211" i="138"/>
  <c r="B198" i="138"/>
  <c r="B174" i="138"/>
  <c r="B142" i="138"/>
  <c r="B89" i="138"/>
  <c r="B306" i="138"/>
  <c r="B303" i="138"/>
  <c r="B290" i="138"/>
  <c r="B287" i="138"/>
  <c r="B274" i="138"/>
  <c r="B271" i="138"/>
  <c r="B258" i="138"/>
  <c r="B242" i="138"/>
  <c r="B239" i="138"/>
  <c r="B210" i="138"/>
  <c r="B207" i="138"/>
  <c r="B194" i="138"/>
  <c r="B182" i="138"/>
  <c r="B150" i="138"/>
  <c r="B112" i="138"/>
  <c r="B92" i="138"/>
  <c r="B135" i="138"/>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4" i="137"/>
  <c r="C54" i="137"/>
  <c r="B55" i="137"/>
  <c r="C55" i="137"/>
  <c r="B56" i="137"/>
  <c r="C56" i="137"/>
  <c r="B57" i="137"/>
  <c r="C57"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9" i="137"/>
  <c r="C49" i="137"/>
  <c r="B50" i="137"/>
  <c r="C50"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40" i="137"/>
  <c r="C40" i="137"/>
  <c r="L35" i="108"/>
  <c r="A40" i="107"/>
  <c r="B41" i="137"/>
  <c r="C41" i="137"/>
  <c r="B42" i="137"/>
  <c r="C42"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J17" i="178"/>
  <c r="K17" i="178"/>
  <c r="L17" i="178"/>
  <c r="M17" i="178"/>
  <c r="N17" i="178"/>
  <c r="C9" i="177"/>
  <c r="C11" i="177"/>
  <c r="C12" i="177"/>
  <c r="C13" i="177"/>
  <c r="C14" i="177"/>
  <c r="I8" i="176"/>
  <c r="C8" i="177" s="1"/>
  <c r="A42" i="107"/>
  <c r="A34" i="107"/>
  <c r="B17" i="179"/>
  <c r="B15" i="179"/>
  <c r="B13" i="179"/>
  <c r="B12" i="179"/>
  <c r="B9" i="179"/>
  <c r="B8" i="179"/>
  <c r="B4" i="179"/>
  <c r="B17" i="178"/>
  <c r="I17" i="178" s="1"/>
  <c r="S27" i="178" s="1" a="1"/>
  <c r="S27" i="178" s="1"/>
  <c r="B31" i="179" s="1"/>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9" i="137"/>
  <c r="C59"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2" i="137"/>
  <c r="C62" i="137"/>
  <c r="A102" i="107"/>
  <c r="C18" i="175"/>
  <c r="B18" i="175"/>
  <c r="C17" i="175"/>
  <c r="B17" i="175"/>
  <c r="C16" i="175"/>
  <c r="B16" i="175"/>
  <c r="C15" i="175"/>
  <c r="J15" i="175" s="1"/>
  <c r="B15" i="175"/>
  <c r="B14" i="175"/>
  <c r="E7" i="175"/>
  <c r="B87" i="158" s="1"/>
  <c r="E3" i="175"/>
  <c r="E6" i="175" s="1"/>
  <c r="B86" i="158" s="1"/>
  <c r="Q64" i="157"/>
  <c r="S64" i="157" s="1" a="1"/>
  <c r="S64" i="157" s="1"/>
  <c r="B69" i="158" s="1"/>
  <c r="R64" i="157"/>
  <c r="Q65" i="157"/>
  <c r="R65" i="157"/>
  <c r="Q66" i="157"/>
  <c r="S66" i="157" s="1" a="1"/>
  <c r="S66" i="157" s="1"/>
  <c r="B71" i="158" s="1"/>
  <c r="R66" i="157"/>
  <c r="Q67" i="157"/>
  <c r="R67" i="157"/>
  <c r="Q68" i="157"/>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s="1"/>
  <c r="B58" i="158" s="1"/>
  <c r="Q54" i="157"/>
  <c r="S54" i="157" s="1" a="1"/>
  <c r="S54" i="157" s="1"/>
  <c r="B59" i="158" s="1"/>
  <c r="R54" i="157"/>
  <c r="Q55" i="157"/>
  <c r="R55" i="157"/>
  <c r="S55" i="157" a="1"/>
  <c r="S55" i="157" s="1"/>
  <c r="B60" i="158" s="1"/>
  <c r="Q56" i="157"/>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s="1"/>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33" i="158" s="1"/>
  <c r="R28" i="157"/>
  <c r="Q29" i="157"/>
  <c r="R29" i="157"/>
  <c r="Q30" i="157"/>
  <c r="R30" i="157"/>
  <c r="Q31" i="157"/>
  <c r="R31" i="157"/>
  <c r="Q32" i="157"/>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s="1"/>
  <c r="B52" i="158" s="1"/>
  <c r="Q16" i="157"/>
  <c r="S16" i="157" s="1" a="1"/>
  <c r="S16" i="157" s="1"/>
  <c r="B21" i="158" s="1"/>
  <c r="R16" i="157"/>
  <c r="Q17" i="157"/>
  <c r="R17" i="157"/>
  <c r="S17" i="157" a="1"/>
  <c r="S17" i="157" s="1"/>
  <c r="B22" i="158" s="1"/>
  <c r="J16" i="157"/>
  <c r="K16" i="157"/>
  <c r="L16" i="157"/>
  <c r="M16" i="157"/>
  <c r="N16" i="157"/>
  <c r="J17" i="157"/>
  <c r="K17" i="157"/>
  <c r="S29" i="157" s="1" a="1"/>
  <c r="S29" i="157" s="1"/>
  <c r="B34" i="158" s="1"/>
  <c r="L17" i="157"/>
  <c r="M17" i="157"/>
  <c r="S31" i="157" s="1" a="1"/>
  <c r="S31" i="157" s="1"/>
  <c r="B36" i="158" s="1"/>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7" i="137"/>
  <c r="C47"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5" i="137"/>
  <c r="C35" i="137"/>
  <c r="B34" i="137"/>
  <c r="C34"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8" i="137"/>
  <c r="C58" i="137"/>
  <c r="B60" i="137"/>
  <c r="C60" i="137"/>
  <c r="B61" i="137"/>
  <c r="C61" i="137"/>
  <c r="B16" i="137"/>
  <c r="C16" i="137"/>
  <c r="B17" i="137"/>
  <c r="C17" i="137"/>
  <c r="B19" i="137"/>
  <c r="C19" i="137"/>
  <c r="B20" i="137"/>
  <c r="C20" i="137"/>
  <c r="B21" i="137"/>
  <c r="C21" i="137"/>
  <c r="B23" i="137"/>
  <c r="C23" i="137"/>
  <c r="B24" i="137"/>
  <c r="C24" i="137"/>
  <c r="B25" i="137"/>
  <c r="C25" i="137"/>
  <c r="B26" i="137"/>
  <c r="C26" i="137"/>
  <c r="B27" i="137"/>
  <c r="C27" i="137"/>
  <c r="B28" i="137"/>
  <c r="C28" i="137"/>
  <c r="B29" i="137"/>
  <c r="C29" i="137"/>
  <c r="B30" i="137"/>
  <c r="C30" i="137"/>
  <c r="B31" i="137"/>
  <c r="C31" i="137"/>
  <c r="B32" i="137"/>
  <c r="C32" i="137"/>
  <c r="B33" i="137"/>
  <c r="C33" i="137"/>
  <c r="B36" i="137"/>
  <c r="C36" i="137"/>
  <c r="B37" i="137"/>
  <c r="C37" i="137"/>
  <c r="B38" i="137"/>
  <c r="C38" i="137"/>
  <c r="B39" i="137"/>
  <c r="C39" i="137"/>
  <c r="B43" i="137"/>
  <c r="C43" i="137"/>
  <c r="B44" i="137"/>
  <c r="C44" i="137"/>
  <c r="B45" i="137"/>
  <c r="C45" i="137"/>
  <c r="B46" i="137"/>
  <c r="C46" i="137"/>
  <c r="B48" i="137"/>
  <c r="C48" i="137"/>
  <c r="B51" i="137"/>
  <c r="C51" i="137"/>
  <c r="B52" i="137"/>
  <c r="C52" i="137"/>
  <c r="B53" i="137"/>
  <c r="C53"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6" i="141"/>
  <c r="C16" i="141"/>
  <c r="J16" i="141" s="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C15" i="141"/>
  <c r="I55" i="12"/>
  <c r="I56" i="12"/>
  <c r="I57" i="12"/>
  <c r="I58" i="12"/>
  <c r="I59" i="12"/>
  <c r="I60" i="12"/>
  <c r="I61" i="12"/>
  <c r="B55" i="12"/>
  <c r="B56" i="12"/>
  <c r="B57" i="12"/>
  <c r="B58" i="12"/>
  <c r="B60" i="12"/>
  <c r="B61" i="12"/>
  <c r="I54" i="12"/>
  <c r="S68" i="157" l="1" a="1"/>
  <c r="S68" i="157" s="1"/>
  <c r="B73" i="158" s="1"/>
  <c r="S67" i="157" a="1"/>
  <c r="S67" i="157" s="1"/>
  <c r="B72" i="158" s="1"/>
  <c r="S65" i="157" a="1"/>
  <c r="S65" i="157" s="1"/>
  <c r="B70" i="158" s="1"/>
  <c r="I15" i="175"/>
  <c r="S15" i="175" s="1" a="1"/>
  <c r="S15" i="175" s="1"/>
  <c r="B89" i="158" s="1"/>
  <c r="S32" i="157" a="1"/>
  <c r="S32" i="157" s="1"/>
  <c r="B37" i="158" s="1"/>
  <c r="S30" i="157" a="1"/>
  <c r="S30" i="157" s="1"/>
  <c r="B35" i="158" s="1"/>
  <c r="S38" i="157" a="1"/>
  <c r="S38" i="157" s="1"/>
  <c r="B43" i="158" s="1"/>
  <c r="S56" i="157" a="1"/>
  <c r="S56" i="157" s="1"/>
  <c r="B61" i="158" s="1"/>
  <c r="I17" i="186"/>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0" i="177" s="1"/>
  <c r="C15" i="178"/>
  <c r="J15" i="178" s="1"/>
  <c r="S15" i="178" a="1"/>
  <c r="S15" i="178" s="1"/>
  <c r="B19" i="179" s="1"/>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15" i="141"/>
  <c r="B14" i="141"/>
  <c r="B18" i="143"/>
  <c r="B17" i="143"/>
  <c r="B15" i="143"/>
  <c r="B14" i="143"/>
  <c r="B13" i="143"/>
  <c r="B12" i="143"/>
  <c r="B9" i="143"/>
  <c r="B8" i="143"/>
  <c r="B4" i="143"/>
  <c r="N16" i="141"/>
  <c r="R15" i="141"/>
  <c r="Q15" i="141"/>
  <c r="N15" i="141"/>
  <c r="M15" i="141"/>
  <c r="L15" i="141"/>
  <c r="B13" i="138"/>
  <c r="B12" i="138"/>
  <c r="B9" i="138"/>
  <c r="L15" i="137"/>
  <c r="M15" i="137"/>
  <c r="B18" i="138"/>
  <c r="B17" i="138"/>
  <c r="B14" i="138"/>
  <c r="B15" i="138"/>
  <c r="B4" i="138"/>
  <c r="B8" i="138"/>
  <c r="N15" i="137"/>
  <c r="J15" i="137"/>
  <c r="B15" i="137"/>
  <c r="I15" i="137" s="1"/>
  <c r="I19" i="157" l="1"/>
  <c r="S39" i="157" s="1" a="1"/>
  <c r="S39" i="157" s="1"/>
  <c r="B44" i="158" s="1"/>
  <c r="I23" i="157"/>
  <c r="S63" i="157" s="1" a="1"/>
  <c r="S63" i="157" s="1"/>
  <c r="B68" i="158" s="1"/>
  <c r="I24" i="157"/>
  <c r="S69" i="157" s="1" a="1"/>
  <c r="S69" i="157" s="1"/>
  <c r="B74" i="158" s="1"/>
  <c r="I20" i="157"/>
  <c r="S45" i="157" s="1" a="1"/>
  <c r="S45" i="157" s="1"/>
  <c r="B50" i="158" s="1"/>
  <c r="I18" i="157"/>
  <c r="S33" i="157" s="1" a="1"/>
  <c r="S33" i="157" s="1"/>
  <c r="B38" i="158" s="1"/>
  <c r="I22" i="157"/>
  <c r="S57" i="157" s="1" a="1"/>
  <c r="S57" i="157" s="1"/>
  <c r="B62" i="158" s="1"/>
  <c r="I17" i="157"/>
  <c r="S27" i="157" s="1" a="1"/>
  <c r="S27" i="157" s="1"/>
  <c r="B32" i="158" s="1"/>
  <c r="I21" i="157"/>
  <c r="S51" i="157" s="1" a="1"/>
  <c r="S51" i="157" s="1"/>
  <c r="B56" i="158" s="1"/>
  <c r="I16" i="157"/>
  <c r="S21" i="157" s="1" a="1"/>
  <c r="S21" i="157" s="1"/>
  <c r="B26" i="158"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9" i="108" l="1"/>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<sst xmlns="http://schemas.openxmlformats.org/spreadsheetml/2006/main" count="3250" uniqueCount="1342">
  <si>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</si>
  <si>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</si>
  <si>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</si>
  <si>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</si>
  <si>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</si>
  <si>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</si>
  <si>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</si>
  <si>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</si>
  <si>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</si>
  <si>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</si>
  <si>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</si>
  <si>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</si>
  <si>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</si>
  <si>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</si>
  <si>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</si>
  <si>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</si>
  <si>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</si>
  <si>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</si>
  <si>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</si>
  <si>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</si>
  <si>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</si>
  <si>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</si>
  <si>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</si>
  <si>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</si>
  <si>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</si>
  <si>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</si>
  <si>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</si>
  <si>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</si>
  <si>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</si>
  <si>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</si>
  <si>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</si>
  <si>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</si>
  <si>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</si>
  <si>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</si>
  <si>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</si>
  <si>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</si>
  <si>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</si>
  <si>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</si>
  <si>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</si>
  <si>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</si>
  <si>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</si>
  <si>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</si>
  <si>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</si>
  <si>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</si>
  <si>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</si>
  <si>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</si>
  <si>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</si>
  <si>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</si>
  <si>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</si>
  <si>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</si>
  <si>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</si>
  <si>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</si>
  <si>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</si>
  <si>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</si>
  <si>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</si>
  <si>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</si>
  <si>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</si>
  <si>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</si>
  <si>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</si>
  <si>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</si>
  <si>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</si>
  <si>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</si>
  <si>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</si>
  <si>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</si>
  <si>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</si>
  <si>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</si>
  <si>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</si>
  <si>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</si>
  <si>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</si>
  <si>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</si>
  <si>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</si>
  <si>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</si>
  <si>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</si>
  <si>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</si>
  <si>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</si>
  <si>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</si>
  <si>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</si>
  <si>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</si>
  <si>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</si>
  <si>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</si>
  <si>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</si>
  <si>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</si>
  <si>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</si>
  <si>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</si>
  <si>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</si>
  <si>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</si>
  <si>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</si>
  <si>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</si>
  <si>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</si>
  <si>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</si>
  <si>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</si>
  <si>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</si>
  <si>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</si>
  <si>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</si>
  <si>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</si>
  <si>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</si>
  <si>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</si>
  <si>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</si>
  <si>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</si>
  <si>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</si>
  <si>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</si>
  <si>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</si>
  <si>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</si>
  <si>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</si>
  <si>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</si>
  <si>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</si>
  <si>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</si>
  <si>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</si>
  <si>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</si>
  <si>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</si>
  <si>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</si>
  <si>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</si>
  <si>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</si>
  <si>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</si>
  <si>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</si>
  <si>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</si>
  <si>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</si>
  <si>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</si>
  <si>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</si>
  <si>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</si>
  <si>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</si>
  <si>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</si>
  <si>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</si>
  <si>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</si>
  <si>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</si>
  <si>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</si>
  <si>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</si>
  <si>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</si>
  <si>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</si>
  <si>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</si>
  <si>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</si>
  <si>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</si>
  <si>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</si>
  <si>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</si>
  <si>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</si>
  <si>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</si>
  <si>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</si>
  <si>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</si>
  <si>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</si>
  <si>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</si>
  <si>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</si>
  <si>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</si>
  <si>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</si>
  <si>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</si>
  <si>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</si>
  <si>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</si>
  <si>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</si>
  <si>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</si>
  <si>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</si>
  <si>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</si>
  <si>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</si>
  <si>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</si>
  <si>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</si>
  <si>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</si>
  <si>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</si>
  <si>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</si>
  <si>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</si>
  <si>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</si>
  <si>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</si>
  <si>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</si>
  <si>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</si>
  <si>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</si>
  <si>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</si>
  <si>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</si>
  <si>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</si>
  <si>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</si>
  <si>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</si>
  <si>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</si>
  <si>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</si>
  <si>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</si>
  <si>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</si>
  <si>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</si>
  <si>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</si>
  <si>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</si>
  <si>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</si>
  <si>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</si>
  <si>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</si>
  <si>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</si>
  <si>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</si>
  <si>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</si>
  <si>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</si>
  <si>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</si>
  <si>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</si>
  <si>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</si>
  <si>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</si>
  <si>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</si>
  <si>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</si>
  <si>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</si>
  <si>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</si>
  <si>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</si>
  <si>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</si>
  <si>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</si>
  <si>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</si>
  <si>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</si>
  <si>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</si>
  <si>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</si>
  <si>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</si>
  <si>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</si>
  <si>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</si>
  <si>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</si>
  <si>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</si>
  <si>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</si>
  <si>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</si>
  <si>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</si>
  <si>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</si>
  <si>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</si>
  <si>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</si>
  <si>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</si>
  <si>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</si>
  <si>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</si>
  <si>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</si>
  <si>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</si>
  <si>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</si>
  <si>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</si>
  <si>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</si>
  <si>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</si>
  <si>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</si>
  <si>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</si>
  <si>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</si>
  <si>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</si>
  <si>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</si>
  <si>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</si>
  <si>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</si>
  <si>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</si>
  <si>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</si>
  <si>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</si>
  <si>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</si>
  <si>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</si>
  <si>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</si>
  <si>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</si>
  <si>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</si>
  <si>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</si>
  <si>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</si>
  <si>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</si>
  <si>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</si>
  <si>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</si>
  <si>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</si>
  <si>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</si>
  <si>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</si>
  <si>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</si>
  <si>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</si>
  <si>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</si>
  <si>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</si>
  <si>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</si>
  <si>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</si>
  <si>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</si>
  <si>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</si>
  <si>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</si>
  <si>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</si>
  <si>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</si>
  <si>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</si>
  <si>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</si>
  <si>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</si>
  <si>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</si>
  <si>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</si>
  <si>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</si>
  <si>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</si>
  <si>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</si>
  <si>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</si>
  <si>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</si>
  <si>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</si>
  <si>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</si>
  <si>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</si>
  <si>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</si>
  <si>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</si>
  <si>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</si>
  <si>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</si>
  <si>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</si>
  <si>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</si>
  <si>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</si>
  <si>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</si>
  <si>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</si>
  <si>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</si>
  <si>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</si>
  <si>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</si>
  <si>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</si>
  <si>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</si>
  <si>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</si>
  <si>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</si>
  <si>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</si>
  <si>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</si>
  <si>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</si>
  <si>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</si>
  <si>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</si>
  <si>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</si>
  <si>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</si>
  <si>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</si>
  <si>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</si>
  <si>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</si>
  <si>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</si>
  <si>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</si>
  <si>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</si>
  <si>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</si>
  <si>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</si>
  <si>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</si>
  <si>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</si>
  <si>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</si>
  <si>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</si>
  <si>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</si>
  <si>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</si>
  <si>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</si>
  <si>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</si>
  <si>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</si>
  <si>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</si>
  <si>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</si>
  <si>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</si>
  <si>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</si>
  <si>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</si>
  <si>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</si>
  <si>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</si>
  <si>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</si>
  <si>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</si>
  <si>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</si>
  <si>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</si>
  <si>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</si>
  <si>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</si>
  <si>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</si>
  <si>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</si>
  <si>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</si>
  <si>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</si>
  <si>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</si>
  <si>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</si>
  <si>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</si>
  <si>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</si>
  <si>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</si>
  <si>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</si>
  <si>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</si>
  <si>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</si>
  <si>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</si>
  <si>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</si>
  <si>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</si>
  <si>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</si>
  <si>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</si>
  <si>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</si>
  <si>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</si>
  <si>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</si>
  <si>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</si>
  <si>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</si>
  <si>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</si>
  <si>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</si>
  <si>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</si>
  <si>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</si>
  <si>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</si>
  <si>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</si>
  <si>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</si>
  <si>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</si>
  <si>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</si>
  <si>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</si>
  <si>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</si>
  <si>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</si>
  <si>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</si>
  <si>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</si>
  <si>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</si>
  <si>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</si>
  <si>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</si>
  <si>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</si>
  <si>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</si>
  <si>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</si>
  <si>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</si>
  <si>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</si>
  <si>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</si>
  <si>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</si>
  <si>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</si>
  <si>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</si>
  <si>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</si>
  <si>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</si>
  <si>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</si>
  <si>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</si>
  <si>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</si>
  <si>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</si>
  <si>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</si>
  <si>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</si>
  <si>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</si>
  <si>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</si>
  <si>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</si>
  <si>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</si>
  <si>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</si>
  <si>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</si>
  <si>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</si>
  <si>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</si>
  <si>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</si>
  <si>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</si>
  <si>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</si>
  <si>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</si>
  <si>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</si>
  <si>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</si>
  <si>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</si>
  <si>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</si>
  <si>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</si>
  <si>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</si>
  <si>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</si>
  <si>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</si>
  <si>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</si>
  <si>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</si>
  <si>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</si>
  <si>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</si>
  <si>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</si>
  <si>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</si>
  <si>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</si>
  <si>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</si>
  <si>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</si>
  <si>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</si>
  <si>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</si>
  <si>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</si>
  <si>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</si>
  <si>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</si>
  <si>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</si>
  <si>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</si>
  <si>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</si>
  <si>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</si>
  <si>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</si>
  <si>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</si>
  <si>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</si>
  <si>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</si>
  <si>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</si>
  <si>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</si>
  <si>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</si>
  <si>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</si>
  <si>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</si>
  <si>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</si>
  <si>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</si>
  <si>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</si>
  <si>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</si>
  <si>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</si>
  <si>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</si>
  <si>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</si>
  <si>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</si>
  <si>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</si>
  <si>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</si>
  <si>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</si>
  <si>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</si>
  <si>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</si>
  <si>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</si>
  <si>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</si>
  <si>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</si>
  <si>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</si>
  <si>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</si>
  <si>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</si>
  <si>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</si>
  <si>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</si>
  <si>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</si>
  <si>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</si>
  <si>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</si>
  <si>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</si>
  <si>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</si>
  <si>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</si>
  <si>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</si>
  <si>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</si>
  <si>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</si>
  <si>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</si>
  <si>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</si>
  <si>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</si>
  <si>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</si>
  <si>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</si>
  <si>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</si>
  <si>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</si>
  <si>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</si>
  <si>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</si>
  <si>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</si>
  <si>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</si>
  <si>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</si>
  <si>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</si>
  <si>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</si>
  <si>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</si>
  <si>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</si>
  <si>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</si>
  <si>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</si>
  <si>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</si>
  <si>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</si>
  <si>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</si>
  <si>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</si>
  <si>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</si>
  <si>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</si>
  <si>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</si>
  <si>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</si>
  <si>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</si>
  <si>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</si>
  <si>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</si>
  <si>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</si>
  <si>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</si>
  <si>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</si>
  <si>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</si>
  <si>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</si>
  <si>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</si>
  <si>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</si>
  <si>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</si>
  <si>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</si>
  <si>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</si>
  <si>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</si>
  <si>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</si>
  <si>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</si>
  <si>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</si>
  <si>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</si>
  <si>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</si>
  <si>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</si>
  <si>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</si>
  <si>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</si>
  <si>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</si>
  <si>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</si>
  <si>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</si>
  <si>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</si>
  <si>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</si>
  <si>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</si>
  <si>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</si>
  <si>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</si>
  <si>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</si>
  <si>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</si>
  <si>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</si>
  <si>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</si>
  <si>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</si>
  <si>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</si>
  <si>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</si>
  <si>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</si>
  <si>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</si>
  <si>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</si>
  <si>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</si>
  <si>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</si>
  <si>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</si>
  <si>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</si>
  <si>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</si>
  <si>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</si>
  <si>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</si>
  <si>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</si>
  <si>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</si>
  <si>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</si>
  <si>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</si>
  <si>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</si>
  <si>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</si>
  <si>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</si>
  <si>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</si>
  <si>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</si>
  <si>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</si>
  <si>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</si>
  <si>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</si>
  <si>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</si>
  <si>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</si>
  <si>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</si>
  <si>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</si>
  <si>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</si>
  <si>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</si>
  <si>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</si>
  <si>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</si>
  <si>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</si>
  <si>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</si>
  <si>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</si>
  <si>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</si>
  <si>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</si>
  <si>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</si>
  <si>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</si>
  <si>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</si>
  <si>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</si>
  <si>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</si>
  <si>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</si>
  <si>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</si>
  <si>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</si>
  <si>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</si>
  <si>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</si>
  <si>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</si>
  <si>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</si>
  <si>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</si>
  <si>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</si>
  <si>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</si>
  <si>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</si>
  <si>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</si>
  <si>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</si>
  <si>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</si>
  <si>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</si>
  <si>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</si>
  <si>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</si>
  <si>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</si>
  <si>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</si>
  <si>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</si>
  <si>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</si>
  <si>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</si>
  <si>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</si>
  <si>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</si>
  <si>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</si>
  <si>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</si>
  <si>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</si>
  <si>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</si>
  <si>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</si>
  <si>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</si>
  <si>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</si>
  <si>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</si>
  <si>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</si>
  <si>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</si>
  <si>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</si>
  <si>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</si>
  <si>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</si>
  <si>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</si>
  <si>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</si>
  <si>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</si>
  <si>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</si>
  <si>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</si>
  <si>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</si>
  <si>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</si>
  <si>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</si>
  <si>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</si>
  <si>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</si>
  <si>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</si>
  <si>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</si>
  <si>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</si>
  <si>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</si>
  <si>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</si>
  <si>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</si>
  <si>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</si>
  <si>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</si>
  <si>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</si>
  <si>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</si>
  <si>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</si>
  <si>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</si>
  <si>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</si>
  <si>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</si>
  <si>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</si>
  <si>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</si>
  <si>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</si>
  <si>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</si>
  <si>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</si>
  <si>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</si>
  <si>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</si>
  <si>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</si>
  <si>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</si>
  <si>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</si>
  <si>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</si>
  <si>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</si>
  <si>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</si>
  <si>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</si>
  <si>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</si>
  <si>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</si>
  <si>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</si>
  <si>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</si>
  <si>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</si>
  <si>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</si>
  <si>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</si>
  <si>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</si>
  <si>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</si>
  <si>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</si>
  <si>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</si>
  <si>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</si>
  <si>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</si>
  <si>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</si>
  <si>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</si>
  <si>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</si>
  <si>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</si>
  <si>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</si>
  <si>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</si>
  <si>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</si>
  <si>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</si>
  <si>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</si>
  <si>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</si>
  <si>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</si>
  <si>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</si>
  <si>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</si>
  <si>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</si>
  <si>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</si>
  <si>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</si>
  <si>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</si>
  <si>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</si>
  <si>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</si>
  <si>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</si>
  <si>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</si>
  <si>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</si>
  <si>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</si>
  <si>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</si>
  <si>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</si>
  <si>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</si>
  <si>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</si>
  <si>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</si>
  <si>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</si>
  <si>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</si>
  <si>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</si>
  <si>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</si>
  <si>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</si>
  <si>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</si>
  <si>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</si>
  <si>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</si>
  <si>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</si>
  <si>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</si>
  <si>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</si>
  <si>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</si>
  <si>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</si>
  <si>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</si>
  <si>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</si>
  <si>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</si>
  <si>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</si>
  <si>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</si>
  <si>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</si>
  <si>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</si>
  <si>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</si>
  <si>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</si>
  <si>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</si>
  <si>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</si>
  <si>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</si>
  <si>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</si>
  <si>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</si>
  <si>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</si>
  <si>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</si>
  <si>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</si>
  <si>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</si>
  <si>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</si>
  <si>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</si>
  <si>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</si>
  <si>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</si>
  <si>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</si>
  <si>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</si>
  <si>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</si>
  <si>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</si>
  <si>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</si>
  <si>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</si>
  <si>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</si>
  <si>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</si>
  <si>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</si>
  <si>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</si>
  <si>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</si>
  <si>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</si>
  <si>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</si>
  <si>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</si>
  <si>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</si>
  <si>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</si>
  <si>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</si>
  <si>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</si>
  <si>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</si>
  <si>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</si>
  <si>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</si>
  <si>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</si>
  <si>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</si>
  <si>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</si>
  <si>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</si>
  <si>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</si>
  <si>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</si>
  <si>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</si>
  <si>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</si>
  <si>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</si>
  <si>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</si>
  <si>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</si>
  <si>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</si>
  <si>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</si>
  <si>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</si>
  <si>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</si>
  <si>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</si>
  <si>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</si>
  <si>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</si>
  <si>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</si>
  <si>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</si>
  <si>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</si>
  <si>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</si>
  <si>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</si>
  <si>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</si>
  <si>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</si>
  <si>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</si>
  <si>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</si>
  <si>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</si>
  <si>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</si>
  <si>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</si>
  <si>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</si>
  <si>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</si>
  <si>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</si>
  <si>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</si>
  <si>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</si>
  <si>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</si>
  <si>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</si>
  <si>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</si>
  <si>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</si>
  <si>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</si>
  <si>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</si>
  <si>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</si>
  <si>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</si>
  <si>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</si>
  <si>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</si>
  <si>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</si>
  <si>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</si>
  <si>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</si>
  <si>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</si>
  <si>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</si>
  <si>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</si>
  <si>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</si>
  <si>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</si>
  <si>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</si>
  <si>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</si>
  <si>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</si>
  <si>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</si>
  <si>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</si>
  <si>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</si>
  <si>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</si>
  <si>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</si>
  <si>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</si>
  <si>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</si>
  <si>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</si>
  <si>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</si>
  <si>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</si>
  <si>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</si>
  <si>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</si>
  <si>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</si>
  <si>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</si>
  <si>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</si>
  <si>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</si>
  <si>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</si>
  <si>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</si>
  <si>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</si>
  <si>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</si>
  <si>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</si>
  <si>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</si>
  <si>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</si>
  <si>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</si>
  <si>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</si>
  <si>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</si>
  <si>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</si>
  <si>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</si>
  <si>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</si>
  <si>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</si>
  <si>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</si>
  <si>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</si>
  <si>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</si>
  <si>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</si>
  <si>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</si>
  <si>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</si>
  <si>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</si>
  <si>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</si>
  <si>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</si>
  <si>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</si>
  <si>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</si>
  <si>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</si>
  <si>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</si>
  <si>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</si>
  <si>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</si>
  <si>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</si>
  <si>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</si>
  <si>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</si>
  <si>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</si>
  <si>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</si>
  <si>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</si>
  <si>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</si>
  <si>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</si>
  <si>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</si>
  <si>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</si>
  <si>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</si>
  <si>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</si>
  <si>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</si>
  <si>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</si>
  <si>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</si>
  <si>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</si>
  <si>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</si>
  <si>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</si>
  <si>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</si>
  <si>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</si>
  <si>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</si>
  <si>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</si>
  <si>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</si>
  <si>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</si>
  <si>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</si>
  <si>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</si>
  <si>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</si>
  <si>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</si>
  <si>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</si>
  <si>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</si>
  <si>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</si>
  <si>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</si>
  <si>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</si>
  <si>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</si>
  <si>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</si>
  <si>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</si>
  <si>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</si>
  <si>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</si>
  <si>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</si>
  <si>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</si>
  <si>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</si>
  <si>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</si>
  <si>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</si>
  <si>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</si>
  <si>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</si>
  <si>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</si>
  <si>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</si>
  <si>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</si>
  <si>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</si>
  <si>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</si>
  <si>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</si>
  <si>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</si>
  <si>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</si>
  <si>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</si>
  <si>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</si>
  <si>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</si>
  <si>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</si>
  <si>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</si>
  <si>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</si>
  <si>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</si>
  <si>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</si>
  <si>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</si>
  <si>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</si>
  <si>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</si>
  <si>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</si>
  <si>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</si>
  <si>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</si>
  <si>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</si>
  <si>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</si>
  <si>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</si>
  <si>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</si>
  <si>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</si>
  <si>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</si>
  <si>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</si>
  <si>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</si>
  <si>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</si>
  <si>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</si>
  <si>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</si>
  <si>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</si>
  <si>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</si>
  <si>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</si>
  <si>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</si>
  <si>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</si>
  <si>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</si>
  <si>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</si>
  <si>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</si>
  <si>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</si>
  <si>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</si>
  <si>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</si>
  <si>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</si>
  <si>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</si>
  <si>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</si>
  <si>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</si>
  <si>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</si>
  <si>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</si>
  <si>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</si>
  <si>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</si>
  <si>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</si>
  <si>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</si>
  <si>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</si>
  <si>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</si>
  <si>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</si>
  <si>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</si>
  <si>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</si>
  <si>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</si>
  <si>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</si>
  <si>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</si>
  <si>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</si>
  <si>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</si>
  <si>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</si>
  <si>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</si>
  <si>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</si>
  <si>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</si>
  <si>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</si>
  <si>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</si>
  <si>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</si>
  <si>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</si>
  <si>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</si>
  <si>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</si>
  <si>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</si>
  <si>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</si>
  <si>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</si>
  <si>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</si>
  <si>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</si>
  <si>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</si>
  <si>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</si>
  <si>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</si>
  <si>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</si>
  <si>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</si>
  <si>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</si>
  <si>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</si>
  <si>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</si>
  <si>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</si>
  <si>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</si>
  <si>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</si>
  <si>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</si>
  <si>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</si>
  <si>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</si>
  <si>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</si>
  <si>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</si>
  <si>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</si>
  <si>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</si>
  <si>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</si>
  <si>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</si>
  <si>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</si>
  <si>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</si>
  <si>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</si>
  <si>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</si>
  <si>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</si>
  <si>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</si>
  <si>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</si>
  <si>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</si>
  <si>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</si>
  <si>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</si>
  <si>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</si>
  <si>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</si>
  <si>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</si>
  <si>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</si>
  <si>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</si>
  <si>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</si>
  <si>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</si>
  <si>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</si>
  <si>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</si>
  <si>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</si>
  <si>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</si>
  <si>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</si>
  <si>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</si>
  <si>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</si>
  <si>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</si>
  <si>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</si>
  <si>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</si>
  <si>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</si>
  <si>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</si>
  <si>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</si>
  <si>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</si>
  <si>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</si>
  <si>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</si>
  <si>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</si>
  <si>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</si>
  <si>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</si>
  <si>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</si>
  <si>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</si>
  <si>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</si>
  <si>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</si>
  <si>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</si>
  <si>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</si>
  <si>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</si>
  <si>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</si>
  <si>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</si>
  <si>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</si>
  <si>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</si>
  <si>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</si>
  <si>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</si>
  <si>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</si>
  <si>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</si>
  <si>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</si>
  <si>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</si>
  <si>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</si>
  <si>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</si>
  <si>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</si>
  <si>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</si>
  <si>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</si>
  <si>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</si>
  <si>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</si>
  <si>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</si>
  <si>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</si>
  <si>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</si>
  <si>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</si>
  <si>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</si>
  <si>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</si>
  <si>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</si>
  <si>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</si>
  <si>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</si>
  <si>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</si>
  <si>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</si>
  <si>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</si>
  <si>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</si>
  <si>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</si>
  <si>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</si>
  <si>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</si>
  <si>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</si>
  <si>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</si>
  <si>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</si>
  <si>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</si>
  <si>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</si>
  <si>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</si>
  <si>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</si>
  <si>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</si>
  <si>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</si>
  <si>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</si>
  <si>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</si>
  <si>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</si>
  <si>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</si>
  <si>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</si>
  <si>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</si>
  <si>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</si>
  <si>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</si>
  <si>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</si>
  <si>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</si>
  <si>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</si>
  <si>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</si>
  <si>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</si>
  <si>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</si>
  <si>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</si>
  <si>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</si>
  <si>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dosage</t>
  </si>
  <si>
    <t>effectivePeriod.start</t>
  </si>
  <si>
    <t>medicine-to-fhir-map.fsh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</si>
  <si>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</si>
  <si>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</si>
  <si>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</si>
  <si>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</si>
  <si>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</si>
  <si>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</si>
  <si>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</si>
  <si>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</si>
  <si>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</si>
  <si>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</si>
  <si>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</si>
  <si>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</si>
  <si>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</si>
  <si>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</si>
  <si>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</si>
  <si>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</si>
  <si>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</si>
  <si>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</si>
  <si>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</si>
  <si>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</si>
  <si>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</si>
  <si>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</si>
  <si>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</si>
  <si>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</si>
  <si>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</si>
  <si>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</si>
  <si>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</si>
  <si>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</si>
  <si>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</si>
  <si>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</si>
  <si>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</si>
  <si>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</si>
  <si>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</si>
  <si>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</si>
  <si>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</si>
  <si>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</si>
  <si>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</si>
  <si>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</si>
  <si>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</si>
  <si>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</si>
  <si>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</si>
  <si>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</si>
  <si>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</si>
  <si>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</si>
  <si>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</si>
  <si>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</si>
  <si>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</si>
  <si>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</si>
  <si>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</si>
  <si>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</si>
  <si>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</si>
  <si>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</si>
  <si>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</si>
  <si>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</si>
  <si>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</si>
  <si>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</si>
  <si>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</si>
  <si>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</si>
  <si>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</si>
  <si>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</si>
  <si>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</si>
  <si>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</si>
  <si>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</si>
  <si>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</si>
  <si>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</si>
  <si>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</si>
  <si>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</si>
  <si>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</si>
  <si>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</si>
  <si>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</si>
  <si>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</si>
  <si>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</si>
  <si>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</si>
  <si>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</si>
  <si>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</si>
  <si>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</si>
  <si>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</si>
  <si>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</si>
  <si>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</si>
  <si>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</si>
  <si>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</si>
  <si>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</si>
  <si>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</si>
  <si>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</si>
  <si>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</si>
  <si>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</si>
  <si>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</si>
  <si>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</si>
  <si>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</si>
  <si>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</si>
  <si>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</si>
  <si>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</si>
  <si>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</si>
  <si>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</si>
  <si>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</si>
  <si>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</si>
  <si>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</si>
  <si>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</si>
  <si>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</si>
  <si>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</si>
  <si>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</si>
  <si>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</si>
  <si>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</si>
  <si>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</si>
  <si>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</si>
  <si>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</si>
  <si>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</si>
  <si>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</si>
  <si>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</si>
  <si>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</si>
  <si>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</si>
  <si>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</si>
  <si>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</si>
  <si>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</si>
  <si>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</si>
  <si>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</si>
  <si>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</si>
  <si>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</si>
  <si>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</si>
  <si>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</si>
  <si>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</si>
  <si>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</si>
  <si>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</si>
  <si>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</si>
  <si>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</si>
  <si>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</si>
  <si>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</si>
  <si>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</si>
  <si>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</si>
  <si>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</si>
  <si>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</si>
  <si>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</si>
  <si>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</si>
  <si>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</si>
  <si>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</si>
  <si>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</si>
  <si>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</si>
  <si>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</si>
  <si>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</si>
  <si>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</si>
  <si>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</si>
  <si>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</si>
  <si>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</si>
  <si>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</si>
  <si>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</si>
  <si>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</si>
  <si>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</si>
  <si>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</si>
  <si>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</si>
  <si>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</si>
  <si>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</si>
  <si>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</si>
  <si>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</si>
  <si>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</si>
  <si>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</si>
  <si>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</si>
  <si>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</si>
  <si>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</si>
  <si>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</si>
  <si>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</si>
  <si>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</si>
  <si>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</si>
  <si>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</si>
  <si>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</si>
  <si>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</si>
  <si>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</si>
  <si>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</si>
  <si>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</si>
  <si>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</si>
  <si>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</si>
  <si>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</si>
  <si>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</si>
  <si>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</si>
  <si>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</si>
  <si>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</si>
  <si>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</si>
  <si>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</si>
  <si>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</si>
  <si>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</si>
  <si>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</si>
  <si>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</si>
  <si>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</si>
  <si>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</si>
  <si>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</si>
  <si>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</si>
  <si>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</si>
  <si>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</si>
  <si>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</si>
  <si>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</si>
  <si>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</si>
  <si>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</si>
  <si>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</si>
  <si>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</si>
  <si>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</si>
  <si>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</si>
  <si>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</si>
  <si>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</si>
  <si>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</si>
  <si>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</si>
  <si>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</si>
  <si>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</si>
  <si>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</si>
  <si>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</si>
  <si>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</si>
  <si>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</si>
  <si>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</si>
  <si>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</si>
  <si>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</si>
  <si>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</si>
  <si>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</si>
  <si>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</si>
  <si>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</si>
  <si>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</si>
  <si>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</si>
  <si>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</si>
  <si>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</si>
  <si>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</si>
  <si>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</si>
  <si>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</si>
  <si>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</si>
  <si>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</si>
  <si>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</si>
  <si>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</si>
  <si>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</si>
  <si>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</si>
  <si>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</si>
  <si>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</si>
  <si>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</si>
  <si>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</si>
  <si>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</si>
  <si>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</si>
  <si>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</si>
  <si>
    <t>assertionStatus</t>
  </si>
  <si>
    <t>http://hl7.eu/fhir/ig/xpandh/ps/StructureDefinition/DeviceUseStatement-ps-xpandh</t>
  </si>
  <si>
    <t>http://hl7.eu/fhir/ig/xpandh/ps/StructureDefinition/ClosedProblem</t>
  </si>
  <si>
    <t>http://hl7.eu/fhir/ig/xpandh/ps/StructureDefinition/Condition-ps-xpandh</t>
  </si>
  <si>
    <t>http://hl7.eu/fhir/ig/xpandh/ps/StructureDefinition/MedicationStatement-ps-xpandh</t>
  </si>
  <si>
    <t>http://hl7.eu/fhir/ig/xpandh/ps/StructureDefinition/Medication-ps-xpandh</t>
  </si>
  <si>
    <t>meta.lastUpdated</t>
  </si>
  <si>
    <t>If it represents the period of time this Patient Summary is covering</t>
  </si>
  <si>
    <t>If it represents the last update of this FHIR resource</t>
  </si>
  <si>
    <t>section:sectionMedicalDevices</t>
  </si>
  <si>
    <t>category</t>
  </si>
  <si>
    <t>MAPPING TO BE FURTHER INVESTIGATED
THIS MAP HAS TO BE CLEAN UP BY hand (REMOVE AN ADDIITONAL ")</t>
  </si>
  <si>
    <t>UPDATE TARGET</t>
  </si>
  <si>
    <t>valueCodeabelConcept</t>
  </si>
  <si>
    <t>hasMember.valueDateTime</t>
  </si>
  <si>
    <t>Where hasMember.code IN PregnancyExpectedDeliveryDateMethodUvIps value set</t>
  </si>
  <si>
    <t>valueQuentity</t>
  </si>
  <si>
    <t>dosage.route</t>
  </si>
  <si>
    <t>this map adopts  the definition given in R5</t>
  </si>
  <si>
    <t>http://hl7.eu/fhir/ig/xpandh/ps/StructureDefinition/Bundle-ps-xpandh</t>
  </si>
  <si>
    <t>where function = TBD</t>
  </si>
  <si>
    <t>participant.actor</t>
  </si>
  <si>
    <t>participant.actor.organization</t>
  </si>
  <si>
    <t>participant.actor.practitioner.name</t>
  </si>
  <si>
    <t>where function = TBD AND actor of type PracticionerRole</t>
  </si>
  <si>
    <t>participant.actor.code</t>
  </si>
  <si>
    <t>participant.actor.telecom</t>
  </si>
  <si>
    <t>The contact is intrinsically connected with the Condition</t>
  </si>
  <si>
    <t>This might be described by using a CareTeam having this organization as participant.member</t>
  </si>
  <si>
    <t>extension:supporintInfo</t>
  </si>
  <si>
    <t>extension[supporintInfo].resolve().ofType(DocumentReference)</t>
  </si>
  <si>
    <t>the containing resource describes the context in this case the Condition</t>
  </si>
  <si>
    <t>section:sectionAllergies</t>
  </si>
  <si>
    <t>Common textual descirption</t>
  </si>
  <si>
    <t>entry level description</t>
  </si>
  <si>
    <t>section:sectionImmunizations</t>
  </si>
  <si>
    <t>section:sectionPastIllnessHx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</si>
</sst>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8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0" fillId="3" borderId="0" xfId="0" applyFill="1"/>
    <xf numFmtId="0" fontId="1" fillId="3" borderId="0" xfId="0" applyFont="1" applyFill="1"/>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35" xfId="0" applyFont="1" applyBorder="1" applyAlignment="1">
      <alignment horizontal="left" vertical="center" wrapText="1"/>
    </xf>
    <xf numFmtId="0" fontId="9" fillId="0" borderId="33"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4" xfId="0" applyFont="1" applyBorder="1" applyAlignment="1">
      <alignment horizontal="left" vertical="center" wrapText="1"/>
    </xf>
    <xf numFmtId="0" fontId="0" fillId="0" borderId="0" xfId="0"/>
    <xf numFmtId="0" fontId="2" fillId="0" borderId="0" xfId="1"/>
    <xf numFmtId="0" fontId="1" fillId="3" borderId="0" xfId="0" applyFont="1" applyFill="1" applyAlignment="1">
      <alignment horizontal="center" wrapText="1"/>
    </xf>
    <xf numFmtId="0" fontId="1" fillId="3" borderId="0" xfId="0" applyFont="1" applyFill="1" applyAlignment="1">
      <alignment horizontal="center"/>
    </xf>
    <xf numFmtId="0" fontId="2" fillId="3" borderId="0" xfId="1" applyFill="1"/>
    <xf numFmtId="0" fontId="0" fillId="3" borderId="0" xfId="0" applyFill="1"/>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externalLink" Target="externalLinks/externalLink1.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eetMetadata" Target="metadata.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8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C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E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10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12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4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6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8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A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C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E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20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2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4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F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32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5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B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D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40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4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6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8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xpandh/ps/StructureDefinition/Compos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ps-xpandh"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xpandh"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xpandh"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5.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9.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Bundle-ps-xpandh" TargetMode="External"/></Relationships>
</file>

<file path=xl/worksheets/_rels/sheet50.xml.rels><?xml version="1.0" encoding="UTF-8" standalone="yes"?>
<Relationships xmlns="http://schemas.openxmlformats.org/package/2006/relationships"><Relationship Id="rId2" Type="http://schemas.openxmlformats.org/officeDocument/2006/relationships/hyperlink" Target="http://hl7.eu/fhir/ig/xpandh/ps/StructureDefinition/Condition-ps-xpandh" TargetMode="External"/><Relationship Id="rId1" Type="http://schemas.openxmlformats.org/officeDocument/2006/relationships/hyperlink" Target="http://hl7.eu/fhir/ig/xpandh/ps/StructureDefinition/Bundle-ps-xpandh"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6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6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2" t="s">
        <v>39</v>
      </c>
      <c r="C3" s="143"/>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1001</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998</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59.7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15.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1207</v>
      </c>
      <c r="E58" s="94" t="s">
        <v>1205</v>
      </c>
    </row>
    <row r="59" spans="1:5" ht="30.25" thickBot="1" x14ac:dyDescent="0.9">
      <c r="B59" s="115" t="s">
        <v>741</v>
      </c>
      <c r="C59" s="116" t="s">
        <v>675</v>
      </c>
      <c r="D59" s="94" t="s">
        <v>676</v>
      </c>
      <c r="E59" s="94" t="s">
        <v>94</v>
      </c>
    </row>
    <row r="60" spans="1:5" ht="30.25" thickBot="1" x14ac:dyDescent="0.9">
      <c r="B60" s="115" t="s">
        <v>742</v>
      </c>
      <c r="C60" s="116" t="s">
        <v>677</v>
      </c>
      <c r="D60" s="94" t="s">
        <v>1206</v>
      </c>
      <c r="E60" s="94" t="s">
        <v>1205</v>
      </c>
    </row>
    <row r="61" spans="1:5" ht="15.5" thickBot="1" x14ac:dyDescent="0.9">
      <c r="A61" t="str">
        <f>B61&amp;" - "&amp;C61</f>
        <v>A.2.4 - Medication summary</v>
      </c>
      <c r="B61" s="113" t="s">
        <v>98</v>
      </c>
      <c r="C61" s="114" t="s">
        <v>678</v>
      </c>
      <c r="D61" s="94"/>
      <c r="E61" s="94"/>
    </row>
    <row r="62" spans="1:5" ht="30.2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30.2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15.5" thickBot="1" x14ac:dyDescent="0.9">
      <c r="B70" s="115" t="s">
        <v>751</v>
      </c>
      <c r="C70" s="116" t="s">
        <v>696</v>
      </c>
      <c r="D70" s="94" t="s">
        <v>697</v>
      </c>
      <c r="E70" s="94"/>
    </row>
    <row r="71" spans="1:5" ht="15.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15.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4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1002</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54" t="s">
        <v>39</v>
      </c>
      <c r="C3" s="155"/>
      <c r="D3" s="34" t="s">
        <v>40</v>
      </c>
      <c r="E3" s="34" t="s">
        <v>41</v>
      </c>
    </row>
    <row r="4" spans="2:5" ht="16.75" thickBot="1" x14ac:dyDescent="0.9">
      <c r="B4" s="156" t="s">
        <v>318</v>
      </c>
      <c r="C4" s="157"/>
      <c r="D4" s="157"/>
      <c r="E4" s="158"/>
    </row>
    <row r="5" spans="2:5" ht="16.75" thickBot="1" x14ac:dyDescent="0.9">
      <c r="B5" s="159" t="s">
        <v>117</v>
      </c>
      <c r="C5" s="160"/>
      <c r="D5" s="157"/>
      <c r="E5" s="158"/>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50" t="s">
        <v>324</v>
      </c>
      <c r="C12" s="151"/>
      <c r="D12" s="152"/>
      <c r="E12" s="153"/>
    </row>
    <row r="13" spans="2:5" ht="16.75" thickBot="1" x14ac:dyDescent="0.9">
      <c r="B13" s="161" t="s">
        <v>325</v>
      </c>
      <c r="C13" s="162"/>
      <c r="D13" s="145"/>
      <c r="E13" s="163"/>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50" t="s">
        <v>350</v>
      </c>
      <c r="C23" s="151"/>
      <c r="D23" s="152"/>
      <c r="E23" s="153"/>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50" t="s">
        <v>370</v>
      </c>
      <c r="C31" s="151"/>
      <c r="D31" s="152"/>
      <c r="E31" s="153"/>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46" t="s">
        <v>381</v>
      </c>
      <c r="C35" s="146" t="s">
        <v>44</v>
      </c>
      <c r="D35" s="40" t="s">
        <v>382</v>
      </c>
      <c r="E35" s="148"/>
    </row>
    <row r="36" spans="1:8" ht="15.5" thickBot="1" x14ac:dyDescent="0.9">
      <c r="B36" s="147"/>
      <c r="C36" s="147"/>
      <c r="D36" s="76" t="s">
        <v>383</v>
      </c>
      <c r="E36" s="149"/>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44" t="s">
        <v>387</v>
      </c>
      <c r="C39" s="145"/>
      <c r="D39" s="145"/>
      <c r="E39" s="145"/>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C3"/>
    <mergeCell ref="B4:E4"/>
    <mergeCell ref="B5:E5"/>
    <mergeCell ref="B12:E12"/>
    <mergeCell ref="B13:E13"/>
    <mergeCell ref="B39:E39"/>
    <mergeCell ref="B35:B36"/>
    <mergeCell ref="C35:C36"/>
    <mergeCell ref="E35:E36"/>
    <mergeCell ref="B23:E23"/>
    <mergeCell ref="B31:E31"/>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941</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1302</v>
      </c>
      <c r="C11" s="9" t="s">
        <v>1301</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942</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868</v>
      </c>
      <c r="C23" s="14" t="s">
        <v>943</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875</v>
      </c>
      <c r="C24" s="14" t="s">
        <v>944</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876</v>
      </c>
      <c r="C25" s="14" t="s">
        <v>945</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959</v>
      </c>
      <c r="C26" s="1" t="s">
        <v>940</v>
      </c>
      <c r="D26" s="1" t="s">
        <v>1001</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869</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877</v>
      </c>
      <c r="C28" s="14" t="s">
        <v>946</v>
      </c>
      <c r="D28" s="9" t="s">
        <v>834</v>
      </c>
      <c r="E28" s="9">
        <v>0</v>
      </c>
      <c r="F28" s="9" t="s">
        <v>11</v>
      </c>
      <c r="G28" s="9" t="str">
        <f>$B$2&amp;"/StructureDefinition/"&amp;I28</f>
        <v>http://hl7.eu/fhir/ig/xpandh/ps/StructureDefinition/Vaccination</v>
      </c>
      <c r="H28" s="14"/>
      <c r="I28" t="s">
        <v>964</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878</v>
      </c>
      <c r="C29" s="14" t="s">
        <v>947</v>
      </c>
      <c r="D29" s="9" t="s">
        <v>835</v>
      </c>
      <c r="E29" s="9">
        <v>0</v>
      </c>
      <c r="F29" s="9" t="s">
        <v>11</v>
      </c>
      <c r="G29" s="9" t="str">
        <f>$B$2&amp;"/StructureDefinition/"&amp;I29</f>
        <v>http://hl7.eu/fhir/ig/xpandh/ps/StructureDefinition/ClosedProblem</v>
      </c>
      <c r="H29" s="14"/>
      <c r="I29" s="33" t="s">
        <v>1134</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879</v>
      </c>
      <c r="C30" s="14" t="s">
        <v>948</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1160</v>
      </c>
      <c r="C31" s="1" t="s">
        <v>1159</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1147</v>
      </c>
      <c r="C32" s="1" t="s">
        <v>1146</v>
      </c>
      <c r="D32" s="1" t="s">
        <v>1146</v>
      </c>
      <c r="E32" s="9">
        <v>0</v>
      </c>
      <c r="F32" s="9">
        <v>1</v>
      </c>
      <c r="G32" s="9" t="s">
        <v>4</v>
      </c>
      <c r="J32" s="14" t="str">
        <f t="shared" si="0"/>
        <v>* body.medicalProblems 0..1 BackboneElement ##34#A.2.3 Medical problems##34# ##334#A.2.3 Medical problems##334#</v>
      </c>
      <c r="L32" s="14"/>
    </row>
    <row r="33" spans="1:14" ht="44.25" x14ac:dyDescent="0.75">
      <c r="A33" s="9">
        <v>23</v>
      </c>
      <c r="B33" s="9" t="s">
        <v>1151</v>
      </c>
      <c r="C33" s="1" t="s">
        <v>1135</v>
      </c>
      <c r="D33" s="1" t="s">
        <v>1135</v>
      </c>
      <c r="E33" s="9">
        <v>0</v>
      </c>
      <c r="F33" s="9">
        <v>1</v>
      </c>
      <c r="G33" s="9" t="str">
        <f>$B$2&amp;"/StructureDefinition/"&amp;I33</f>
        <v>http://hl7.eu/fhir/ig/xpandh/ps/StructureDefinition/Problem</v>
      </c>
      <c r="I33" t="s">
        <v>1143</v>
      </c>
      <c r="J33" s="14" t="str">
        <f t="shared" si="0"/>
        <v>* body.medicalProblems.problems 0..1 http://hl7.eu/fhir/ig/xpandh/ps/StructureDefinition/Problem ##34#A.2.3.1 Current problems##34# ##334#A.2.3.1 Current problems##334#</v>
      </c>
      <c r="L33" s="14"/>
    </row>
    <row r="34" spans="1:14" ht="44.25" x14ac:dyDescent="0.75">
      <c r="A34" s="9">
        <v>22</v>
      </c>
      <c r="B34" s="100" t="s">
        <v>1148</v>
      </c>
      <c r="C34" s="1" t="s">
        <v>949</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1149</v>
      </c>
      <c r="C35" s="1" t="s">
        <v>950</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1150</v>
      </c>
      <c r="C36" s="1" t="s">
        <v>951</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870</v>
      </c>
      <c r="C37" s="1" t="s">
        <v>952</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1057</v>
      </c>
      <c r="C38" s="14" t="s">
        <v>1025</v>
      </c>
      <c r="D38" s="104" t="s">
        <v>1050</v>
      </c>
      <c r="E38" s="9">
        <v>1</v>
      </c>
      <c r="F38" s="9" t="s">
        <v>11</v>
      </c>
      <c r="G38" s="9" t="str">
        <f>$B$2&amp;"/StructureDefinition/"&amp;I38</f>
        <v>http://hl7.eu/fhir/ig/xpandh/ps/StructureDefinition/Medicine</v>
      </c>
      <c r="H38" s="14"/>
      <c r="I38" t="s">
        <v>1052</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871</v>
      </c>
      <c r="C39" s="122" t="s">
        <v>953</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1240</v>
      </c>
      <c r="C40" s="122" t="s">
        <v>1236</v>
      </c>
      <c r="D40" s="94" t="s">
        <v>1238</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1241</v>
      </c>
      <c r="C41" s="122" t="s">
        <v>1237</v>
      </c>
      <c r="D41" s="94" t="s">
        <v>704</v>
      </c>
      <c r="E41" s="9">
        <v>0</v>
      </c>
      <c r="F41" s="9" t="s">
        <v>11</v>
      </c>
      <c r="G41" s="9" t="s">
        <v>1239</v>
      </c>
      <c r="H41" s="14"/>
      <c r="J41" s="14" t="str">
        <f t="shared" si="0"/>
        <v>* body.socialHistory.referenceRange 0..* Range ##34#A.2.5.2 Reference date range##34# ##334#Example: from 1974 to 2004##334#</v>
      </c>
      <c r="L41" s="14"/>
    </row>
    <row r="42" spans="1:14" ht="44.25" x14ac:dyDescent="0.75">
      <c r="A42" s="9">
        <v>28</v>
      </c>
      <c r="B42" s="9" t="s">
        <v>872</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880</v>
      </c>
      <c r="C43" s="122" t="s">
        <v>954</v>
      </c>
      <c r="D43" s="22" t="s">
        <v>865</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881</v>
      </c>
      <c r="C44" s="122" t="s">
        <v>955</v>
      </c>
      <c r="D44" s="22" t="s">
        <v>866</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1292</v>
      </c>
      <c r="C45" s="1" t="s">
        <v>1288</v>
      </c>
      <c r="D45" t="s">
        <v>1290</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1293</v>
      </c>
      <c r="C46" s="1" t="s">
        <v>1289</v>
      </c>
      <c r="D46" t="s">
        <v>1291</v>
      </c>
      <c r="E46" s="9">
        <v>0</v>
      </c>
      <c r="F46" s="9" t="s">
        <v>11</v>
      </c>
      <c r="G46" s="9" t="s">
        <v>2</v>
      </c>
      <c r="J46" s="14" t="str">
        <f t="shared" si="0"/>
        <v>* body.patientData.travelHistory.period 0..* dateTime ##34#A.2.7.1.2 Period##34# ##334#A.1.4.2 Date of entry and departure - Preferred System: ISO 8601##334#</v>
      </c>
      <c r="L46" s="1"/>
    </row>
    <row r="47" spans="1:14" ht="29.5" x14ac:dyDescent="0.75">
      <c r="A47" s="9">
        <v>31</v>
      </c>
      <c r="B47" s="100" t="s">
        <v>882</v>
      </c>
      <c r="C47" s="1" t="s">
        <v>956</v>
      </c>
      <c r="D47" t="s">
        <v>867</v>
      </c>
      <c r="E47" s="9">
        <v>0</v>
      </c>
      <c r="F47" s="9">
        <v>1</v>
      </c>
      <c r="G47" s="9" t="s">
        <v>4</v>
      </c>
      <c r="H47"/>
      <c r="J47" s="14" t="str">
        <f t="shared" si="0"/>
        <v>* body.patientData.advanceDirective 0..1 BackboneElement ##34#A.2.7.2 Advance Directive##34# ##334#A.2.7.2 - Advance Directive##334#</v>
      </c>
      <c r="N47"/>
    </row>
    <row r="48" spans="1:14" ht="59.75" thickBot="1" x14ac:dyDescent="0.9">
      <c r="A48" s="9">
        <v>32</v>
      </c>
      <c r="B48" s="100" t="s">
        <v>1111</v>
      </c>
      <c r="C48" s="1" t="s">
        <v>1109</v>
      </c>
      <c r="D48" s="94" t="s">
        <v>1110</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29.5" x14ac:dyDescent="0.75">
      <c r="A49" s="9">
        <v>33</v>
      </c>
      <c r="B49" s="9" t="s">
        <v>873</v>
      </c>
      <c r="C49" s="122" t="s">
        <v>957</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874</v>
      </c>
      <c r="C50" s="122" t="s">
        <v>958</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74.5" thickBot="1" x14ac:dyDescent="0.9">
      <c r="A51" s="9">
        <v>35</v>
      </c>
      <c r="B51" s="9" t="s">
        <v>1079</v>
      </c>
      <c r="C51" s="14" t="s">
        <v>1078</v>
      </c>
      <c r="D51" s="94" t="s">
        <v>1002</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54.75"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63"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399"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ht="29.5"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ht="29.5" x14ac:dyDescent="0.75">
      <c r="C13" s="14" t="str">
        <f>IF(PS!J13="*  ..  ##34###34# ##334###334#","//--- END",PS!J13)</f>
        <v>* header.documentData.created 1..1 dateTime ##34#A.1.4.1 Date created##34# ##334#A.1.4.1 Date created - Date on which PS was generated##334#</v>
      </c>
    </row>
    <row r="14" spans="3:7" ht="44.25" x14ac:dyDescent="0.75">
      <c r="C14" s="14" t="str">
        <f>IF(PS!J14="*  ..  ##34###34# ##334###334#","//--- END",PS!J14)</f>
        <v>* header.documentData.lastUpdate 0..1 dateTime ##34#A.1.4.2 Date of last update##34# ##334#A.1.4.2 Date of last update - Date on which PS was updated (date of most recent version)
Preferred system: ISO 8601##334#</v>
      </c>
    </row>
    <row r="15" spans="3:7" ht="44.25"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ht="29.5" x14ac:dyDescent="0.75">
      <c r="C16" s="14" t="str">
        <f>IF(PS!J16="*  ..  ##34###34# ##334###334#","//--- END",PS!J16)</f>
        <v>* header.participant 1..* BackboneElement ##34#A.1.5 Author and Organisation##34# ##334#A.1.5 Author and Organisation##334#</v>
      </c>
    </row>
    <row r="17" spans="3:3" ht="59"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ht="29.5"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ht="29.5" x14ac:dyDescent="0.75">
      <c r="C19" s="14" t="str">
        <f>IF(PS!J19="*  ..  ##34###34# ##334###334#","//--- END",PS!J19)</f>
        <v>* header.additionalInfo 0..* BackboneElement ##34#A.1.6 Additional information / Knowledge resources##34# ##334#A.1.6 Additional information / Knowledge resources - ##334#</v>
      </c>
    </row>
    <row r="20" spans="3:3" ht="59"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ht="44.25"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ht="29.5"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ht="29.5" x14ac:dyDescent="0.75">
      <c r="C24" s="14" t="str">
        <f>IF(PS!J24="*  ..  ##34###34# ##334###334#","//--- END",PS!J24)</f>
        <v>* body.alerts.allergy 0..* http://hl7.eu/fhir/ig/xpandh/ps/StructureDefinition/Allergy ##34#A.2.1.1 Allergy##34# ##334#A.2.1.1 - Allergy##334#</v>
      </c>
    </row>
    <row r="25" spans="3:3" ht="29.5" x14ac:dyDescent="0.75">
      <c r="C25" s="14" t="str">
        <f>IF(PS!J25="*  ..  ##34###34# ##334###334#","//--- END",PS!J25)</f>
        <v>* body.alerts.alert 0..* BackboneElement ##34#A.2.1.2 Medical alert information (other alerts not included in allergies)##34# ##334#A.2.1.2 - Medical alert information (other alerts not included in allergies)##334#</v>
      </c>
    </row>
    <row r="26" spans="3:3" ht="177"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ht="29.5" x14ac:dyDescent="0.75">
      <c r="C28" s="14" t="str">
        <f>IF(PS!J28="*  ..  ##34###34# ##334###334#","//--- END",PS!J28)</f>
        <v>* body.medicalHistory.vaccination 0..* http://hl7.eu/fhir/ig/xpandh/ps/StructureDefinition/Vaccination ##34#A.2.2.1 Vaccination/ prophylaxis information##34# ##334#A.2.2.1 - Vaccination/ prophylaxis information##334#</v>
      </c>
    </row>
    <row r="29" spans="3:3" ht="29.5" x14ac:dyDescent="0.75">
      <c r="C29" s="14" t="str">
        <f>IF(PS!J29="*  ..  ##34###34# ##334###334#","//--- END",PS!J29)</f>
        <v>* body.medicalHistory.inactiveProblem 0..* http://hl7.eu/fhir/ig/xpandh/ps/StructureDefinition/ClosedProblem ##34#A.2.2.2 Resolved, closed or inactive problems##34# ##334#A.2.2.2 - Resolved, closed or inactive problems##334#</v>
      </c>
    </row>
    <row r="30" spans="3:3" ht="29.5" x14ac:dyDescent="0.75">
      <c r="C30" s="14" t="str">
        <f>IF(PS!J30="*  ..  ##34###34# ##334###334#","//--- END",PS!J30)</f>
        <v>* body.medicalHistory.anamnesis 0..1 BackboneElement ##34#A.2.2.3 Medical history##34# ##334#A.2.2.3 - Medical history##334#</v>
      </c>
    </row>
    <row r="31" spans="3:3" ht="59"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ht="29.5" x14ac:dyDescent="0.75">
      <c r="C33" s="14" t="str">
        <f>IF(PS!J33="*  ..  ##34###34# ##334###334#","//--- END",PS!J33)</f>
        <v>* body.medicalProblems.problems 0..1 http://hl7.eu/fhir/ig/xpandh/ps/StructureDefinition/Problem ##34#A.2.3.1 Current problems##34# ##334#A.2.3.1 Current problems##334#</v>
      </c>
    </row>
    <row r="34" spans="3:3" ht="29.5"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ht="29.5" x14ac:dyDescent="0.75">
      <c r="C36" s="14" t="str">
        <f>IF(PS!J36="*  ..  ##34###34# ##334###334#","//--- END",PS!J36)</f>
        <v>* body.medicalProblems.functionalStatus 0..1 BackboneElement ##34#A.2.3.4 Functional status##34# ##334#A.2.3.4 - Functional status##334#</v>
      </c>
    </row>
    <row r="37" spans="3:3" ht="29.5" x14ac:dyDescent="0.75">
      <c r="C37" s="14" t="str">
        <f>IF(PS!J37="*  ..  ##34###34# ##334###334#","//--- END",PS!J37)</f>
        <v>* body.medicationSummary 1..1 BackboneElement ##34#A.2.4 Medication summary##34# ##334#A.2.4 - Medication summary##334#</v>
      </c>
    </row>
    <row r="38" spans="3:3" ht="59"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ht="44.25"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ht="29.5"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ht="29.5" x14ac:dyDescent="0.75">
      <c r="C45" s="14" t="str">
        <f>IF(PS!J45="*  ..  ##34###34# ##334###334#","//--- END",PS!J45)</f>
        <v>* body.patientData.travelHistory.country 0..* CodeableConcept ##34#A.2.7.1.1 Country##34# ##334#A.1.4.1 Country(s) visited - Preferred System: ISO 3166##334#</v>
      </c>
    </row>
    <row r="46" spans="3:3" ht="29.5" x14ac:dyDescent="0.75">
      <c r="C46" s="14" t="str">
        <f>IF(PS!J46="*  ..  ##34###34# ##334###334#","//--- END",PS!J46)</f>
        <v>* body.patientData.travelHistory.period 0..* dateTime ##34#A.2.7.1.2 Period##34# ##334#A.1.4.2 Date of entry and departure - Preferred System: ISO 8601##334#</v>
      </c>
    </row>
    <row r="47" spans="3:3" ht="29.5" x14ac:dyDescent="0.75">
      <c r="C47" s="14" t="str">
        <f>IF(PS!J47="*  ..  ##34###34# ##334###334#","//--- END",PS!J47)</f>
        <v>* body.patientData.advanceDirective 0..1 BackboneElement ##34#A.2.7.2 Advance Directive##34# ##334#A.2.7.2 - Advance Directive##334#</v>
      </c>
    </row>
    <row r="48" spans="3:3" ht="44.25" x14ac:dyDescent="0.75">
      <c r="C48" s="14" t="str">
        <f>IF(PS!J48="*  ..  ##34###34# ##334###334#","//--- END",PS!J48)</f>
        <v>* body.patientData.advanceDirective.documentation 0..* BackboneElement ##34#A.2.7.2.1 Documentation##34# ##334#Existence of documentation on living will.
Preferred system: SNOMED CT GPS##334#</v>
      </c>
    </row>
    <row r="49" spans="3:3" ht="29.5" x14ac:dyDescent="0.75">
      <c r="C49" s="14" t="str">
        <f>IF(PS!J49="*  ..  ##34###34# ##334###334#","//--- END",PS!J49)</f>
        <v>* body.results 0..1 http://hl7.eu/fhir/ig/xpandh/ps/StructureDefinition/Result ##34#A.2.8 Results##34# ##334#A.2.8 - Results##334#</v>
      </c>
    </row>
    <row r="50" spans="3:3" ht="29.5" x14ac:dyDescent="0.75">
      <c r="C50" s="14" t="str">
        <f>IF(PS!J50="*  ..  ##34###34# ##334###334#","//--- END",PS!J50)</f>
        <v>* body.planOfCare 0..1 BackboneElement ##34#A.2.9 Plan of Care##34# ##334#(Therapeutic recommendations that do not include pharmacologic treatments, such as diet, physical exercise, planned surgeries)##334#</v>
      </c>
    </row>
    <row r="51" spans="3:3" ht="44.25"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72"/>
  <sheetViews>
    <sheetView topLeftCell="A59" zoomScale="80" zoomScaleNormal="80" workbookViewId="0">
      <selection activeCell="D39" sqref="D39"/>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900</v>
      </c>
    </row>
    <row r="4" spans="1:19" x14ac:dyDescent="0.75">
      <c r="B4" s="61" t="s">
        <v>19</v>
      </c>
      <c r="C4" s="47" t="s">
        <v>848</v>
      </c>
      <c r="D4" s="61" t="s">
        <v>209</v>
      </c>
      <c r="E4" s="72" t="s">
        <v>901</v>
      </c>
    </row>
    <row r="5" spans="1:19" x14ac:dyDescent="0.75">
      <c r="B5" s="61" t="s">
        <v>13</v>
      </c>
      <c r="C5" s="21" t="s">
        <v>850</v>
      </c>
      <c r="D5" s="61"/>
      <c r="E5" s="10"/>
    </row>
    <row r="6" spans="1:19" ht="29.5" x14ac:dyDescent="0.75">
      <c r="B6" s="61" t="s">
        <v>35</v>
      </c>
      <c r="C6" s="105" t="s">
        <v>900</v>
      </c>
      <c r="D6" s="61" t="s">
        <v>206</v>
      </c>
      <c r="E6" s="164" t="s">
        <v>900</v>
      </c>
      <c r="F6" s="164"/>
      <c r="G6" s="164"/>
    </row>
    <row r="7" spans="1:19" x14ac:dyDescent="0.75">
      <c r="B7" s="61" t="s">
        <v>18</v>
      </c>
      <c r="C7" s="106" t="s">
        <v>540</v>
      </c>
      <c r="D7" s="61" t="s">
        <v>207</v>
      </c>
      <c r="E7" s="165" t="s">
        <v>1223</v>
      </c>
      <c r="F7" s="164"/>
      <c r="G7" s="164"/>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INDEX('PS-ConceptMap-1'!$I$15:$N$286,Q15+1,R15)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62" si="4">"* group[=].element[+].code = #"&amp;$B$14&amp;"."&amp;B16</f>
        <v>* group[=].element[+].code = #PatientSummary.header.subject</v>
      </c>
      <c r="J16" s="14" t="str">
        <f t="shared" ref="J16:J62" si="5">"* group[=].element[=].display = ##34#"&amp;C16&amp;"##34#"</f>
        <v>* group[=].element[=].display = ##34#A.1.1 A1.2 Patient/subject##34#</v>
      </c>
      <c r="K16" s="14" t="str">
        <f t="shared" ref="K16:K62" si="6">IF(F16="unmatched","//-- unmatched",IF(D16="","* group[=].element[=].target.code = #"&amp;$D$14,"* group[=].element[=].target.code = #"&amp;$D$14&amp;"."&amp;D16))</f>
        <v>* group[=].element[=].target.code = #Composition.subject</v>
      </c>
      <c r="L16" s="14" t="str">
        <f t="shared" ref="L16:L62" si="7">IF(F16="unmatched","//-- unmatched","* group[=].element[=].target.display = ##34#"&amp;E16&amp;"##34#")</f>
        <v>* group[=].element[=].target.display = ##34###34#</v>
      </c>
      <c r="M16" s="14" t="str">
        <f t="shared" ref="M16:M62" si="8">"* group[=].element[=].target.equivalence = #"&amp;F16</f>
        <v>* group[=].element[=].target.equivalence = #relatedto</v>
      </c>
      <c r="N16" s="14" t="str">
        <f t="shared" ref="N16:N62" si="9">IF(G16&lt;&gt;"",CONCATENATE("* group[=].element[=].target.comment = ","##34#",G16,"##34#"),"")</f>
        <v/>
      </c>
      <c r="P16" s="9">
        <v>2</v>
      </c>
      <c r="Q16" s="9">
        <f t="shared" ref="Q16:Q79" si="10">IF(MOD(P16,$Q$8)=0,P16/$Q$8-1,INT(P16/$Q$8))</f>
        <v>0</v>
      </c>
      <c r="R16" s="9">
        <f t="shared" ref="R16:R79" si="11">IF(MOD(P16,$Q$8)=0,$Q$8,MOD(P16,$Q$8))</f>
        <v>2</v>
      </c>
      <c r="S16" s="14" t="str" cm="1">
        <f t="array" ref="S16">INDEX('PS-ConceptMap-1'!$I$15:$N$286,Q16+1,R16)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c>
      <c r="P17" s="9">
        <v>3</v>
      </c>
      <c r="Q17" s="9">
        <f t="shared" si="10"/>
        <v>0</v>
      </c>
      <c r="R17" s="9">
        <f t="shared" si="11"/>
        <v>3</v>
      </c>
      <c r="S17" s="14" t="str" cm="1">
        <f t="array" ref="S17">INDEX('PS-ConceptMap-1'!$I$15:$N$286,Q17+1,R17)</f>
        <v>* group[=].element[=].target.code = #Composition</v>
      </c>
    </row>
    <row r="18" spans="1:19" ht="162.25" x14ac:dyDescent="0.75">
      <c r="A18" s="22"/>
      <c r="B18" s="9" t="str">
        <f>PS!B11</f>
        <v>header.insuranceInfo.insuranceNumber</v>
      </c>
      <c r="C18" s="9" t="str">
        <f>PS!C11</f>
        <v>A.1.3.1  Insurance number</v>
      </c>
      <c r="D18" s="14" t="s">
        <v>1304</v>
      </c>
      <c r="E18" s="9"/>
      <c r="F18" s="63" t="s">
        <v>193</v>
      </c>
      <c r="G18" s="79" t="s">
        <v>1303</v>
      </c>
      <c r="H18" s="64"/>
      <c r="I18" s="14" t="str">
        <f t="shared" si="4"/>
        <v>* group[=].element[+].code = #PatientSummary.header.insuranceInfo.insuranceNumber</v>
      </c>
      <c r="J18" s="14" t="str">
        <f t="shared" si="5"/>
        <v>* group[=].element[=].display = ##34#A.1.3.1  Insurance number##34#</v>
      </c>
      <c r="K18" s="14" t="str">
        <f t="shared" si="6"/>
        <v>* group[=].element[=].target.code = #Composition.subject.identifier</v>
      </c>
      <c r="L18" s="14" t="str">
        <f t="shared" si="7"/>
        <v>* group[=].element[=].target.display = ##34###34#</v>
      </c>
      <c r="M18" s="14" t="str">
        <f t="shared" si="8"/>
        <v>* group[=].element[=].target.equivalence = #relatedto</v>
      </c>
      <c r="N18" s="14" t="str">
        <f t="shared" si="9"/>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INDEX('PS-ConceptMap-1'!$I$15:$N$286,Q18+1,R18)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4"/>
        <v>* group[=].element[+].code = #PatientSummary.header.documentData</v>
      </c>
      <c r="J19" s="14" t="str">
        <f t="shared" si="5"/>
        <v>* group[=].element[=].display = ##34#A.1.4 Document data##34#</v>
      </c>
      <c r="K19" s="14" t="str">
        <f t="shared" si="6"/>
        <v>* group[=].element[=].target.code = #Composition</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INDEX('PS-ConceptMap-1'!$I$15:$N$286,Q19+1,R19)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4"/>
        <v>* group[=].element[+].code = #PatientSummary.header.documentData.created</v>
      </c>
      <c r="J20" s="14" t="str">
        <f t="shared" si="5"/>
        <v>* group[=].element[=].display = ##34#A.1.4.1 Date created##34#</v>
      </c>
      <c r="K20" s="14" t="str">
        <f t="shared" si="6"/>
        <v>* group[=].element[=].target.code = #Composition.date</v>
      </c>
      <c r="L20" s="14" t="str">
        <f t="shared" si="7"/>
        <v>* group[=].element[=].target.display = ##34###34#</v>
      </c>
      <c r="M20" s="14" t="str">
        <f t="shared" si="8"/>
        <v>* group[=].element[=].target.equivalence = #relatedto</v>
      </c>
      <c r="N20" s="14" t="str">
        <f t="shared" si="9"/>
        <v/>
      </c>
      <c r="P20" s="9">
        <v>6</v>
      </c>
      <c r="Q20" s="9">
        <f t="shared" si="10"/>
        <v>0</v>
      </c>
      <c r="R20" s="9">
        <f t="shared" si="11"/>
        <v>6</v>
      </c>
      <c r="S20" s="14" t="str" cm="1">
        <f t="array" ref="S20">INDEX('PS-ConceptMap-1'!$I$15:$N$286,Q20+1,R20)</f>
        <v/>
      </c>
    </row>
    <row r="21" spans="1:19" ht="73.75" x14ac:dyDescent="0.75">
      <c r="A21" s="22"/>
      <c r="B21" s="9" t="str">
        <f>PS!B14</f>
        <v>header.documentData.lastUpdate</v>
      </c>
      <c r="C21" s="9" t="str">
        <f>PS!C14</f>
        <v>A.1.4.2 Date of last update</v>
      </c>
      <c r="D21" s="14" t="s">
        <v>851</v>
      </c>
      <c r="E21" s="9"/>
      <c r="F21" s="63" t="s">
        <v>193</v>
      </c>
      <c r="G21" s="4" t="s">
        <v>1312</v>
      </c>
      <c r="H21" s="64"/>
      <c r="I21" s="14" t="str">
        <f t="shared" si="4"/>
        <v>* group[=].element[+].code = #PatientSummary.header.documentData.lastUpdate</v>
      </c>
      <c r="J21" s="14" t="str">
        <f t="shared" si="5"/>
        <v>* group[=].element[=].display = ##34#A.1.4.2 Date of last update##34#</v>
      </c>
      <c r="K21" s="14" t="str">
        <f t="shared" si="6"/>
        <v>* group[=].element[=].target.code = #Composition.event:careProvisioningEvent.period.end</v>
      </c>
      <c r="L21" s="14" t="str">
        <f t="shared" si="7"/>
        <v>* group[=].element[=].target.display = ##34###34#</v>
      </c>
      <c r="M21" s="14" t="str">
        <f t="shared" si="8"/>
        <v>* group[=].element[=].target.equivalence = #relatedto</v>
      </c>
      <c r="N21" s="14" t="str">
        <f t="shared" si="9"/>
        <v>* group[=].element[=].target.comment = ##34#If it represents the period of time this Patient Summary is covering##34#</v>
      </c>
      <c r="P21" s="9">
        <v>7</v>
      </c>
      <c r="Q21" s="9">
        <f t="shared" si="10"/>
        <v>1</v>
      </c>
      <c r="R21" s="9">
        <f t="shared" si="11"/>
        <v>1</v>
      </c>
      <c r="S21" s="14" t="str" cm="1">
        <f t="array" ref="S21">INDEX('PS-ConceptMap-1'!$I$15:$N$286,Q21+1,R21)</f>
        <v>* group[=].element[+].code = #PatientSummary.header.subject</v>
      </c>
    </row>
    <row r="22" spans="1:19" ht="73.75" x14ac:dyDescent="0.75">
      <c r="A22" s="22"/>
      <c r="B22" s="9" t="str">
        <f>PS!B14</f>
        <v>header.documentData.lastUpdate</v>
      </c>
      <c r="C22" s="9" t="str">
        <f>PS!C14</f>
        <v>A.1.4.2 Date of last update</v>
      </c>
      <c r="D22" s="14" t="s">
        <v>1311</v>
      </c>
      <c r="E22" s="9"/>
      <c r="F22" s="63" t="s">
        <v>193</v>
      </c>
      <c r="G22" s="4" t="s">
        <v>1313</v>
      </c>
      <c r="H22" s="64"/>
      <c r="I22" s="14" t="str">
        <f t="shared" si="4"/>
        <v>* group[=].element[+].code = #PatientSummary.header.documentData.lastUpdate</v>
      </c>
      <c r="J22" s="14" t="str">
        <f t="shared" si="5"/>
        <v>* group[=].element[=].display = ##34#A.1.4.2 Date of last update##34#</v>
      </c>
      <c r="K22" s="14" t="str">
        <f t="shared" si="6"/>
        <v>* group[=].element[=].target.code = #Composition.meta.lastUpdated</v>
      </c>
      <c r="L22" s="14" t="str">
        <f t="shared" si="7"/>
        <v>* group[=].element[=].target.display = ##34###34#</v>
      </c>
      <c r="M22" s="14" t="str">
        <f t="shared" si="8"/>
        <v>* group[=].element[=].target.equivalence = #relatedto</v>
      </c>
      <c r="N22" s="14" t="str">
        <f t="shared" si="9"/>
        <v>* group[=].element[=].target.comment = ##34#If it represents the last update of this FHIR resource##34#</v>
      </c>
      <c r="P22" s="9">
        <v>8</v>
      </c>
      <c r="Q22" s="9">
        <f t="shared" si="10"/>
        <v>1</v>
      </c>
      <c r="R22" s="9">
        <f t="shared" si="11"/>
        <v>2</v>
      </c>
      <c r="S22" s="14" t="str" cm="1">
        <f t="array" ref="S22">INDEX('PS-ConceptMap-1'!$I$15:$N$286,Q22+1,R22)</f>
        <v>* group[=].element[=].display = ##34#A.1.1 A1.2 Patient/subject##34#</v>
      </c>
    </row>
    <row r="23" spans="1:19" ht="118" x14ac:dyDescent="0.75">
      <c r="A23" s="22"/>
      <c r="B23" s="9" t="str">
        <f>PS!B15</f>
        <v>header.documentData.natureOfIPS</v>
      </c>
      <c r="C23" s="9" t="str">
        <f>PS!C15</f>
        <v>A.1.4.3 Nature of the PS</v>
      </c>
      <c r="D23" s="14" t="s">
        <v>249</v>
      </c>
      <c r="E23" s="9"/>
      <c r="F23" s="63" t="s">
        <v>193</v>
      </c>
      <c r="G23" s="79" t="s">
        <v>852</v>
      </c>
      <c r="H23" s="64"/>
      <c r="I23" s="14" t="str">
        <f t="shared" si="4"/>
        <v>* group[=].element[+].code = #PatientSummary.header.documentData.natureOfIPS</v>
      </c>
      <c r="J23" s="14" t="str">
        <f t="shared" si="5"/>
        <v>* group[=].element[=].display = ##34#A.1.4.3 Nature of the PS##34#</v>
      </c>
      <c r="K23" s="14" t="str">
        <f t="shared" si="6"/>
        <v>* group[=].element[=].target.code = #Composition.author</v>
      </c>
      <c r="L23" s="14" t="str">
        <f t="shared" si="7"/>
        <v>* group[=].element[=].target.display = ##34###34#</v>
      </c>
      <c r="M23" s="14" t="str">
        <f t="shared" si="8"/>
        <v>* group[=].element[=].target.equivalence = #relatedto</v>
      </c>
      <c r="N23" s="14" t="str">
        <f t="shared" si="9"/>
        <v>* group[=].element[=].target.comment = ##34#the nature of a PS is determined as a comobination of type if author and legal authenticator. Future versions may cosndier to use Provenance data for this scope##34#</v>
      </c>
      <c r="P23" s="9">
        <v>9</v>
      </c>
      <c r="Q23" s="9">
        <f t="shared" si="10"/>
        <v>1</v>
      </c>
      <c r="R23" s="9">
        <f t="shared" si="11"/>
        <v>3</v>
      </c>
      <c r="S23" s="14" t="str" cm="1">
        <f t="array" ref="S23">INDEX('PS-ConceptMap-1'!$I$15:$N$286,Q23+1,R23)</f>
        <v>* group[=].element[=].target.code = #Composition.subject</v>
      </c>
    </row>
    <row r="24" spans="1:19" ht="44.25" x14ac:dyDescent="0.75">
      <c r="A24" s="22"/>
      <c r="B24" s="9" t="str">
        <f>PS!B16</f>
        <v>header.participant</v>
      </c>
      <c r="C24" s="9" t="str">
        <f>PS!C16</f>
        <v>A.1.5 Author and Organisation</v>
      </c>
      <c r="D24" s="14"/>
      <c r="E24" s="9"/>
      <c r="F24" s="63" t="s">
        <v>193</v>
      </c>
      <c r="G24" s="63"/>
      <c r="H24" s="64"/>
      <c r="I24" s="14" t="str">
        <f t="shared" si="4"/>
        <v>* group[=].element[+].code = #PatientSummary.header.participant</v>
      </c>
      <c r="J24" s="14" t="str">
        <f t="shared" si="5"/>
        <v>* group[=].element[=].display = ##34#A.1.5 Author and Organisation##34#</v>
      </c>
      <c r="K24" s="14" t="str">
        <f t="shared" si="6"/>
        <v>* group[=].element[=].target.code = #Composition</v>
      </c>
      <c r="L24" s="14" t="str">
        <f t="shared" si="7"/>
        <v>* group[=].element[=].target.display = ##34###34#</v>
      </c>
      <c r="M24" s="14" t="str">
        <f t="shared" si="8"/>
        <v>* group[=].element[=].target.equivalence = #relatedto</v>
      </c>
      <c r="N24" s="14" t="str">
        <f t="shared" si="9"/>
        <v/>
      </c>
      <c r="P24" s="9">
        <v>10</v>
      </c>
      <c r="Q24" s="9">
        <f t="shared" si="10"/>
        <v>1</v>
      </c>
      <c r="R24" s="9">
        <f t="shared" si="11"/>
        <v>4</v>
      </c>
      <c r="S24" s="14" t="str" cm="1">
        <f t="array" ref="S24">INDEX('PS-ConceptMap-1'!$I$15:$N$286,Q24+1,R24)</f>
        <v>* group[=].element[=].target.display = ##34###34#</v>
      </c>
    </row>
    <row r="25" spans="1:19" ht="73.75" x14ac:dyDescent="0.75">
      <c r="A25" s="22"/>
      <c r="B25" s="9" t="str">
        <f>PS!B17</f>
        <v>header.participant.author</v>
      </c>
      <c r="C25" s="9" t="str">
        <f>PS!C17</f>
        <v>A.1.5.1 Author organization</v>
      </c>
      <c r="D25" s="14" t="s">
        <v>249</v>
      </c>
      <c r="E25" s="9"/>
      <c r="F25" s="63" t="s">
        <v>192</v>
      </c>
      <c r="G25" s="82" t="s">
        <v>853</v>
      </c>
      <c r="H25" s="64"/>
      <c r="I25" s="14" t="str">
        <f t="shared" si="4"/>
        <v>* group[=].element[+].code = #PatientSummary.header.participant.author</v>
      </c>
      <c r="J25" s="14" t="str">
        <f t="shared" si="5"/>
        <v>* group[=].element[=].display = ##34#A.1.5.1 Author organization##34#</v>
      </c>
      <c r="K25" s="14" t="str">
        <f t="shared" si="6"/>
        <v>* group[=].element[=].target.code = #Composition.author</v>
      </c>
      <c r="L25" s="14" t="str">
        <f t="shared" si="7"/>
        <v>* group[=].element[=].target.display = ##34###34#</v>
      </c>
      <c r="M25" s="14" t="str">
        <f t="shared" si="8"/>
        <v>* group[=].element[=].target.equivalence = #equivalent</v>
      </c>
      <c r="N25" s="14" t="str">
        <f t="shared" si="9"/>
        <v>* group[=].element[=].target.comment = ##34#author can be of type Organziation, Pracitctioner or PractictionerRole##34#</v>
      </c>
      <c r="P25" s="9">
        <v>11</v>
      </c>
      <c r="Q25" s="9">
        <f t="shared" si="10"/>
        <v>1</v>
      </c>
      <c r="R25" s="9">
        <f t="shared" si="11"/>
        <v>5</v>
      </c>
      <c r="S25" s="14" t="str" cm="1">
        <f t="array" ref="S25">INDEX('PS-ConceptMap-1'!$I$15:$N$286,Q25+1,R25)</f>
        <v>* group[=].element[=].target.equivalence = #relatedto</v>
      </c>
    </row>
    <row r="26" spans="1:19" ht="59" x14ac:dyDescent="0.75">
      <c r="A26" s="22"/>
      <c r="B26" s="9" t="str">
        <f>PS!B18</f>
        <v>header.participant.legalAuth</v>
      </c>
      <c r="C26" s="9" t="str">
        <f>PS!C18</f>
        <v>A.1.5.2 Legal authenticator</v>
      </c>
      <c r="D26" s="14" t="s">
        <v>854</v>
      </c>
      <c r="E26" s="14"/>
      <c r="F26" s="63" t="s">
        <v>193</v>
      </c>
      <c r="G26" s="70" t="s">
        <v>855</v>
      </c>
      <c r="H26" s="64"/>
      <c r="I26" s="14" t="str">
        <f t="shared" si="4"/>
        <v>* group[=].element[+].code = #PatientSummary.header.participant.legalAuth</v>
      </c>
      <c r="J26" s="14" t="str">
        <f t="shared" si="5"/>
        <v>* group[=].element[=].display = ##34#A.1.5.2 Legal authenticator##34#</v>
      </c>
      <c r="K26" s="14" t="str">
        <f t="shared" si="6"/>
        <v>* group[=].element[=].target.code = #Composition.attester</v>
      </c>
      <c r="L26" s="14" t="str">
        <f t="shared" si="7"/>
        <v>* group[=].element[=].target.display = ##34###34#</v>
      </c>
      <c r="M26" s="14" t="str">
        <f t="shared" si="8"/>
        <v>* group[=].element[=].target.equivalence = #relatedto</v>
      </c>
      <c r="N26" s="14" t="str">
        <f t="shared" si="9"/>
        <v>* group[=].element[=].target.comment = ##34#attester.mode = 'legal'##34#</v>
      </c>
      <c r="P26" s="9">
        <v>12</v>
      </c>
      <c r="Q26" s="9">
        <f t="shared" si="10"/>
        <v>1</v>
      </c>
      <c r="R26" s="9">
        <f t="shared" si="11"/>
        <v>6</v>
      </c>
      <c r="S26" s="14" t="str" cm="1">
        <f t="array" ref="S26">INDEX('PS-ConceptMap-1'!$I$15:$N$286,Q26+1,R26)</f>
        <v/>
      </c>
    </row>
    <row r="27" spans="1:19" ht="59" x14ac:dyDescent="0.75">
      <c r="A27" s="22"/>
      <c r="B27" s="9" t="str">
        <f>PS!B19</f>
        <v>header.additionalInfo</v>
      </c>
      <c r="C27" s="9" t="str">
        <f>PS!C19</f>
        <v>A.1.6 Additional information / Knowledge resources</v>
      </c>
      <c r="D27" s="14"/>
      <c r="E27" s="14"/>
      <c r="F27" s="63" t="s">
        <v>194</v>
      </c>
      <c r="G27" s="91" t="s">
        <v>856</v>
      </c>
      <c r="H27" s="64"/>
      <c r="I27" s="14" t="str">
        <f t="shared" si="4"/>
        <v>* group[=].element[+].code = #PatientSummary.header.additionalInfo</v>
      </c>
      <c r="J27" s="14" t="str">
        <f t="shared" si="5"/>
        <v>* group[=].element[=].display = ##34#A.1.6 Additional information / Knowledge resources##34#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INDEX('PS-ConceptMap-1'!$I$15:$N$286,Q27+1,R27)</f>
        <v>* group[=].element[+].code = #PatientSummary.header.insuranceInfo</v>
      </c>
    </row>
    <row r="28" spans="1:19" ht="59" x14ac:dyDescent="0.75">
      <c r="B28" s="9" t="str">
        <f>PS!B20</f>
        <v>header.additionalInfo.reference</v>
      </c>
      <c r="C28" s="9" t="str">
        <f>PS!C20</f>
        <v>A.1.6.1 External reference</v>
      </c>
      <c r="D28" s="14"/>
      <c r="E28" s="14"/>
      <c r="F28" s="63" t="s">
        <v>194</v>
      </c>
      <c r="G28" s="91" t="s">
        <v>856</v>
      </c>
      <c r="H28" s="64"/>
      <c r="I28" s="14" t="str">
        <f t="shared" si="4"/>
        <v>* group[=].element[+].code = #PatientSummary.header.additionalInfo.reference</v>
      </c>
      <c r="J28" s="14" t="str">
        <f t="shared" si="5"/>
        <v>* group[=].element[=].display = ##34#A.1.6.1 External reference##34#</v>
      </c>
      <c r="K28" s="14" t="str">
        <f t="shared" si="6"/>
        <v>//-- unmatched</v>
      </c>
      <c r="L28" s="14" t="str">
        <f t="shared" si="7"/>
        <v>//-- unmatched</v>
      </c>
      <c r="M28" s="14" t="str">
        <f t="shared" si="8"/>
        <v>* group[=].element[=].target.equivalence = #unmatched</v>
      </c>
      <c r="N28" s="14" t="str">
        <f t="shared" si="9"/>
        <v>* group[=].element[=].target.comment = ##34#Covered by other resources##34#</v>
      </c>
      <c r="P28" s="9">
        <v>14</v>
      </c>
      <c r="Q28" s="9">
        <f t="shared" si="10"/>
        <v>2</v>
      </c>
      <c r="R28" s="9">
        <f t="shared" si="11"/>
        <v>2</v>
      </c>
      <c r="S28" s="14" t="str" cm="1">
        <f t="array" ref="S28">INDEX('PS-ConceptMap-1'!$I$15:$N$286,Q28+1,R28)</f>
        <v>* group[=].element[=].display = ##34#A.1.3 Insurance information##34#</v>
      </c>
    </row>
    <row r="29" spans="1:19" ht="59" x14ac:dyDescent="0.75">
      <c r="B29" s="9" t="str">
        <f>PS!B21</f>
        <v>header.additionalInfo.relatedWith</v>
      </c>
      <c r="C29" s="9" t="str">
        <f>PS!C21</f>
        <v>A.1.6.2 Related with</v>
      </c>
      <c r="D29" s="14"/>
      <c r="E29" s="14"/>
      <c r="F29" s="63" t="s">
        <v>194</v>
      </c>
      <c r="G29" s="91" t="s">
        <v>856</v>
      </c>
      <c r="H29" s="64"/>
      <c r="I29" s="14" t="str">
        <f t="shared" si="4"/>
        <v>* group[=].element[+].code = #PatientSummary.header.additionalInfo.relatedWith</v>
      </c>
      <c r="J29" s="14" t="str">
        <f t="shared" si="5"/>
        <v>* group[=].element[=].display = ##34#A.1.6.2 Related with##34#</v>
      </c>
      <c r="K29" s="14" t="str">
        <f t="shared" si="6"/>
        <v>//-- unmatched</v>
      </c>
      <c r="L29" s="14" t="str">
        <f t="shared" si="7"/>
        <v>//-- unmatched</v>
      </c>
      <c r="M29" s="14" t="str">
        <f t="shared" si="8"/>
        <v>* group[=].element[=].target.equivalence = #unmatched</v>
      </c>
      <c r="N29" s="14" t="str">
        <f t="shared" si="9"/>
        <v>* group[=].element[=].target.comment = ##34#Covered by other resources##34#</v>
      </c>
      <c r="P29" s="9">
        <v>15</v>
      </c>
      <c r="Q29" s="9">
        <f t="shared" si="10"/>
        <v>2</v>
      </c>
      <c r="R29" s="9">
        <f t="shared" si="11"/>
        <v>3</v>
      </c>
      <c r="S29" s="14" t="str" cm="1">
        <f t="array" ref="S29">INDEX('PS-ConceptMap-1'!$I$15:$N$286,Q29+1,R29)</f>
        <v>* group[=].element[=].target.code = #Composition.subject</v>
      </c>
    </row>
    <row r="30" spans="1:19" ht="44.25" x14ac:dyDescent="0.75">
      <c r="B30" s="9" t="str">
        <f>PS!B22</f>
        <v>body</v>
      </c>
      <c r="C30" s="9" t="str">
        <f>PS!C22</f>
        <v>A.2 Patient summary body data elements</v>
      </c>
      <c r="D30" s="14" t="s">
        <v>857</v>
      </c>
      <c r="E30" s="14"/>
      <c r="F30" s="63" t="s">
        <v>193</v>
      </c>
      <c r="G30" s="63"/>
      <c r="H30" s="64"/>
      <c r="I30" s="14" t="str">
        <f t="shared" si="4"/>
        <v>* group[=].element[+].code = #PatientSummary.body</v>
      </c>
      <c r="J30" s="14" t="str">
        <f t="shared" si="5"/>
        <v>* group[=].element[=].display = ##34#A.2 Patient summary body data elements##34#</v>
      </c>
      <c r="K30" s="14" t="str">
        <f t="shared" si="6"/>
        <v>* group[=].element[=].target.code = #Composition.section</v>
      </c>
      <c r="L30" s="14" t="str">
        <f t="shared" si="7"/>
        <v>* group[=].element[=].target.display = ##34###34#</v>
      </c>
      <c r="M30" s="14" t="str">
        <f t="shared" si="8"/>
        <v>* group[=].element[=].target.equivalence = #relatedto</v>
      </c>
      <c r="N30" s="14" t="str">
        <f t="shared" si="9"/>
        <v/>
      </c>
      <c r="P30" s="9">
        <v>16</v>
      </c>
      <c r="Q30" s="9">
        <f t="shared" si="10"/>
        <v>2</v>
      </c>
      <c r="R30" s="9">
        <f t="shared" si="11"/>
        <v>4</v>
      </c>
      <c r="S30" s="14" t="str" cm="1">
        <f t="array" ref="S30">INDEX('PS-ConceptMap-1'!$I$15:$N$286,Q30+1,R30)</f>
        <v>* group[=].element[=].target.display = ##34###34#</v>
      </c>
    </row>
    <row r="31" spans="1:19" ht="44.25" x14ac:dyDescent="0.75">
      <c r="B31" s="9" t="str">
        <f>PS!B23</f>
        <v>body.alerts</v>
      </c>
      <c r="C31" s="9" t="str">
        <f>PS!C23</f>
        <v>A.2.1 Alerts</v>
      </c>
      <c r="D31" s="14" t="s">
        <v>857</v>
      </c>
      <c r="E31" s="14"/>
      <c r="F31" s="63" t="s">
        <v>193</v>
      </c>
      <c r="G31" s="63"/>
      <c r="H31" s="64"/>
      <c r="I31" s="14" t="str">
        <f t="shared" si="4"/>
        <v>* group[=].element[+].code = #PatientSummary.body.alerts</v>
      </c>
      <c r="J31" s="14" t="str">
        <f t="shared" si="5"/>
        <v>* group[=].element[=].display = ##34#A.2.1 Alerts##34#</v>
      </c>
      <c r="K31" s="14" t="str">
        <f t="shared" si="6"/>
        <v>* group[=].element[=].target.code = #Composition.section</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INDEX('PS-ConceptMap-1'!$I$15:$N$286,Q31+1,R31)</f>
        <v>* group[=].element[=].target.equivalence = #relatedto</v>
      </c>
    </row>
    <row r="32" spans="1:19" ht="59" customHeight="1" x14ac:dyDescent="0.75">
      <c r="B32" s="9" t="str">
        <f>PS!B24</f>
        <v>body.alerts.allergy</v>
      </c>
      <c r="C32" s="9" t="str">
        <f>PS!C24</f>
        <v>A.2.1.1 Allergy</v>
      </c>
      <c r="D32" s="14" t="s">
        <v>1337</v>
      </c>
      <c r="E32" s="14"/>
      <c r="F32" s="63" t="s">
        <v>193</v>
      </c>
      <c r="G32" s="63"/>
      <c r="H32" s="64"/>
      <c r="I32" s="14" t="str">
        <f t="shared" si="4"/>
        <v>* group[=].element[+].code = #PatientSummary.body.alerts.allergy</v>
      </c>
      <c r="J32" s="14" t="str">
        <f t="shared" si="5"/>
        <v>* group[=].element[=].display = ##34#A.2.1.1 Allergy##34#</v>
      </c>
      <c r="K32" s="14" t="str">
        <f t="shared" si="6"/>
        <v>* group[=].element[=].target.code = #Composition.section:sectionAllergies</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INDEX('PS-ConceptMap-1'!$I$15:$N$286,Q32+1,R32)</f>
        <v/>
      </c>
    </row>
    <row r="33" spans="1:19" ht="73.75" x14ac:dyDescent="0.75">
      <c r="B33" s="9" t="str">
        <f>PS!B25</f>
        <v>body.alerts.alert</v>
      </c>
      <c r="C33" s="9" t="str">
        <f>PS!C25</f>
        <v>A.2.1.2 Medical alert information (other alerts not included in allergies)</v>
      </c>
      <c r="D33" s="14" t="s">
        <v>960</v>
      </c>
      <c r="E33" s="14"/>
      <c r="F33" s="63" t="s">
        <v>193</v>
      </c>
      <c r="G33" s="63"/>
      <c r="H33" s="64"/>
      <c r="I33" s="14" t="str">
        <f t="shared" si="4"/>
        <v>* group[=].element[+].code = #PatientSummary.body.alerts.alert</v>
      </c>
      <c r="J33" s="14" t="str">
        <f t="shared" si="5"/>
        <v>* group[=].element[=].display = ##34#A.2.1.2 Medical alert information (other alerts not included in allergies)##34#</v>
      </c>
      <c r="K33" s="14" t="str">
        <f t="shared" si="6"/>
        <v>* group[=].element[=].target.code = #Composition.section:sectionAlert</v>
      </c>
      <c r="L33" s="14" t="str">
        <f t="shared" si="7"/>
        <v>* group[=].element[=].target.display = ##34###34#</v>
      </c>
      <c r="M33" s="14" t="str">
        <f t="shared" si="8"/>
        <v>* group[=].element[=].target.equivalence = #relatedto</v>
      </c>
      <c r="N33" s="14" t="str">
        <f t="shared" si="9"/>
        <v/>
      </c>
      <c r="P33" s="9">
        <v>19</v>
      </c>
      <c r="Q33" s="9">
        <f t="shared" si="10"/>
        <v>3</v>
      </c>
      <c r="R33" s="9">
        <f t="shared" si="11"/>
        <v>1</v>
      </c>
      <c r="S33" s="14" t="str" cm="1">
        <f t="array" ref="S33">INDEX('PS-ConceptMap-1'!$I$15:$N$286,Q33+1,R33)</f>
        <v>* group[=].element[+].code = #PatientSummary.header.insuranceInfo.insuranceNumber</v>
      </c>
    </row>
    <row r="34" spans="1:19" ht="73.75" x14ac:dyDescent="0.75">
      <c r="B34" s="9" t="str">
        <f>PS!B26</f>
        <v>body.alerts.alert.description</v>
      </c>
      <c r="C34" s="9" t="str">
        <f>PS!C26</f>
        <v>A.2.1.2.1 Healthcare alert description</v>
      </c>
      <c r="D34" s="14" t="s">
        <v>961</v>
      </c>
      <c r="E34" s="14"/>
      <c r="F34" s="63" t="s">
        <v>193</v>
      </c>
      <c r="G34" s="63" t="s">
        <v>1338</v>
      </c>
      <c r="H34" s="64"/>
      <c r="I34" s="14" t="str">
        <f t="shared" si="4"/>
        <v>* group[=].element[+].code = #PatientSummary.body.alerts.alert.description</v>
      </c>
      <c r="J34" s="14" t="str">
        <f t="shared" si="5"/>
        <v>* group[=].element[=].display = ##34#A.2.1.2.1 Healthcare alert description##34#</v>
      </c>
      <c r="K34" s="14" t="str">
        <f t="shared" si="6"/>
        <v>* group[=].element[=].target.code = #Composition.section:sectionAlert.text</v>
      </c>
      <c r="L34" s="14" t="str">
        <f t="shared" si="7"/>
        <v>* group[=].element[=].target.display = ##34###34#</v>
      </c>
      <c r="M34" s="14" t="str">
        <f t="shared" si="8"/>
        <v>* group[=].element[=].target.equivalence = #relatedto</v>
      </c>
      <c r="N34" s="14" t="str">
        <f t="shared" si="9"/>
        <v>* group[=].element[=].target.comment = ##34#Common textual descirption##34#</v>
      </c>
      <c r="P34" s="9">
        <v>20</v>
      </c>
      <c r="Q34" s="9">
        <f t="shared" si="10"/>
        <v>3</v>
      </c>
      <c r="R34" s="9">
        <f t="shared" si="11"/>
        <v>2</v>
      </c>
      <c r="S34" s="14" t="str" cm="1">
        <f t="array" ref="S34">INDEX('PS-ConceptMap-1'!$I$15:$N$286,Q34+1,R34)</f>
        <v>* group[=].element[=].display = ##34#A.1.3.1  Insurance number##34#</v>
      </c>
    </row>
    <row r="35" spans="1:19" ht="73.75" x14ac:dyDescent="0.75">
      <c r="B35" s="107" t="str">
        <f>PS!B26</f>
        <v>body.alerts.alert.description</v>
      </c>
      <c r="C35" s="107" t="str">
        <f>PS!C26</f>
        <v>A.2.1.2.1 Healthcare alert description</v>
      </c>
      <c r="D35" s="14" t="s">
        <v>962</v>
      </c>
      <c r="E35" s="14"/>
      <c r="F35" s="63" t="s">
        <v>193</v>
      </c>
      <c r="G35" s="63" t="s">
        <v>1339</v>
      </c>
      <c r="H35" s="64"/>
      <c r="I35" s="14" t="str">
        <f t="shared" si="4"/>
        <v>* group[=].element[+].code = #PatientSummary.body.alerts.alert.description</v>
      </c>
      <c r="J35" s="14" t="str">
        <f t="shared" si="5"/>
        <v>* group[=].element[=].display = ##34#A.2.1.2.1 Healthcare alert description##34#</v>
      </c>
      <c r="K35" s="14" t="str">
        <f t="shared" si="6"/>
        <v>* group[=].element[=].target.code = #Composition.section:sectionAlert.entry.code.text</v>
      </c>
      <c r="L35" s="14" t="str">
        <f t="shared" si="7"/>
        <v>* group[=].element[=].target.display = ##34###34#</v>
      </c>
      <c r="M35" s="14" t="str">
        <f t="shared" si="8"/>
        <v>* group[=].element[=].target.equivalence = #relatedto</v>
      </c>
      <c r="N35" s="14" t="str">
        <f t="shared" si="9"/>
        <v>* group[=].element[=].target.comment = ##34#entry level description##34#</v>
      </c>
      <c r="P35" s="9">
        <v>21</v>
      </c>
      <c r="Q35" s="9">
        <f t="shared" si="10"/>
        <v>3</v>
      </c>
      <c r="R35" s="9">
        <f t="shared" si="11"/>
        <v>3</v>
      </c>
      <c r="S35" s="14" t="str" cm="1">
        <f t="array" ref="S35">INDEX('PS-ConceptMap-1'!$I$15:$N$286,Q35+1,R35)</f>
        <v>* group[=].element[=].target.code = #Composition.subject.identifier</v>
      </c>
    </row>
    <row r="36" spans="1:19" ht="44.25" x14ac:dyDescent="0.75">
      <c r="B36" s="9" t="str">
        <f>PS!B27</f>
        <v>body.medicalHistory</v>
      </c>
      <c r="C36" s="9" t="str">
        <f>PS!C27</f>
        <v>A.2.2 Medical history</v>
      </c>
      <c r="D36" s="14" t="s">
        <v>857</v>
      </c>
      <c r="E36" s="14"/>
      <c r="F36" s="63" t="s">
        <v>193</v>
      </c>
      <c r="G36" s="63"/>
      <c r="H36" s="64"/>
      <c r="I36" s="14" t="str">
        <f t="shared" si="4"/>
        <v>* group[=].element[+].code = #PatientSummary.body.medicalHistory</v>
      </c>
      <c r="J36" s="14" t="str">
        <f t="shared" si="5"/>
        <v>* group[=].element[=].display = ##34#A.2.2 Medical history##34#</v>
      </c>
      <c r="K36" s="14" t="str">
        <f t="shared" si="6"/>
        <v>* group[=].element[=].target.code = #Composition.section</v>
      </c>
      <c r="L36" s="14" t="str">
        <f t="shared" si="7"/>
        <v>* group[=].element[=].target.display = ##34###34#</v>
      </c>
      <c r="M36" s="14" t="str">
        <f t="shared" si="8"/>
        <v>* group[=].element[=].target.equivalence = #relatedto</v>
      </c>
      <c r="N36" s="14" t="str">
        <f t="shared" si="9"/>
        <v/>
      </c>
      <c r="P36" s="9">
        <v>22</v>
      </c>
      <c r="Q36" s="9">
        <f t="shared" si="10"/>
        <v>3</v>
      </c>
      <c r="R36" s="9">
        <f t="shared" si="11"/>
        <v>4</v>
      </c>
      <c r="S36" s="14" t="str" cm="1">
        <f t="array" ref="S36">INDEX('PS-ConceptMap-1'!$I$15:$N$286,Q36+1,R36)</f>
        <v>* group[=].element[=].target.display = ##34###34#</v>
      </c>
    </row>
    <row r="37" spans="1:19" ht="73.75" x14ac:dyDescent="0.75">
      <c r="B37" s="9" t="str">
        <f>PS!B28</f>
        <v>body.medicalHistory.vaccination</v>
      </c>
      <c r="C37" s="9" t="str">
        <f>PS!C28</f>
        <v>A.2.2.1 Vaccination/ prophylaxis information</v>
      </c>
      <c r="D37" s="14" t="s">
        <v>1340</v>
      </c>
      <c r="E37" s="14"/>
      <c r="F37" s="63" t="s">
        <v>192</v>
      </c>
      <c r="G37" s="70"/>
      <c r="H37" s="64"/>
      <c r="I37" s="14" t="str">
        <f t="shared" si="4"/>
        <v>* group[=].element[+].code = #PatientSummary.body.medicalHistory.vaccination</v>
      </c>
      <c r="J37" s="14" t="str">
        <f t="shared" si="5"/>
        <v>* group[=].element[=].display = ##34#A.2.2.1 Vaccination/ prophylaxis information##34#</v>
      </c>
      <c r="K37" s="14" t="str">
        <f t="shared" si="6"/>
        <v>* group[=].element[=].target.code = #Composition.section:sectionImmunizations</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INDEX('PS-ConceptMap-1'!$I$15:$N$286,Q37+1,R37)</f>
        <v>* group[=].element[=].target.equivalence = #relatedto</v>
      </c>
    </row>
    <row r="38" spans="1:19" ht="73.75" customHeight="1" x14ac:dyDescent="0.75">
      <c r="B38" s="9" t="str">
        <f>PS!B29</f>
        <v>body.medicalHistory.inactiveProblem</v>
      </c>
      <c r="C38" s="9" t="str">
        <f>PS!C29</f>
        <v>A.2.2.2 Resolved, closed or inactive problems</v>
      </c>
      <c r="D38" s="14" t="s">
        <v>1341</v>
      </c>
      <c r="E38" s="14"/>
      <c r="F38" s="63" t="s">
        <v>192</v>
      </c>
      <c r="G38" s="63"/>
      <c r="H38" s="64"/>
      <c r="I38" s="14" t="str">
        <f t="shared" si="4"/>
        <v>* group[=].element[+].code = #PatientSummary.body.medicalHistory.inactiveProblem</v>
      </c>
      <c r="J38" s="14" t="str">
        <f t="shared" si="5"/>
        <v>* group[=].element[=].display = ##34#A.2.2.2 Resolved, closed or inactive problems##34#</v>
      </c>
      <c r="K38" s="14" t="str">
        <f t="shared" si="6"/>
        <v>* group[=].element[=].target.code = #Composition.section:sectionPastIllnessHx</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INDEX('PS-ConceptMap-1'!$I$15:$N$286,Q38+1,R38)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44.25" x14ac:dyDescent="0.75">
      <c r="B39" s="9" t="str">
        <f>PS!B30</f>
        <v>body.medicalHistory.anamnesis</v>
      </c>
      <c r="C39" s="9" t="str">
        <f>PS!C30</f>
        <v>A.2.2.3 Medical history</v>
      </c>
      <c r="D39" s="14" t="s">
        <v>857</v>
      </c>
      <c r="E39" s="14"/>
      <c r="F39" s="63" t="s">
        <v>193</v>
      </c>
      <c r="G39" s="63"/>
      <c r="H39" s="64"/>
      <c r="I39" s="14" t="str">
        <f t="shared" si="4"/>
        <v>* group[=].element[+].code = #PatientSummary.body.medicalHistory.anamnesis</v>
      </c>
      <c r="J39" s="14" t="str">
        <f t="shared" si="5"/>
        <v>* group[=].element[=].display = ##34#A.2.2.3 Medical history##34#</v>
      </c>
      <c r="K39" s="14" t="str">
        <f t="shared" si="6"/>
        <v>* group[=].element[=].target.code = #Composition.section</v>
      </c>
      <c r="L39" s="14" t="str">
        <f t="shared" si="7"/>
        <v>* group[=].element[=].target.display = ##34###34#</v>
      </c>
      <c r="M39" s="14" t="str">
        <f t="shared" si="8"/>
        <v>* group[=].element[=].target.equivalence = #relatedto</v>
      </c>
      <c r="N39" s="14" t="str">
        <f t="shared" si="9"/>
        <v/>
      </c>
      <c r="P39" s="9">
        <v>25</v>
      </c>
      <c r="Q39" s="9">
        <f t="shared" si="10"/>
        <v>4</v>
      </c>
      <c r="R39" s="9">
        <f t="shared" si="11"/>
        <v>1</v>
      </c>
      <c r="S39" s="14" t="str" cm="1">
        <f t="array" ref="S39">INDEX('PS-ConceptMap-1'!$I$15:$N$286,Q39+1,R39)</f>
        <v>* group[=].element[+].code = #PatientSummary.header.documentData</v>
      </c>
    </row>
    <row r="40" spans="1:19" ht="73.75" x14ac:dyDescent="0.75">
      <c r="B40" s="9" t="str">
        <f>PS!B31</f>
        <v>body.medicalHistory.anamnesis.details</v>
      </c>
      <c r="C40" s="9" t="str">
        <f>PS!C31</f>
        <v>A.2.2.3.1 Medical history</v>
      </c>
      <c r="D40" s="14" t="s">
        <v>1161</v>
      </c>
      <c r="E40" s="14"/>
      <c r="F40" s="63" t="s">
        <v>193</v>
      </c>
      <c r="G40" s="63"/>
      <c r="H40" s="64"/>
      <c r="I40" s="14" t="str">
        <f t="shared" si="4"/>
        <v>* group[=].element[+].code = #PatientSummary.body.medicalHistory.anamnesis.details</v>
      </c>
      <c r="J40" s="14" t="str">
        <f t="shared" si="5"/>
        <v>* group[=].element[=].display = ##34#A.2.2.3.1 Medical history##34#</v>
      </c>
      <c r="K40" s="14" t="str">
        <f t="shared" si="6"/>
        <v>* group[=].element[=].target.code = #Composition.section:section:sectionPatientHx</v>
      </c>
      <c r="L40" s="14" t="str">
        <f t="shared" si="7"/>
        <v>* group[=].element[=].target.display = ##34###34#</v>
      </c>
      <c r="M40" s="14" t="str">
        <f t="shared" si="8"/>
        <v>* group[=].element[=].target.equivalence = #relatedto</v>
      </c>
      <c r="N40" s="14" t="str">
        <f t="shared" si="9"/>
        <v/>
      </c>
      <c r="P40" s="9">
        <v>26</v>
      </c>
      <c r="Q40" s="9">
        <f t="shared" si="10"/>
        <v>4</v>
      </c>
      <c r="R40" s="9">
        <f t="shared" si="11"/>
        <v>2</v>
      </c>
      <c r="S40" s="14" t="str" cm="1">
        <f t="array" ref="S40">INDEX('PS-ConceptMap-1'!$I$15:$N$286,Q40+1,R40)</f>
        <v>* group[=].element[=].display = ##34#A.1.4 Document data##34#</v>
      </c>
    </row>
    <row r="41" spans="1:19" ht="44.25" x14ac:dyDescent="0.75">
      <c r="B41" s="9" t="str">
        <f>PS!B32</f>
        <v>body.medicalProblems</v>
      </c>
      <c r="C41" s="9" t="str">
        <f>PS!C32</f>
        <v>A.2.3 Medical problems</v>
      </c>
      <c r="D41" s="14" t="s">
        <v>857</v>
      </c>
      <c r="E41" s="14"/>
      <c r="F41" s="63" t="s">
        <v>193</v>
      </c>
      <c r="G41" s="63"/>
      <c r="H41" s="64"/>
      <c r="I41" s="14" t="str">
        <f t="shared" si="4"/>
        <v>* group[=].element[+].code = #PatientSummary.body.medicalProblems</v>
      </c>
      <c r="J41" s="14" t="str">
        <f t="shared" si="5"/>
        <v>* group[=].element[=].display = ##34#A.2.3 Medical problems##34#</v>
      </c>
      <c r="K41" s="14" t="str">
        <f t="shared" si="6"/>
        <v>* group[=].element[=].target.code = #Composition.section</v>
      </c>
      <c r="L41" s="14" t="str">
        <f t="shared" si="7"/>
        <v>* group[=].element[=].target.display = ##34###34#</v>
      </c>
      <c r="M41" s="14" t="str">
        <f t="shared" si="8"/>
        <v>* group[=].element[=].target.equivalence = #relatedto</v>
      </c>
      <c r="N41" s="14" t="str">
        <f t="shared" si="9"/>
        <v/>
      </c>
      <c r="P41" s="9">
        <v>27</v>
      </c>
      <c r="Q41" s="9">
        <f t="shared" si="10"/>
        <v>4</v>
      </c>
      <c r="R41" s="9">
        <f t="shared" si="11"/>
        <v>3</v>
      </c>
      <c r="S41" s="14" t="str" cm="1">
        <f t="array" ref="S41">INDEX('PS-ConceptMap-1'!$I$15:$N$286,Q41+1,R41)</f>
        <v>* group[=].element[=].target.code = #Composition</v>
      </c>
    </row>
    <row r="42" spans="1:19" ht="73.75" x14ac:dyDescent="0.75">
      <c r="B42" s="9" t="str">
        <f>PS!B33</f>
        <v>body.medicalProblems.problems</v>
      </c>
      <c r="C42" s="9" t="str">
        <f>PS!C33</f>
        <v>A.2.3.1 Current problems</v>
      </c>
      <c r="D42" s="14" t="s">
        <v>1152</v>
      </c>
      <c r="E42" s="14"/>
      <c r="F42" s="63" t="s">
        <v>192</v>
      </c>
      <c r="G42" s="63"/>
      <c r="H42" s="64"/>
      <c r="I42" s="14" t="str">
        <f t="shared" si="4"/>
        <v>* group[=].element[+].code = #PatientSummary.body.medicalProblems.problems</v>
      </c>
      <c r="J42" s="14" t="str">
        <f t="shared" si="5"/>
        <v>* group[=].element[=].display = ##34#A.2.3.1 Current problems##34#</v>
      </c>
      <c r="K42" s="14" t="str">
        <f t="shared" si="6"/>
        <v>* group[=].element[=].target.code = #Composition.section:section:sectionProblems</v>
      </c>
      <c r="L42" s="14" t="str">
        <f t="shared" si="7"/>
        <v>* group[=].element[=].target.display = ##34###34#</v>
      </c>
      <c r="M42" s="14" t="str">
        <f t="shared" si="8"/>
        <v>* group[=].element[=].target.equivalence = #equivalent</v>
      </c>
      <c r="N42" s="14" t="str">
        <f t="shared" si="9"/>
        <v/>
      </c>
      <c r="P42" s="9">
        <v>28</v>
      </c>
      <c r="Q42" s="9">
        <f t="shared" si="10"/>
        <v>4</v>
      </c>
      <c r="R42" s="9">
        <f t="shared" si="11"/>
        <v>4</v>
      </c>
      <c r="S42" s="14" t="str" cm="1">
        <f t="array" ref="S42">INDEX('PS-ConceptMap-1'!$I$15:$N$286,Q42+1,R42)</f>
        <v>* group[=].element[=].target.display = ##34###34#</v>
      </c>
    </row>
    <row r="43" spans="1:19" ht="73.75" customHeight="1" x14ac:dyDescent="0.75">
      <c r="B43" s="9" t="str">
        <f>PS!B34</f>
        <v>body.medicalProblems.medicalDevices</v>
      </c>
      <c r="C43" s="9" t="str">
        <f>PS!C34</f>
        <v>A.2.3.2 Medical devices and implants</v>
      </c>
      <c r="D43" s="14" t="s">
        <v>1314</v>
      </c>
      <c r="E43" s="14"/>
      <c r="F43" s="63" t="s">
        <v>192</v>
      </c>
      <c r="G43" s="63"/>
      <c r="H43" s="64"/>
      <c r="I43" s="14" t="str">
        <f t="shared" si="4"/>
        <v>* group[=].element[+].code = #PatientSummary.body.medicalProblems.medicalDevices</v>
      </c>
      <c r="J43" s="14" t="str">
        <f t="shared" si="5"/>
        <v>* group[=].element[=].display = ##34#A.2.3.2 Medical devices and implants##34#</v>
      </c>
      <c r="K43" s="14" t="str">
        <f t="shared" si="6"/>
        <v>* group[=].element[=].target.code = #Composition.section:sectionMedicalDevices</v>
      </c>
      <c r="L43" s="14" t="str">
        <f t="shared" si="7"/>
        <v>* group[=].element[=].target.display = ##34###34#</v>
      </c>
      <c r="M43" s="14" t="str">
        <f t="shared" si="8"/>
        <v>* group[=].element[=].target.equivalence = #equivalent</v>
      </c>
      <c r="N43" s="14" t="str">
        <f t="shared" si="9"/>
        <v/>
      </c>
      <c r="P43" s="9">
        <v>29</v>
      </c>
      <c r="Q43" s="9">
        <f t="shared" si="10"/>
        <v>4</v>
      </c>
      <c r="R43" s="9">
        <f t="shared" si="11"/>
        <v>5</v>
      </c>
      <c r="S43" s="14" t="str" cm="1">
        <f t="array" ref="S43">INDEX('PS-ConceptMap-1'!$I$15:$N$286,Q43+1,R43)</f>
        <v>* group[=].element[=].target.equivalence = #relatedto</v>
      </c>
    </row>
    <row r="44" spans="1:19" ht="73.75" customHeight="1" x14ac:dyDescent="0.75">
      <c r="B44" s="9" t="str">
        <f>PS!B35</f>
        <v>body.medicalProblems.procedures</v>
      </c>
      <c r="C44" s="9" t="str">
        <f>PS!C35</f>
        <v>A.2.3.3 Procedures</v>
      </c>
      <c r="D44" s="14" t="s">
        <v>860</v>
      </c>
      <c r="E44" s="14"/>
      <c r="F44" s="63" t="s">
        <v>192</v>
      </c>
      <c r="G44" s="14"/>
      <c r="H44" s="64"/>
      <c r="I44" s="14" t="str">
        <f t="shared" si="4"/>
        <v>* group[=].element[+].code = #PatientSummary.body.medicalProblems.procedures</v>
      </c>
      <c r="J44" s="14" t="str">
        <f t="shared" si="5"/>
        <v>* group[=].element[=].display = ##34#A.2.3.3 Procedures##34#</v>
      </c>
      <c r="K44" s="14" t="str">
        <f t="shared" si="6"/>
        <v>* group[=].element[=].target.code = #Composition.section:sectionProceduresHx</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INDEX('PS-ConceptMap-1'!$I$15:$N$286,Q44+1,R44)</f>
        <v/>
      </c>
    </row>
    <row r="45" spans="1:19" s="1" customFormat="1" ht="73.75" x14ac:dyDescent="0.75">
      <c r="A45"/>
      <c r="B45" s="9" t="str">
        <f>PS!B36</f>
        <v>body.medicalProblems.functionalStatus</v>
      </c>
      <c r="C45" s="9" t="str">
        <f>PS!C36</f>
        <v>A.2.3.4 Functional status</v>
      </c>
      <c r="D45" s="14" t="s">
        <v>859</v>
      </c>
      <c r="E45" s="14"/>
      <c r="F45" s="63" t="s">
        <v>192</v>
      </c>
      <c r="G45" s="63"/>
      <c r="H45" s="64"/>
      <c r="I45" s="14" t="str">
        <f t="shared" si="4"/>
        <v>* group[=].element[+].code = #PatientSummary.body.medicalProblems.functionalStatus</v>
      </c>
      <c r="J45" s="14" t="str">
        <f t="shared" si="5"/>
        <v>* group[=].element[=].display = ##34#A.2.3.4 Functional status##34#</v>
      </c>
      <c r="K45" s="14" t="str">
        <f t="shared" si="6"/>
        <v>* group[=].element[=].target.code = #Composition.section:sectionFunctionalStatus</v>
      </c>
      <c r="L45" s="14" t="str">
        <f t="shared" si="7"/>
        <v>* group[=].element[=].target.display = ##34###34#</v>
      </c>
      <c r="M45" s="14" t="str">
        <f t="shared" si="8"/>
        <v>* group[=].element[=].target.equivalence = #equivalent</v>
      </c>
      <c r="N45" s="14" t="str">
        <f t="shared" si="9"/>
        <v/>
      </c>
      <c r="P45" s="9">
        <v>31</v>
      </c>
      <c r="Q45" s="9">
        <f t="shared" si="10"/>
        <v>5</v>
      </c>
      <c r="R45" s="9">
        <f t="shared" si="11"/>
        <v>1</v>
      </c>
      <c r="S45" s="14" t="str" cm="1">
        <f t="array" ref="S45">INDEX('PS-ConceptMap-1'!$I$15:$N$286,Q45+1,R45)</f>
        <v>* group[=].element[+].code = #PatientSummary.header.documentData.created</v>
      </c>
    </row>
    <row r="46" spans="1:19" s="1" customFormat="1" ht="73.75" x14ac:dyDescent="0.75">
      <c r="A46"/>
      <c r="B46" s="9" t="str">
        <f>PS!B37</f>
        <v>body.medicationSummary</v>
      </c>
      <c r="C46" s="9" t="str">
        <f>PS!C37</f>
        <v>A.2.4 Medication summary</v>
      </c>
      <c r="D46" s="14" t="s">
        <v>861</v>
      </c>
      <c r="E46" s="14"/>
      <c r="F46" s="63" t="s">
        <v>192</v>
      </c>
      <c r="G46" s="63"/>
      <c r="H46" s="64"/>
      <c r="I46" s="14" t="str">
        <f t="shared" si="4"/>
        <v>* group[=].element[+].code = #PatientSummary.body.medicationSummary</v>
      </c>
      <c r="J46" s="14" t="str">
        <f t="shared" si="5"/>
        <v>* group[=].element[=].display = ##34#A.2.4 Medication summary##34#</v>
      </c>
      <c r="K46" s="14" t="str">
        <f t="shared" si="6"/>
        <v>* group[=].element[=].target.code = #Composition.section:sectionMedications</v>
      </c>
      <c r="L46" s="14" t="str">
        <f t="shared" si="7"/>
        <v>* group[=].element[=].target.display = ##34###34#</v>
      </c>
      <c r="M46" s="14" t="str">
        <f t="shared" si="8"/>
        <v>* group[=].element[=].target.equivalence = #equivalent</v>
      </c>
      <c r="N46" s="14" t="str">
        <f t="shared" si="9"/>
        <v/>
      </c>
      <c r="P46" s="9">
        <v>32</v>
      </c>
      <c r="Q46" s="9">
        <f t="shared" si="10"/>
        <v>5</v>
      </c>
      <c r="R46" s="9">
        <f t="shared" si="11"/>
        <v>2</v>
      </c>
      <c r="S46" s="14" t="str" cm="1">
        <f t="array" ref="S46">INDEX('PS-ConceptMap-1'!$I$15:$N$286,Q46+1,R46)</f>
        <v>* group[=].element[=].display = ##34#A.1.4.1 Date created##34#</v>
      </c>
    </row>
    <row r="47" spans="1:19" s="1" customFormat="1" ht="73.75" x14ac:dyDescent="0.75">
      <c r="A47"/>
      <c r="B47" s="9" t="str">
        <f>PS!B38</f>
        <v>body.medicationSummary.medication</v>
      </c>
      <c r="C47" s="9" t="str">
        <f>PS!C38</f>
        <v>A.2.4.1 Current and relevant past medicines</v>
      </c>
      <c r="D47" s="14" t="s">
        <v>1056</v>
      </c>
      <c r="E47" s="14"/>
      <c r="F47" s="63" t="s">
        <v>192</v>
      </c>
      <c r="G47" s="63"/>
      <c r="H47" s="64"/>
      <c r="I47" s="14" t="str">
        <f t="shared" si="4"/>
        <v>* group[=].element[+].code = #PatientSummary.body.medicationSummary.medication</v>
      </c>
      <c r="J47" s="14" t="str">
        <f t="shared" si="5"/>
        <v>* group[=].element[=].display = ##34#A.2.4.1 Current and relevant past medicines##34#</v>
      </c>
      <c r="K47" s="14" t="str">
        <f t="shared" si="6"/>
        <v>* group[=].element[=].target.code = #Composition.section:sectionMedications.entry</v>
      </c>
      <c r="L47" s="14" t="str">
        <f t="shared" si="7"/>
        <v>* group[=].element[=].target.display = ##34###34#</v>
      </c>
      <c r="M47" s="14" t="str">
        <f t="shared" si="8"/>
        <v>* group[=].element[=].target.equivalence = #equivalent</v>
      </c>
      <c r="N47" s="14" t="str">
        <f t="shared" si="9"/>
        <v/>
      </c>
      <c r="P47" s="9">
        <v>33</v>
      </c>
      <c r="Q47" s="9">
        <f t="shared" si="10"/>
        <v>5</v>
      </c>
      <c r="R47" s="9">
        <f t="shared" si="11"/>
        <v>3</v>
      </c>
      <c r="S47" s="14" t="str" cm="1">
        <f t="array" ref="S47">INDEX('PS-ConceptMap-1'!$I$15:$N$286,Q47+1,R47)</f>
        <v>* group[=].element[=].target.code = #Composition.date</v>
      </c>
    </row>
    <row r="48" spans="1:19" s="1" customFormat="1" ht="73.75" x14ac:dyDescent="0.75">
      <c r="A48"/>
      <c r="B48" s="9" t="str">
        <f>PS!B39</f>
        <v>body.socialHistory</v>
      </c>
      <c r="C48" s="9" t="str">
        <f>PS!C39</f>
        <v>A.2.5 Social history</v>
      </c>
      <c r="D48" s="14" t="s">
        <v>862</v>
      </c>
      <c r="E48" s="14"/>
      <c r="F48" s="63" t="s">
        <v>192</v>
      </c>
      <c r="G48" s="63"/>
      <c r="H48" s="64"/>
      <c r="I48" s="14" t="str">
        <f t="shared" si="4"/>
        <v>* group[=].element[+].code = #PatientSummary.body.socialHistory</v>
      </c>
      <c r="J48" s="14" t="str">
        <f t="shared" si="5"/>
        <v>* group[=].element[=].display = ##34#A.2.5 Social history##34#</v>
      </c>
      <c r="K48" s="14" t="str">
        <f t="shared" si="6"/>
        <v>* group[=].element[=].target.code = #Composition.section:sectionSocialHistory</v>
      </c>
      <c r="L48" s="14" t="str">
        <f t="shared" si="7"/>
        <v>* group[=].element[=].target.display = ##34###34#</v>
      </c>
      <c r="M48" s="14" t="str">
        <f t="shared" si="8"/>
        <v>* group[=].element[=].target.equivalence = #equivalent</v>
      </c>
      <c r="N48" s="14" t="str">
        <f t="shared" si="9"/>
        <v/>
      </c>
      <c r="P48" s="9">
        <v>34</v>
      </c>
      <c r="Q48" s="9">
        <f t="shared" si="10"/>
        <v>5</v>
      </c>
      <c r="R48" s="9">
        <f t="shared" si="11"/>
        <v>4</v>
      </c>
      <c r="S48" s="14" t="str" cm="1">
        <f t="array" ref="S48">INDEX('PS-ConceptMap-1'!$I$15:$N$286,Q48+1,R48)</f>
        <v>* group[=].element[=].target.display = ##34###34#</v>
      </c>
    </row>
    <row r="49" spans="1:19" s="1" customFormat="1" ht="73.75" x14ac:dyDescent="0.75">
      <c r="A49"/>
      <c r="B49" s="9" t="str">
        <f>PS!B40</f>
        <v>body.socialHistory.observation</v>
      </c>
      <c r="C49" s="9" t="str">
        <f>PS!C40</f>
        <v>A.2.5.1 Social history observations related to health</v>
      </c>
      <c r="D49" s="14" t="s">
        <v>1242</v>
      </c>
      <c r="E49" s="14"/>
      <c r="F49" s="63" t="s">
        <v>192</v>
      </c>
      <c r="G49" s="63"/>
      <c r="H49" s="64"/>
      <c r="I49" s="14" t="str">
        <f t="shared" si="4"/>
        <v>* group[=].element[+].code = #PatientSummary.body.socialHistory.observation</v>
      </c>
      <c r="J49" s="14" t="str">
        <f t="shared" si="5"/>
        <v>* group[=].element[=].display = ##34#A.2.5.1 Social history observations related to health##34#</v>
      </c>
      <c r="K49" s="14" t="str">
        <f t="shared" si="6"/>
        <v>* group[=].element[=].target.code = #Composition.section:sectionSocialHistory.entry</v>
      </c>
      <c r="L49" s="14" t="str">
        <f t="shared" si="7"/>
        <v>* group[=].element[=].target.display = ##34###34#</v>
      </c>
      <c r="M49" s="14" t="str">
        <f t="shared" si="8"/>
        <v>* group[=].element[=].target.equivalence = #equivalent</v>
      </c>
      <c r="N49" s="14" t="str">
        <f t="shared" si="9"/>
        <v/>
      </c>
      <c r="P49" s="9">
        <v>35</v>
      </c>
      <c r="Q49" s="9">
        <f t="shared" si="10"/>
        <v>5</v>
      </c>
      <c r="R49" s="9">
        <f t="shared" si="11"/>
        <v>5</v>
      </c>
      <c r="S49" s="14" t="str" cm="1">
        <f t="array" ref="S49">INDEX('PS-ConceptMap-1'!$I$15:$N$286,Q49+1,R49)</f>
        <v>* group[=].element[=].target.equivalence = #relatedto</v>
      </c>
    </row>
    <row r="50" spans="1:19" s="1" customFormat="1" ht="73.75" x14ac:dyDescent="0.75">
      <c r="A50"/>
      <c r="B50" s="9" t="str">
        <f>PS!B41</f>
        <v>body.socialHistory.referenceRange</v>
      </c>
      <c r="C50" s="9" t="str">
        <f>PS!C41</f>
        <v>A.2.5.2 Reference date range</v>
      </c>
      <c r="D50" s="14" t="s">
        <v>1243</v>
      </c>
      <c r="E50" s="14"/>
      <c r="F50" s="63" t="s">
        <v>192</v>
      </c>
      <c r="G50" s="63"/>
      <c r="H50" s="64"/>
      <c r="I50" s="14" t="str">
        <f t="shared" si="4"/>
        <v>* group[=].element[+].code = #PatientSummary.body.socialHistory.referenceRange</v>
      </c>
      <c r="J50" s="14" t="str">
        <f t="shared" si="5"/>
        <v>* group[=].element[=].display = ##34#A.2.5.2 Reference date range##34#</v>
      </c>
      <c r="K50" s="14" t="str">
        <f t="shared" si="6"/>
        <v>* group[=].element[=].target.code = #Composition.section:sectionSocialHistory.entry.effective[x]</v>
      </c>
      <c r="L50" s="14" t="str">
        <f t="shared" si="7"/>
        <v>* group[=].element[=].target.display = ##34###34#</v>
      </c>
      <c r="M50" s="14" t="str">
        <f t="shared" si="8"/>
        <v>* group[=].element[=].target.equivalence = #equivalent</v>
      </c>
      <c r="N50" s="14" t="str">
        <f t="shared" si="9"/>
        <v/>
      </c>
      <c r="P50" s="9">
        <v>36</v>
      </c>
      <c r="Q50" s="9">
        <f t="shared" si="10"/>
        <v>5</v>
      </c>
      <c r="R50" s="9">
        <f t="shared" si="11"/>
        <v>6</v>
      </c>
      <c r="S50" s="14" t="str" cm="1">
        <f t="array" ref="S50">INDEX('PS-ConceptMap-1'!$I$15:$N$286,Q50+1,R50)</f>
        <v/>
      </c>
    </row>
    <row r="51" spans="1:19" s="1" customFormat="1" ht="73.75" x14ac:dyDescent="0.75">
      <c r="A51"/>
      <c r="B51" s="9" t="str">
        <f>PS!B42</f>
        <v>body.pregnancyHistory</v>
      </c>
      <c r="C51" s="9" t="str">
        <f>PS!C42</f>
        <v>A.2.6 Pregnancy history</v>
      </c>
      <c r="D51" s="14" t="s">
        <v>863</v>
      </c>
      <c r="E51" s="14"/>
      <c r="F51" s="63" t="s">
        <v>192</v>
      </c>
      <c r="G51" s="63"/>
      <c r="H51" s="64"/>
      <c r="I51" s="14" t="str">
        <f t="shared" si="4"/>
        <v>* group[=].element[+].code = #PatientSummary.body.pregnancyHistory</v>
      </c>
      <c r="J51" s="14" t="str">
        <f t="shared" si="5"/>
        <v>* group[=].element[=].display = ##34#A.2.6 Pregnancy history##34#</v>
      </c>
      <c r="K51" s="14" t="str">
        <f t="shared" si="6"/>
        <v>* group[=].element[=].target.code = #Composition.section:sectionPregnancyHx</v>
      </c>
      <c r="L51" s="14" t="str">
        <f t="shared" si="7"/>
        <v>* group[=].element[=].target.display = ##34###34#</v>
      </c>
      <c r="M51" s="14" t="str">
        <f t="shared" si="8"/>
        <v>* group[=].element[=].target.equivalence = #equivalent</v>
      </c>
      <c r="N51" s="14" t="str">
        <f t="shared" si="9"/>
        <v/>
      </c>
      <c r="P51" s="9">
        <v>37</v>
      </c>
      <c r="Q51" s="9">
        <f t="shared" si="10"/>
        <v>6</v>
      </c>
      <c r="R51" s="9">
        <f t="shared" si="11"/>
        <v>1</v>
      </c>
      <c r="S51" s="14" t="str" cm="1">
        <f t="array" ref="S51">INDEX('PS-ConceptMap-1'!$I$15:$N$286,Q51+1,R51)</f>
        <v>* group[=].element[+].code = #PatientSummary.header.documentData.lastUpdate</v>
      </c>
    </row>
    <row r="52" spans="1:19" s="1" customFormat="1" ht="44.25" x14ac:dyDescent="0.75">
      <c r="A52"/>
      <c r="B52" s="9" t="str">
        <f>PS!B43</f>
        <v>body.patientData</v>
      </c>
      <c r="C52" s="9" t="str">
        <f>PS!C43</f>
        <v>A.2.7 Patient provided data</v>
      </c>
      <c r="D52" s="14" t="s">
        <v>857</v>
      </c>
      <c r="E52" s="14"/>
      <c r="F52" s="63" t="s">
        <v>193</v>
      </c>
      <c r="G52" s="63"/>
      <c r="H52" s="64"/>
      <c r="I52" s="14" t="str">
        <f t="shared" si="4"/>
        <v>* group[=].element[+].code = #PatientSummary.body.patientData</v>
      </c>
      <c r="J52" s="14" t="str">
        <f t="shared" si="5"/>
        <v>* group[=].element[=].display = ##34#A.2.7 Patient provided data##34#</v>
      </c>
      <c r="K52" s="14" t="str">
        <f t="shared" si="6"/>
        <v>* group[=].element[=].target.code = #Composition.section</v>
      </c>
      <c r="L52" s="14" t="str">
        <f t="shared" si="7"/>
        <v>* group[=].element[=].target.display = ##34###34#</v>
      </c>
      <c r="M52" s="14" t="str">
        <f t="shared" si="8"/>
        <v>* group[=].element[=].target.equivalence = #relatedto</v>
      </c>
      <c r="N52" s="14" t="str">
        <f t="shared" si="9"/>
        <v/>
      </c>
      <c r="P52" s="9">
        <v>38</v>
      </c>
      <c r="Q52" s="9">
        <f t="shared" si="10"/>
        <v>6</v>
      </c>
      <c r="R52" s="9">
        <f t="shared" si="11"/>
        <v>2</v>
      </c>
      <c r="S52" s="14" t="str" cm="1">
        <f t="array" ref="S52">INDEX('PS-ConceptMap-1'!$I$15:$N$286,Q52+1,R52)</f>
        <v>* group[=].element[=].display = ##34#A.1.4.2 Date of last update##34#</v>
      </c>
    </row>
    <row r="53" spans="1:19" s="1" customFormat="1" ht="73.75" x14ac:dyDescent="0.75">
      <c r="A53"/>
      <c r="B53" s="9" t="str">
        <f>PS!B44</f>
        <v>body.patientData.travelHistory</v>
      </c>
      <c r="C53" s="9" t="str">
        <f>PS!C44</f>
        <v>A.2.7.1 Travel history</v>
      </c>
      <c r="D53" s="14" t="s">
        <v>884</v>
      </c>
      <c r="E53" s="14"/>
      <c r="F53" s="63" t="s">
        <v>193</v>
      </c>
      <c r="G53" s="63"/>
      <c r="H53" s="64"/>
      <c r="I53" s="14" t="str">
        <f t="shared" si="4"/>
        <v>* group[=].element[+].code = #PatientSummary.body.patientData.travelHistory</v>
      </c>
      <c r="J53" s="14" t="str">
        <f t="shared" si="5"/>
        <v>* group[=].element[=].display = ##34#A.2.7.1 Travel history##34#</v>
      </c>
      <c r="K53" s="14" t="str">
        <f t="shared" si="6"/>
        <v>* group[=].element[=].target.code = #Composition.section:sectionTravelHx</v>
      </c>
      <c r="L53" s="14" t="str">
        <f t="shared" si="7"/>
        <v>* group[=].element[=].target.display = ##34###34#</v>
      </c>
      <c r="M53" s="14" t="str">
        <f t="shared" si="8"/>
        <v>* group[=].element[=].target.equivalence = #relatedto</v>
      </c>
      <c r="N53" s="14" t="str">
        <f t="shared" si="9"/>
        <v/>
      </c>
      <c r="P53" s="9">
        <v>39</v>
      </c>
      <c r="Q53" s="9">
        <f t="shared" si="10"/>
        <v>6</v>
      </c>
      <c r="R53" s="9">
        <f t="shared" si="11"/>
        <v>3</v>
      </c>
      <c r="S53" s="14" t="str" cm="1">
        <f t="array" ref="S53">INDEX('PS-ConceptMap-1'!$I$15:$N$286,Q53+1,R53)</f>
        <v>* group[=].element[=].target.code = #Composition.event:careProvisioningEvent.period.end</v>
      </c>
    </row>
    <row r="54" spans="1:19" s="1" customFormat="1" ht="73.75" x14ac:dyDescent="0.75">
      <c r="A54"/>
      <c r="B54" s="9" t="str">
        <f>PS!B45</f>
        <v>body.patientData.travelHistory.country</v>
      </c>
      <c r="C54" s="9" t="str">
        <f>PS!C45</f>
        <v>A.2.7.1.1 Country</v>
      </c>
      <c r="D54" s="14" t="s">
        <v>1294</v>
      </c>
      <c r="E54" s="14"/>
      <c r="F54" s="63" t="s">
        <v>193</v>
      </c>
      <c r="G54" s="63" t="s">
        <v>1295</v>
      </c>
      <c r="H54" s="64"/>
      <c r="I54" s="14" t="str">
        <f t="shared" si="4"/>
        <v>* group[=].element[+].code = #PatientSummary.body.patientData.travelHistory.country</v>
      </c>
      <c r="J54" s="14" t="str">
        <f t="shared" si="5"/>
        <v>* group[=].element[=].display = ##34#A.2.7.1.1 Country##34#</v>
      </c>
      <c r="K54" s="14" t="str">
        <f t="shared" si="6"/>
        <v>* group[=].element[=].target.code = #Composition.section:sectionTravelHx.text</v>
      </c>
      <c r="L54" s="14" t="str">
        <f t="shared" si="7"/>
        <v>* group[=].element[=].target.display = ##34###34#</v>
      </c>
      <c r="M54" s="14" t="str">
        <f t="shared" si="8"/>
        <v>* group[=].element[=].target.equivalence = #relatedto</v>
      </c>
      <c r="N54" s="14" t="str">
        <f t="shared" si="9"/>
        <v>* group[=].element[=].target.comment = ##34#if textual description##34#</v>
      </c>
      <c r="P54" s="9">
        <v>40</v>
      </c>
      <c r="Q54" s="9">
        <f t="shared" si="10"/>
        <v>6</v>
      </c>
      <c r="R54" s="9">
        <f t="shared" si="11"/>
        <v>4</v>
      </c>
      <c r="S54" s="14" t="str" cm="1">
        <f t="array" ref="S54">INDEX('PS-ConceptMap-1'!$I$15:$N$286,Q54+1,R54)</f>
        <v>* group[=].element[=].target.display = ##34###34#</v>
      </c>
    </row>
    <row r="55" spans="1:19" s="1" customFormat="1" ht="73.75" x14ac:dyDescent="0.75">
      <c r="A55"/>
      <c r="B55" s="9" t="str">
        <f>PS!B46</f>
        <v>body.patientData.travelHistory.period</v>
      </c>
      <c r="C55" s="9" t="str">
        <f>PS!C46</f>
        <v>A.2.7.1.2 Period</v>
      </c>
      <c r="D55" s="14" t="s">
        <v>1294</v>
      </c>
      <c r="E55" s="14"/>
      <c r="F55" s="63" t="s">
        <v>193</v>
      </c>
      <c r="G55" s="63" t="s">
        <v>1295</v>
      </c>
      <c r="H55" s="64"/>
      <c r="I55" s="14" t="str">
        <f t="shared" si="4"/>
        <v>* group[=].element[+].code = #PatientSummary.body.patientData.travelHistory.period</v>
      </c>
      <c r="J55" s="14" t="str">
        <f t="shared" si="5"/>
        <v>* group[=].element[=].display = ##34#A.2.7.1.2 Period##34#</v>
      </c>
      <c r="K55" s="14" t="str">
        <f t="shared" si="6"/>
        <v>* group[=].element[=].target.code = #Composition.section:sectionTravelHx.text</v>
      </c>
      <c r="L55" s="14" t="str">
        <f t="shared" si="7"/>
        <v>* group[=].element[=].target.display = ##34###34#</v>
      </c>
      <c r="M55" s="14" t="str">
        <f t="shared" si="8"/>
        <v>* group[=].element[=].target.equivalence = #relatedto</v>
      </c>
      <c r="N55" s="14" t="str">
        <f t="shared" si="9"/>
        <v>* group[=].element[=].target.comment = ##34#if textual description##34#</v>
      </c>
      <c r="P55" s="9">
        <v>41</v>
      </c>
      <c r="Q55" s="9">
        <f t="shared" si="10"/>
        <v>6</v>
      </c>
      <c r="R55" s="9">
        <f t="shared" si="11"/>
        <v>5</v>
      </c>
      <c r="S55" s="14" t="str" cm="1">
        <f t="array" ref="S55">INDEX('PS-ConceptMap-1'!$I$15:$N$286,Q55+1,R55)</f>
        <v>* group[=].element[=].target.equivalence = #relatedto</v>
      </c>
    </row>
    <row r="56" spans="1:19" s="1" customFormat="1" ht="118" x14ac:dyDescent="0.75">
      <c r="A56"/>
      <c r="B56" s="9" t="str">
        <f>PS!B45</f>
        <v>body.patientData.travelHistory.country</v>
      </c>
      <c r="C56" s="9" t="str">
        <f>PS!C45</f>
        <v>A.2.7.1.1 Country</v>
      </c>
      <c r="D56" s="14" t="s">
        <v>1297</v>
      </c>
      <c r="E56" s="14"/>
      <c r="F56" s="63" t="s">
        <v>193</v>
      </c>
      <c r="G56" s="79" t="s">
        <v>1298</v>
      </c>
      <c r="H56" s="64"/>
      <c r="I56" s="14" t="str">
        <f t="shared" si="4"/>
        <v>* group[=].element[+].code = #PatientSummary.body.patientData.travelHistory.country</v>
      </c>
      <c r="J56" s="14" t="str">
        <f t="shared" si="5"/>
        <v>* group[=].element[=].display = ##34#A.2.7.1.1 Country##34#</v>
      </c>
      <c r="K56" s="14" t="str">
        <f t="shared" si="6"/>
        <v>* group[=].element[=].target.code = #Composition.section:sectionTravelHx.entry.valueCodeableConcept</v>
      </c>
      <c r="L56" s="14" t="str">
        <f t="shared" si="7"/>
        <v>* group[=].element[=].target.display = ##34###34#</v>
      </c>
      <c r="M56" s="14" t="str">
        <f t="shared" si="8"/>
        <v>* group[=].element[=].target.equivalence = #relatedto</v>
      </c>
      <c r="N56" s="14" t="str">
        <f t="shared" si="9"/>
        <v>* group[=].element[=].target.comment = ##34#entry of type Observation and Obseravtion.code = http://loinc.org#94651-7 'Country of travel [Location]'
TBD##34#</v>
      </c>
      <c r="P56" s="9">
        <v>42</v>
      </c>
      <c r="Q56" s="9">
        <f t="shared" si="10"/>
        <v>6</v>
      </c>
      <c r="R56" s="9">
        <f t="shared" si="11"/>
        <v>6</v>
      </c>
      <c r="S56" s="14" t="str" cm="1">
        <f t="array" ref="S56">INDEX('PS-ConceptMap-1'!$I$15:$N$286,Q56+1,R56)</f>
        <v>* group[=].element[=].target.comment = ##34#If it represents the period of time this Patient Summary is covering##34#</v>
      </c>
    </row>
    <row r="57" spans="1:19" s="1" customFormat="1" ht="73.75" x14ac:dyDescent="0.75">
      <c r="A57"/>
      <c r="B57" s="9" t="str">
        <f>PS!B46</f>
        <v>body.patientData.travelHistory.period</v>
      </c>
      <c r="C57" s="9" t="str">
        <f>PS!C46</f>
        <v>A.2.7.1.2 Period</v>
      </c>
      <c r="D57" s="14" t="s">
        <v>1296</v>
      </c>
      <c r="E57" s="14"/>
      <c r="F57" s="63" t="s">
        <v>193</v>
      </c>
      <c r="G57" s="91" t="s">
        <v>1299</v>
      </c>
      <c r="H57" s="64"/>
      <c r="I57" s="14" t="str">
        <f t="shared" si="4"/>
        <v>* group[=].element[+].code = #PatientSummary.body.patientData.travelHistory.period</v>
      </c>
      <c r="J57" s="14" t="str">
        <f t="shared" si="5"/>
        <v>* group[=].element[=].display = ##34#A.2.7.1.2 Period##34#</v>
      </c>
      <c r="K57" s="14" t="str">
        <f t="shared" si="6"/>
        <v>* group[=].element[=].target.code = #Composition.section:sectionTravelHx.entry.effectivePeriod</v>
      </c>
      <c r="L57" s="14" t="str">
        <f t="shared" si="7"/>
        <v>* group[=].element[=].target.display = ##34###34#</v>
      </c>
      <c r="M57" s="14" t="str">
        <f t="shared" si="8"/>
        <v>* group[=].element[=].target.equivalence = #relatedto</v>
      </c>
      <c r="N57" s="14" t="str">
        <f t="shared" si="9"/>
        <v>* group[=].element[=].target.comment = ##34#OBSERVATION PROFILE TO BE SPECIFIED##34#</v>
      </c>
      <c r="P57" s="9">
        <v>43</v>
      </c>
      <c r="Q57" s="9">
        <f t="shared" si="10"/>
        <v>7</v>
      </c>
      <c r="R57" s="9">
        <f t="shared" si="11"/>
        <v>1</v>
      </c>
      <c r="S57" s="14" t="str" cm="1">
        <f t="array" ref="S57">INDEX('PS-ConceptMap-1'!$I$15:$N$286,Q57+1,R57)</f>
        <v>* group[=].element[+].code = #PatientSummary.header.documentData.lastUpdate</v>
      </c>
    </row>
    <row r="58" spans="1:19" s="1" customFormat="1" ht="73.75" x14ac:dyDescent="0.75">
      <c r="A58"/>
      <c r="B58" s="9" t="str">
        <f>PS!B47</f>
        <v>body.patientData.advanceDirective</v>
      </c>
      <c r="C58" s="9" t="str">
        <f>PS!C47</f>
        <v>A.2.7.2 Advance Directive</v>
      </c>
      <c r="D58" s="14" t="s">
        <v>883</v>
      </c>
      <c r="E58" s="14"/>
      <c r="F58" s="63" t="s">
        <v>192</v>
      </c>
      <c r="G58" s="63"/>
      <c r="H58" s="64"/>
      <c r="I58" s="14" t="str">
        <f t="shared" si="4"/>
        <v>* group[=].element[+].code = #PatientSummary.body.patientData.advanceDirective</v>
      </c>
      <c r="J58" s="14" t="str">
        <f t="shared" si="5"/>
        <v>* group[=].element[=].display = ##34#A.2.7.2 Advance Directive##34#</v>
      </c>
      <c r="K58" s="14" t="str">
        <f t="shared" si="6"/>
        <v>* group[=].element[=].target.code = #Composition.section:sectionAdvanceDirectives</v>
      </c>
      <c r="L58" s="14" t="str">
        <f t="shared" si="7"/>
        <v>* group[=].element[=].target.display = ##34###34#</v>
      </c>
      <c r="M58" s="14" t="str">
        <f t="shared" si="8"/>
        <v>* group[=].element[=].target.equivalence = #equivalent</v>
      </c>
      <c r="N58" s="14" t="str">
        <f t="shared" si="9"/>
        <v/>
      </c>
      <c r="P58" s="9">
        <v>44</v>
      </c>
      <c r="Q58" s="9">
        <f t="shared" si="10"/>
        <v>7</v>
      </c>
      <c r="R58" s="9">
        <f t="shared" si="11"/>
        <v>2</v>
      </c>
      <c r="S58" s="14" t="str" cm="1">
        <f t="array" ref="S58">INDEX('PS-ConceptMap-1'!$I$15:$N$286,Q58+1,R58)</f>
        <v>* group[=].element[=].display = ##34#A.1.4.2 Date of last update##34#</v>
      </c>
    </row>
    <row r="59" spans="1:19" s="1" customFormat="1" ht="73.75" x14ac:dyDescent="0.75">
      <c r="A59"/>
      <c r="B59" s="9" t="str">
        <f>PS!B48</f>
        <v>body.patientData.advanceDirective.documentation</v>
      </c>
      <c r="C59" s="9" t="str">
        <f>PS!C48</f>
        <v>A.2.7.2.1 Documentation</v>
      </c>
      <c r="D59" s="14" t="s">
        <v>883</v>
      </c>
      <c r="E59" s="14"/>
      <c r="F59" s="63" t="s">
        <v>193</v>
      </c>
      <c r="G59" s="91" t="s">
        <v>1112</v>
      </c>
      <c r="H59" s="64"/>
      <c r="I59" s="14" t="str">
        <f t="shared" si="4"/>
        <v>* group[=].element[+].code = #PatientSummary.body.patientData.advanceDirective.documentation</v>
      </c>
      <c r="J59" s="14" t="str">
        <f t="shared" si="5"/>
        <v>* group[=].element[=].display = ##34#A.2.7.2.1 Documentation##34#</v>
      </c>
      <c r="K59" s="14" t="str">
        <f t="shared" si="6"/>
        <v>* group[=].element[=].target.code = #Composition.section:sectionAdvanceDirectives</v>
      </c>
      <c r="L59" s="14" t="str">
        <f t="shared" si="7"/>
        <v>* group[=].element[=].target.display = ##34###34#</v>
      </c>
      <c r="M59" s="14" t="str">
        <f t="shared" si="8"/>
        <v>* group[=].element[=].target.equivalence = #relatedto</v>
      </c>
      <c r="N59" s="14" t="str">
        <f t="shared" si="9"/>
        <v>* group[=].element[=].target.comment = ##34#to be reviewed##34#</v>
      </c>
      <c r="P59" s="9">
        <v>45</v>
      </c>
      <c r="Q59" s="9">
        <f t="shared" si="10"/>
        <v>7</v>
      </c>
      <c r="R59" s="9">
        <f t="shared" si="11"/>
        <v>3</v>
      </c>
      <c r="S59" s="14" t="str" cm="1">
        <f t="array" ref="S59">INDEX('PS-ConceptMap-1'!$I$15:$N$286,Q59+1,R59)</f>
        <v>* group[=].element[=].target.code = #Composition.meta.lastUpdated</v>
      </c>
    </row>
    <row r="60" spans="1:19" s="1" customFormat="1" ht="73.75" x14ac:dyDescent="0.75">
      <c r="A60"/>
      <c r="B60" s="9" t="str">
        <f>PS!B49</f>
        <v>body.results</v>
      </c>
      <c r="C60" s="9" t="str">
        <f>PS!C49</f>
        <v>A.2.8 Results</v>
      </c>
      <c r="D60" s="14" t="s">
        <v>858</v>
      </c>
      <c r="E60" s="14"/>
      <c r="F60" s="63" t="s">
        <v>192</v>
      </c>
      <c r="G60" s="63"/>
      <c r="H60" s="64"/>
      <c r="I60" s="14" t="str">
        <f t="shared" si="4"/>
        <v>* group[=].element[+].code = #PatientSummary.body.results</v>
      </c>
      <c r="J60" s="14" t="str">
        <f t="shared" si="5"/>
        <v>* group[=].element[=].display = ##34#A.2.8 Results##34#</v>
      </c>
      <c r="K60" s="14" t="str">
        <f t="shared" si="6"/>
        <v>* group[=].element[=].target.code = #Composition.section:sectionResults</v>
      </c>
      <c r="L60" s="14" t="str">
        <f t="shared" si="7"/>
        <v>* group[=].element[=].target.display = ##34###34#</v>
      </c>
      <c r="M60" s="14" t="str">
        <f t="shared" si="8"/>
        <v>* group[=].element[=].target.equivalence = #equivalent</v>
      </c>
      <c r="N60" s="14" t="str">
        <f t="shared" si="9"/>
        <v/>
      </c>
      <c r="P60" s="9">
        <v>46</v>
      </c>
      <c r="Q60" s="9">
        <f t="shared" si="10"/>
        <v>7</v>
      </c>
      <c r="R60" s="9">
        <f t="shared" si="11"/>
        <v>4</v>
      </c>
      <c r="S60" s="14" t="str" cm="1">
        <f t="array" ref="S60">INDEX('PS-ConceptMap-1'!$I$15:$N$286,Q60+1,R60)</f>
        <v>* group[=].element[=].target.display = ##34###34#</v>
      </c>
    </row>
    <row r="61" spans="1:19" s="1" customFormat="1" ht="73.75" x14ac:dyDescent="0.75">
      <c r="A61"/>
      <c r="B61" s="9" t="str">
        <f>PS!B50</f>
        <v>body.planOfCare</v>
      </c>
      <c r="C61" s="9" t="str">
        <f>PS!C50</f>
        <v>A.2.9 Plan of Care</v>
      </c>
      <c r="D61" s="14" t="s">
        <v>864</v>
      </c>
      <c r="E61" s="14"/>
      <c r="F61" s="63" t="s">
        <v>192</v>
      </c>
      <c r="G61" s="63"/>
      <c r="H61" s="64"/>
      <c r="I61" s="14" t="str">
        <f t="shared" si="4"/>
        <v>* group[=].element[+].code = #PatientSummary.body.planOfCare</v>
      </c>
      <c r="J61" s="14" t="str">
        <f t="shared" si="5"/>
        <v>* group[=].element[=].display = ##34#A.2.9 Plan of Care##34#</v>
      </c>
      <c r="K61" s="14" t="str">
        <f t="shared" si="6"/>
        <v>* group[=].element[=].target.code = #Composition.section:sectionPlanOfCare</v>
      </c>
      <c r="L61" s="14" t="str">
        <f t="shared" si="7"/>
        <v>* group[=].element[=].target.display = ##34###34#</v>
      </c>
      <c r="M61" s="14" t="str">
        <f t="shared" si="8"/>
        <v>* group[=].element[=].target.equivalence = #equivalent</v>
      </c>
      <c r="N61" s="14" t="str">
        <f t="shared" si="9"/>
        <v/>
      </c>
      <c r="P61" s="9">
        <v>47</v>
      </c>
      <c r="Q61" s="9">
        <f t="shared" si="10"/>
        <v>7</v>
      </c>
      <c r="R61" s="9">
        <f t="shared" si="11"/>
        <v>5</v>
      </c>
      <c r="S61" s="14" t="str" cm="1">
        <f t="array" ref="S61">INDEX('PS-ConceptMap-1'!$I$15:$N$286,Q61+1,R61)</f>
        <v>* group[=].element[=].target.equivalence = #relatedto</v>
      </c>
    </row>
    <row r="62" spans="1:19" s="1" customFormat="1" ht="73.75" x14ac:dyDescent="0.75">
      <c r="A62"/>
      <c r="B62" s="9" t="str">
        <f>PS!B51</f>
        <v>body.planOfCare.carePlan</v>
      </c>
      <c r="C62" s="9" t="str">
        <f>PS!C51</f>
        <v>A.2.9.1 Plan of care</v>
      </c>
      <c r="D62" s="14" t="s">
        <v>1080</v>
      </c>
      <c r="E62" s="14"/>
      <c r="F62" s="63" t="s">
        <v>192</v>
      </c>
      <c r="G62" s="63"/>
      <c r="H62" s="64"/>
      <c r="I62" s="14" t="str">
        <f t="shared" si="4"/>
        <v>* group[=].element[+].code = #PatientSummary.body.planOfCare.carePlan</v>
      </c>
      <c r="J62" s="14" t="str">
        <f t="shared" si="5"/>
        <v>* group[=].element[=].display = ##34#A.2.9.1 Plan of care##34#</v>
      </c>
      <c r="K62" s="14" t="str">
        <f t="shared" si="6"/>
        <v>* group[=].element[=].target.code = #Composition.section:sectionPlanOfCare.text</v>
      </c>
      <c r="L62" s="14" t="str">
        <f t="shared" si="7"/>
        <v>* group[=].element[=].target.display = ##34###34#</v>
      </c>
      <c r="M62" s="14" t="str">
        <f t="shared" si="8"/>
        <v>* group[=].element[=].target.equivalence = #equivalent</v>
      </c>
      <c r="N62" s="14" t="str">
        <f t="shared" si="9"/>
        <v/>
      </c>
      <c r="P62" s="9">
        <v>48</v>
      </c>
      <c r="Q62" s="9">
        <f t="shared" si="10"/>
        <v>7</v>
      </c>
      <c r="R62" s="9">
        <f t="shared" si="11"/>
        <v>6</v>
      </c>
      <c r="S62" s="14" t="str" cm="1">
        <f t="array" ref="S62">INDEX('PS-ConceptMap-1'!$I$15:$N$286,Q62+1,R62)</f>
        <v>* group[=].element[=].target.comment = ##34#If it represents the last update of this FHIR resource##34#</v>
      </c>
    </row>
    <row r="63" spans="1:19" s="1" customFormat="1" x14ac:dyDescent="0.75">
      <c r="A63"/>
      <c r="B63" s="51"/>
      <c r="F63" s="64"/>
      <c r="G63" s="64"/>
      <c r="H63" s="64"/>
      <c r="J63" s="64"/>
      <c r="K63" s="64"/>
      <c r="L63" s="64"/>
      <c r="M63" s="64"/>
      <c r="N63" s="64"/>
      <c r="P63" s="9">
        <v>49</v>
      </c>
      <c r="Q63" s="9">
        <f t="shared" si="10"/>
        <v>8</v>
      </c>
      <c r="R63" s="9">
        <f t="shared" si="11"/>
        <v>1</v>
      </c>
      <c r="S63" s="14" t="str" cm="1">
        <f t="array" ref="S63">INDEX('PS-ConceptMap-1'!$I$15:$N$286,Q63+1,R63)</f>
        <v>* group[=].element[+].code = #PatientSummary.header.documentData.natureOfIPS</v>
      </c>
    </row>
    <row r="64" spans="1:19" s="1" customFormat="1" x14ac:dyDescent="0.75">
      <c r="A64"/>
      <c r="B64" s="9"/>
      <c r="F64" s="64"/>
      <c r="G64" s="64"/>
      <c r="H64" s="64"/>
      <c r="J64" s="64"/>
      <c r="K64" s="64"/>
      <c r="L64" s="64"/>
      <c r="M64" s="64"/>
      <c r="N64" s="64"/>
      <c r="P64" s="9">
        <v>50</v>
      </c>
      <c r="Q64" s="9">
        <f t="shared" si="10"/>
        <v>8</v>
      </c>
      <c r="R64" s="9">
        <f t="shared" si="11"/>
        <v>2</v>
      </c>
      <c r="S64" s="14" t="str" cm="1">
        <f t="array" ref="S64">INDEX('PS-ConceptMap-1'!$I$15:$N$286,Q64+1,R64)</f>
        <v>* group[=].element[=].display = ##34#A.1.4.3 Nature of the PS##34#</v>
      </c>
    </row>
    <row r="65" spans="2:19" x14ac:dyDescent="0.75">
      <c r="F65" s="64"/>
      <c r="G65" s="64"/>
      <c r="H65" s="64"/>
      <c r="J65" s="64"/>
      <c r="K65" s="64"/>
      <c r="L65" s="64"/>
      <c r="M65" s="64"/>
      <c r="N65" s="64"/>
      <c r="P65" s="9">
        <v>51</v>
      </c>
      <c r="Q65" s="9">
        <f t="shared" si="10"/>
        <v>8</v>
      </c>
      <c r="R65" s="9">
        <f t="shared" si="11"/>
        <v>3</v>
      </c>
      <c r="S65" s="14" t="str" cm="1">
        <f t="array" ref="S65">INDEX('PS-ConceptMap-1'!$I$15:$N$286,Q65+1,R65)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INDEX('PS-ConceptMap-1'!$I$15:$N$286,Q66+1,R66)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INDEX('PS-ConceptMap-1'!$I$15:$N$286,Q67+1,R67)</f>
        <v>* group[=].element[=].target.equivalence = #relatedto</v>
      </c>
    </row>
    <row r="68" spans="2:19" x14ac:dyDescent="0.75">
      <c r="F68" s="64"/>
      <c r="G68" s="64"/>
      <c r="H68" s="64"/>
      <c r="J68" s="64"/>
      <c r="K68" s="64"/>
      <c r="L68" s="64"/>
      <c r="M68" s="64"/>
      <c r="N68" s="64"/>
      <c r="P68" s="9">
        <v>54</v>
      </c>
      <c r="Q68" s="9">
        <f t="shared" si="10"/>
        <v>8</v>
      </c>
      <c r="R68" s="9">
        <f t="shared" si="11"/>
        <v>6</v>
      </c>
      <c r="S68" s="14" t="str" cm="1">
        <f t="array" ref="S68">INDEX('PS-ConceptMap-1'!$I$15:$N$286,Q68+1,R68)</f>
        <v>* group[=].element[=].target.comment = ##34#the nature of a PS is determined as a comobination of type if author and legal authenticator. Future versions may cosndier to use Provenance data for this scope##34#</v>
      </c>
    </row>
    <row r="69" spans="2:19" ht="29.5" x14ac:dyDescent="0.75">
      <c r="B69" t="s">
        <v>181</v>
      </c>
      <c r="C69" s="1" t="s">
        <v>182</v>
      </c>
      <c r="D69" s="1" t="s">
        <v>183</v>
      </c>
      <c r="E69" t="s">
        <v>184</v>
      </c>
      <c r="P69" s="9">
        <v>55</v>
      </c>
      <c r="Q69" s="9">
        <f t="shared" si="10"/>
        <v>9</v>
      </c>
      <c r="R69" s="9">
        <f t="shared" si="11"/>
        <v>1</v>
      </c>
      <c r="S69" s="14" t="str" cm="1">
        <f t="array" ref="S69">INDEX('PS-ConceptMap-1'!$I$15:$N$286,Q69+1,R69)</f>
        <v>* group[=].element[+].code = #PatientSummary.header.participant</v>
      </c>
    </row>
    <row r="70" spans="2:19" x14ac:dyDescent="0.75">
      <c r="P70" s="9">
        <v>56</v>
      </c>
      <c r="Q70" s="9">
        <f t="shared" si="10"/>
        <v>9</v>
      </c>
      <c r="R70" s="9">
        <f t="shared" si="11"/>
        <v>2</v>
      </c>
      <c r="S70" s="14" t="str" cm="1">
        <f t="array" ref="S70">INDEX('PS-ConceptMap-1'!$I$15:$N$286,Q70+1,R70)</f>
        <v>* group[=].element[=].display = ##34#A.1.5 Author and Organisation##34#</v>
      </c>
    </row>
    <row r="71" spans="2:19" x14ac:dyDescent="0.75">
      <c r="P71" s="9">
        <v>57</v>
      </c>
      <c r="Q71" s="9">
        <f t="shared" si="10"/>
        <v>9</v>
      </c>
      <c r="R71" s="9">
        <f t="shared" si="11"/>
        <v>3</v>
      </c>
      <c r="S71" s="14" t="str" cm="1">
        <f t="array" ref="S71">INDEX('PS-ConceptMap-1'!$I$15:$N$286,Q71+1,R71)</f>
        <v>* group[=].element[=].target.code = #Composition</v>
      </c>
    </row>
    <row r="72" spans="2:19" x14ac:dyDescent="0.75">
      <c r="P72" s="9">
        <v>58</v>
      </c>
      <c r="Q72" s="9">
        <f t="shared" si="10"/>
        <v>9</v>
      </c>
      <c r="R72" s="9">
        <f t="shared" si="11"/>
        <v>4</v>
      </c>
      <c r="S72" s="14" t="str" cm="1">
        <f t="array" ref="S72">INDEX('PS-ConceptMap-1'!$I$15:$N$286,Q72+1,R72)</f>
        <v>* group[=].element[=].target.display = ##34###34#</v>
      </c>
    </row>
    <row r="73" spans="2:19" x14ac:dyDescent="0.75">
      <c r="P73" s="9">
        <v>59</v>
      </c>
      <c r="Q73" s="9">
        <f t="shared" si="10"/>
        <v>9</v>
      </c>
      <c r="R73" s="9">
        <f t="shared" si="11"/>
        <v>5</v>
      </c>
      <c r="S73" s="14" t="str" cm="1">
        <f t="array" ref="S73">INDEX('PS-ConceptMap-1'!$I$15:$N$286,Q73+1,R73)</f>
        <v>* group[=].element[=].target.equivalence = #relatedto</v>
      </c>
    </row>
    <row r="74" spans="2:19" x14ac:dyDescent="0.75">
      <c r="P74" s="9">
        <v>60</v>
      </c>
      <c r="Q74" s="9">
        <f t="shared" si="10"/>
        <v>9</v>
      </c>
      <c r="R74" s="9">
        <f t="shared" si="11"/>
        <v>6</v>
      </c>
      <c r="S74" s="14" t="str" cm="1">
        <f t="array" ref="S74">INDEX('PS-ConceptMap-1'!$I$15:$N$286,Q74+1,R74)</f>
        <v/>
      </c>
    </row>
    <row r="75" spans="2:19" x14ac:dyDescent="0.75">
      <c r="P75" s="9">
        <v>61</v>
      </c>
      <c r="Q75" s="9">
        <f t="shared" si="10"/>
        <v>10</v>
      </c>
      <c r="R75" s="9">
        <f t="shared" si="11"/>
        <v>1</v>
      </c>
      <c r="S75" s="14" t="str" cm="1">
        <f t="array" ref="S75">INDEX('PS-ConceptMap-1'!$I$15:$N$286,Q75+1,R75)</f>
        <v>* group[=].element[+].code = #PatientSummary.header.participant.author</v>
      </c>
    </row>
    <row r="76" spans="2:19" x14ac:dyDescent="0.75">
      <c r="P76" s="9">
        <v>62</v>
      </c>
      <c r="Q76" s="9">
        <f t="shared" si="10"/>
        <v>10</v>
      </c>
      <c r="R76" s="9">
        <f t="shared" si="11"/>
        <v>2</v>
      </c>
      <c r="S76" s="14" t="str" cm="1">
        <f t="array" ref="S76">INDEX('PS-ConceptMap-1'!$I$15:$N$286,Q76+1,R76)</f>
        <v>* group[=].element[=].display = ##34#A.1.5.1 Author organization##34#</v>
      </c>
    </row>
    <row r="77" spans="2:19" x14ac:dyDescent="0.75">
      <c r="P77" s="9">
        <v>63</v>
      </c>
      <c r="Q77" s="9">
        <f t="shared" si="10"/>
        <v>10</v>
      </c>
      <c r="R77" s="9">
        <f t="shared" si="11"/>
        <v>3</v>
      </c>
      <c r="S77" s="14" t="str" cm="1">
        <f t="array" ref="S77">INDEX('PS-ConceptMap-1'!$I$15:$N$286,Q77+1,R77)</f>
        <v>* group[=].element[=].target.code = #Composition.author</v>
      </c>
    </row>
    <row r="78" spans="2:19" x14ac:dyDescent="0.75">
      <c r="P78" s="9">
        <v>64</v>
      </c>
      <c r="Q78" s="9">
        <f t="shared" si="10"/>
        <v>10</v>
      </c>
      <c r="R78" s="9">
        <f t="shared" si="11"/>
        <v>4</v>
      </c>
      <c r="S78" s="14" t="str" cm="1">
        <f t="array" ref="S78">INDEX('PS-ConceptMap-1'!$I$15:$N$286,Q78+1,R78)</f>
        <v>* group[=].element[=].target.display = ##34###34#</v>
      </c>
    </row>
    <row r="79" spans="2:19" x14ac:dyDescent="0.75">
      <c r="P79" s="9">
        <v>65</v>
      </c>
      <c r="Q79" s="9">
        <f t="shared" si="10"/>
        <v>10</v>
      </c>
      <c r="R79" s="9">
        <f t="shared" si="11"/>
        <v>5</v>
      </c>
      <c r="S79" s="14" t="str" cm="1">
        <f t="array" ref="S79">INDEX('PS-ConceptMap-1'!$I$15:$N$286,Q79+1,R79)</f>
        <v>* group[=].element[=].target.equivalence = #equivalent</v>
      </c>
    </row>
    <row r="80" spans="2:19" x14ac:dyDescent="0.75">
      <c r="P80" s="9">
        <v>66</v>
      </c>
      <c r="Q80" s="9">
        <f t="shared" ref="Q80:Q143" si="12">IF(MOD(P80,$Q$8)=0,P80/$Q$8-1,INT(P80/$Q$8))</f>
        <v>10</v>
      </c>
      <c r="R80" s="9">
        <f t="shared" ref="R80:R143" si="13">IF(MOD(P80,$Q$8)=0,$Q$8,MOD(P80,$Q$8))</f>
        <v>6</v>
      </c>
      <c r="S80" s="14" t="str" cm="1">
        <f t="array" ref="S80">INDEX('PS-ConceptMap-1'!$I$15:$N$286,Q80+1,R80)</f>
        <v>* group[=].element[=].target.comment = ##34#author can be of type Organziation, Pracitctioner or PractictionerRole##34#</v>
      </c>
    </row>
    <row r="81" spans="16:19" x14ac:dyDescent="0.75">
      <c r="P81" s="9">
        <v>67</v>
      </c>
      <c r="Q81" s="9">
        <f t="shared" si="12"/>
        <v>11</v>
      </c>
      <c r="R81" s="9">
        <f t="shared" si="13"/>
        <v>1</v>
      </c>
      <c r="S81" s="14" t="str" cm="1">
        <f t="array" ref="S81">INDEX('PS-ConceptMap-1'!$I$15:$N$286,Q81+1,R81)</f>
        <v>* group[=].element[+].code = #PatientSummary.header.participant.legalAuth</v>
      </c>
    </row>
    <row r="82" spans="16:19" x14ac:dyDescent="0.75">
      <c r="P82" s="9">
        <v>68</v>
      </c>
      <c r="Q82" s="9">
        <f t="shared" si="12"/>
        <v>11</v>
      </c>
      <c r="R82" s="9">
        <f t="shared" si="13"/>
        <v>2</v>
      </c>
      <c r="S82" s="14" t="str" cm="1">
        <f t="array" ref="S82">INDEX('PS-ConceptMap-1'!$I$15:$N$286,Q82+1,R82)</f>
        <v>* group[=].element[=].display = ##34#A.1.5.2 Legal authenticator##34#</v>
      </c>
    </row>
    <row r="83" spans="16:19" x14ac:dyDescent="0.75">
      <c r="P83" s="9">
        <v>69</v>
      </c>
      <c r="Q83" s="9">
        <f t="shared" si="12"/>
        <v>11</v>
      </c>
      <c r="R83" s="9">
        <f t="shared" si="13"/>
        <v>3</v>
      </c>
      <c r="S83" s="14" t="str" cm="1">
        <f t="array" ref="S83">INDEX('PS-ConceptMap-1'!$I$15:$N$286,Q83+1,R83)</f>
        <v>* group[=].element[=].target.code = #Composition.attester</v>
      </c>
    </row>
    <row r="84" spans="16:19" x14ac:dyDescent="0.75">
      <c r="P84" s="9">
        <v>70</v>
      </c>
      <c r="Q84" s="9">
        <f t="shared" si="12"/>
        <v>11</v>
      </c>
      <c r="R84" s="9">
        <f t="shared" si="13"/>
        <v>4</v>
      </c>
      <c r="S84" s="14" t="str" cm="1">
        <f t="array" ref="S84">INDEX('PS-ConceptMap-1'!$I$15:$N$286,Q84+1,R84)</f>
        <v>* group[=].element[=].target.display = ##34###34#</v>
      </c>
    </row>
    <row r="85" spans="16:19" x14ac:dyDescent="0.75">
      <c r="P85" s="9">
        <v>71</v>
      </c>
      <c r="Q85" s="9">
        <f t="shared" si="12"/>
        <v>11</v>
      </c>
      <c r="R85" s="9">
        <f t="shared" si="13"/>
        <v>5</v>
      </c>
      <c r="S85" s="14" t="str" cm="1">
        <f t="array" ref="S85">INDEX('PS-ConceptMap-1'!$I$15:$N$286,Q85+1,R85)</f>
        <v>* group[=].element[=].target.equivalence = #relatedto</v>
      </c>
    </row>
    <row r="86" spans="16:19" x14ac:dyDescent="0.75">
      <c r="P86" s="9">
        <v>72</v>
      </c>
      <c r="Q86" s="9">
        <f t="shared" si="12"/>
        <v>11</v>
      </c>
      <c r="R86" s="9">
        <f t="shared" si="13"/>
        <v>6</v>
      </c>
      <c r="S86" s="14" t="str" cm="1">
        <f t="array" ref="S86">INDEX('PS-ConceptMap-1'!$I$15:$N$286,Q86+1,R86)</f>
        <v>* group[=].element[=].target.comment = ##34#attester.mode = 'legal'##34#</v>
      </c>
    </row>
    <row r="87" spans="16:19" x14ac:dyDescent="0.75">
      <c r="P87" s="9">
        <v>73</v>
      </c>
      <c r="Q87" s="9">
        <f t="shared" si="12"/>
        <v>12</v>
      </c>
      <c r="R87" s="9">
        <f t="shared" si="13"/>
        <v>1</v>
      </c>
      <c r="S87" s="14" t="str" cm="1">
        <f t="array" ref="S87">INDEX('PS-ConceptMap-1'!$I$15:$N$286,Q87+1,R87)</f>
        <v>* group[=].element[+].code = #PatientSummary.header.additionalInfo</v>
      </c>
    </row>
    <row r="88" spans="16:19" x14ac:dyDescent="0.75">
      <c r="P88" s="9">
        <v>74</v>
      </c>
      <c r="Q88" s="9">
        <f t="shared" si="12"/>
        <v>12</v>
      </c>
      <c r="R88" s="9">
        <f t="shared" si="13"/>
        <v>2</v>
      </c>
      <c r="S88" s="14" t="str" cm="1">
        <f t="array" ref="S88">INDEX('PS-ConceptMap-1'!$I$15:$N$286,Q88+1,R88)</f>
        <v>* group[=].element[=].display = ##34#A.1.6 Additional information / Knowledge resources##34#</v>
      </c>
    </row>
    <row r="89" spans="16:19" x14ac:dyDescent="0.75">
      <c r="P89" s="9">
        <v>75</v>
      </c>
      <c r="Q89" s="9">
        <f t="shared" si="12"/>
        <v>12</v>
      </c>
      <c r="R89" s="9">
        <f t="shared" si="13"/>
        <v>3</v>
      </c>
      <c r="S89" s="14" t="str" cm="1">
        <f t="array" ref="S89">INDEX('PS-ConceptMap-1'!$I$15:$N$286,Q89+1,R89)</f>
        <v>//-- unmatched</v>
      </c>
    </row>
    <row r="90" spans="16:19" x14ac:dyDescent="0.75">
      <c r="P90" s="9">
        <v>76</v>
      </c>
      <c r="Q90" s="9">
        <f t="shared" si="12"/>
        <v>12</v>
      </c>
      <c r="R90" s="9">
        <f t="shared" si="13"/>
        <v>4</v>
      </c>
      <c r="S90" s="14" t="str" cm="1">
        <f t="array" ref="S90">INDEX('PS-ConceptMap-1'!$I$15:$N$286,Q90+1,R90)</f>
        <v>//-- unmatched</v>
      </c>
    </row>
    <row r="91" spans="16:19" x14ac:dyDescent="0.75">
      <c r="P91" s="9">
        <v>77</v>
      </c>
      <c r="Q91" s="9">
        <f t="shared" si="12"/>
        <v>12</v>
      </c>
      <c r="R91" s="9">
        <f t="shared" si="13"/>
        <v>5</v>
      </c>
      <c r="S91" s="14" t="str" cm="1">
        <f t="array" ref="S91">INDEX('PS-ConceptMap-1'!$I$15:$N$286,Q91+1,R91)</f>
        <v>* group[=].element[=].target.equivalence = #unmatched</v>
      </c>
    </row>
    <row r="92" spans="16:19" x14ac:dyDescent="0.75">
      <c r="P92" s="9">
        <v>78</v>
      </c>
      <c r="Q92" s="9">
        <f t="shared" si="12"/>
        <v>12</v>
      </c>
      <c r="R92" s="9">
        <f t="shared" si="13"/>
        <v>6</v>
      </c>
      <c r="S92" s="14" t="str" cm="1">
        <f t="array" ref="S92">INDEX('PS-ConceptMap-1'!$I$15:$N$286,Q92+1,R92)</f>
        <v>* group[=].element[=].target.comment = ##34#Covered by other resources##34#</v>
      </c>
    </row>
    <row r="93" spans="16:19" x14ac:dyDescent="0.75">
      <c r="P93" s="9">
        <v>79</v>
      </c>
      <c r="Q93" s="9">
        <f t="shared" si="12"/>
        <v>13</v>
      </c>
      <c r="R93" s="9">
        <f t="shared" si="13"/>
        <v>1</v>
      </c>
      <c r="S93" s="14" t="str" cm="1">
        <f t="array" ref="S93">INDEX('PS-ConceptMap-1'!$I$15:$N$286,Q93+1,R93)</f>
        <v>* group[=].element[+].code = #PatientSummary.header.additionalInfo.reference</v>
      </c>
    </row>
    <row r="94" spans="16:19" x14ac:dyDescent="0.75">
      <c r="P94" s="9">
        <v>80</v>
      </c>
      <c r="Q94" s="9">
        <f t="shared" si="12"/>
        <v>13</v>
      </c>
      <c r="R94" s="9">
        <f t="shared" si="13"/>
        <v>2</v>
      </c>
      <c r="S94" s="14" t="str" cm="1">
        <f t="array" ref="S94">INDEX('PS-ConceptMap-1'!$I$15:$N$286,Q94+1,R94)</f>
        <v>* group[=].element[=].display = ##34#A.1.6.1 External reference##34#</v>
      </c>
    </row>
    <row r="95" spans="16:19" x14ac:dyDescent="0.75">
      <c r="P95" s="9">
        <v>81</v>
      </c>
      <c r="Q95" s="9">
        <f t="shared" si="12"/>
        <v>13</v>
      </c>
      <c r="R95" s="9">
        <f t="shared" si="13"/>
        <v>3</v>
      </c>
      <c r="S95" s="14" t="str" cm="1">
        <f t="array" ref="S95">INDEX('PS-ConceptMap-1'!$I$15:$N$286,Q95+1,R95)</f>
        <v>//-- unmatched</v>
      </c>
    </row>
    <row r="96" spans="16:19" x14ac:dyDescent="0.75">
      <c r="P96" s="9">
        <v>82</v>
      </c>
      <c r="Q96" s="9">
        <f t="shared" si="12"/>
        <v>13</v>
      </c>
      <c r="R96" s="9">
        <f t="shared" si="13"/>
        <v>4</v>
      </c>
      <c r="S96" s="14" t="str" cm="1">
        <f t="array" ref="S96">INDEX('PS-ConceptMap-1'!$I$15:$N$286,Q96+1,R96)</f>
        <v>//-- unmatched</v>
      </c>
    </row>
    <row r="97" spans="16:19" x14ac:dyDescent="0.75">
      <c r="P97" s="9">
        <v>83</v>
      </c>
      <c r="Q97" s="9">
        <f t="shared" si="12"/>
        <v>13</v>
      </c>
      <c r="R97" s="9">
        <f t="shared" si="13"/>
        <v>5</v>
      </c>
      <c r="S97" s="14" t="str" cm="1">
        <f t="array" ref="S97">INDEX('PS-ConceptMap-1'!$I$15:$N$286,Q97+1,R97)</f>
        <v>* group[=].element[=].target.equivalence = #unmatched</v>
      </c>
    </row>
    <row r="98" spans="16:19" x14ac:dyDescent="0.75">
      <c r="P98" s="9">
        <v>84</v>
      </c>
      <c r="Q98" s="9">
        <f t="shared" si="12"/>
        <v>13</v>
      </c>
      <c r="R98" s="9">
        <f t="shared" si="13"/>
        <v>6</v>
      </c>
      <c r="S98" s="14" t="str" cm="1">
        <f t="array" ref="S98">INDEX('PS-ConceptMap-1'!$I$15:$N$286,Q98+1,R98)</f>
        <v>* group[=].element[=].target.comment = ##34#Covered by other resources##34#</v>
      </c>
    </row>
    <row r="99" spans="16:19" x14ac:dyDescent="0.75">
      <c r="P99" s="9">
        <v>85</v>
      </c>
      <c r="Q99" s="9">
        <f t="shared" si="12"/>
        <v>14</v>
      </c>
      <c r="R99" s="9">
        <f t="shared" si="13"/>
        <v>1</v>
      </c>
      <c r="S99" s="14" t="str" cm="1">
        <f t="array" ref="S99">INDEX('PS-ConceptMap-1'!$I$15:$N$286,Q99+1,R99)</f>
        <v>* group[=].element[+].code = #PatientSummary.header.additionalInfo.relatedWith</v>
      </c>
    </row>
    <row r="100" spans="16:19" x14ac:dyDescent="0.75">
      <c r="P100" s="9">
        <v>86</v>
      </c>
      <c r="Q100" s="9">
        <f t="shared" si="12"/>
        <v>14</v>
      </c>
      <c r="R100" s="9">
        <f t="shared" si="13"/>
        <v>2</v>
      </c>
      <c r="S100" s="14" t="str" cm="1">
        <f t="array" ref="S100">INDEX('PS-ConceptMap-1'!$I$15:$N$286,Q100+1,R100)</f>
        <v>* group[=].element[=].display = ##34#A.1.6.2 Related with##34#</v>
      </c>
    </row>
    <row r="101" spans="16:19" x14ac:dyDescent="0.75">
      <c r="P101" s="9">
        <v>87</v>
      </c>
      <c r="Q101" s="9">
        <f t="shared" si="12"/>
        <v>14</v>
      </c>
      <c r="R101" s="9">
        <f t="shared" si="13"/>
        <v>3</v>
      </c>
      <c r="S101" s="14" t="str" cm="1">
        <f t="array" ref="S101">INDEX('PS-ConceptMap-1'!$I$15:$N$286,Q101+1,R101)</f>
        <v>//-- unmatched</v>
      </c>
    </row>
    <row r="102" spans="16:19" x14ac:dyDescent="0.75">
      <c r="P102" s="9">
        <v>88</v>
      </c>
      <c r="Q102" s="9">
        <f t="shared" si="12"/>
        <v>14</v>
      </c>
      <c r="R102" s="9">
        <f t="shared" si="13"/>
        <v>4</v>
      </c>
      <c r="S102" s="14" t="str" cm="1">
        <f t="array" ref="S102">INDEX('PS-ConceptMap-1'!$I$15:$N$286,Q102+1,R102)</f>
        <v>//-- unmatched</v>
      </c>
    </row>
    <row r="103" spans="16:19" x14ac:dyDescent="0.75">
      <c r="P103" s="9">
        <v>89</v>
      </c>
      <c r="Q103" s="9">
        <f t="shared" si="12"/>
        <v>14</v>
      </c>
      <c r="R103" s="9">
        <f t="shared" si="13"/>
        <v>5</v>
      </c>
      <c r="S103" s="14" t="str" cm="1">
        <f t="array" ref="S103">INDEX('PS-ConceptMap-1'!$I$15:$N$286,Q103+1,R103)</f>
        <v>* group[=].element[=].target.equivalence = #unmatched</v>
      </c>
    </row>
    <row r="104" spans="16:19" x14ac:dyDescent="0.75">
      <c r="P104" s="9">
        <v>90</v>
      </c>
      <c r="Q104" s="9">
        <f t="shared" si="12"/>
        <v>14</v>
      </c>
      <c r="R104" s="9">
        <f t="shared" si="13"/>
        <v>6</v>
      </c>
      <c r="S104" s="14" t="str" cm="1">
        <f t="array" ref="S104">INDEX('PS-ConceptMap-1'!$I$15:$N$286,Q104+1,R104)</f>
        <v>* group[=].element[=].target.comment = ##34#Covered by other resources##34#</v>
      </c>
    </row>
    <row r="105" spans="16:19" x14ac:dyDescent="0.75">
      <c r="P105" s="9">
        <v>91</v>
      </c>
      <c r="Q105" s="9">
        <f t="shared" si="12"/>
        <v>15</v>
      </c>
      <c r="R105" s="9">
        <f t="shared" si="13"/>
        <v>1</v>
      </c>
      <c r="S105" s="14" t="str" cm="1">
        <f t="array" ref="S105">INDEX('PS-ConceptMap-1'!$I$15:$N$286,Q105+1,R105)</f>
        <v>* group[=].element[+].code = #PatientSummary.body</v>
      </c>
    </row>
    <row r="106" spans="16:19" x14ac:dyDescent="0.75">
      <c r="P106" s="9">
        <v>92</v>
      </c>
      <c r="Q106" s="9">
        <f t="shared" si="12"/>
        <v>15</v>
      </c>
      <c r="R106" s="9">
        <f t="shared" si="13"/>
        <v>2</v>
      </c>
      <c r="S106" s="14" t="str" cm="1">
        <f t="array" ref="S106">INDEX('PS-ConceptMap-1'!$I$15:$N$286,Q106+1,R106)</f>
        <v>* group[=].element[=].display = ##34#A.2 Patient summary body data elements##34#</v>
      </c>
    </row>
    <row r="107" spans="16:19" x14ac:dyDescent="0.75">
      <c r="P107" s="9">
        <v>93</v>
      </c>
      <c r="Q107" s="9">
        <f t="shared" si="12"/>
        <v>15</v>
      </c>
      <c r="R107" s="9">
        <f t="shared" si="13"/>
        <v>3</v>
      </c>
      <c r="S107" s="14" t="str" cm="1">
        <f t="array" ref="S107">INDEX('PS-ConceptMap-1'!$I$15:$N$286,Q107+1,R107)</f>
        <v>* group[=].element[=].target.code = #Composition.section</v>
      </c>
    </row>
    <row r="108" spans="16:19" x14ac:dyDescent="0.75">
      <c r="P108" s="9">
        <v>94</v>
      </c>
      <c r="Q108" s="9">
        <f t="shared" si="12"/>
        <v>15</v>
      </c>
      <c r="R108" s="9">
        <f t="shared" si="13"/>
        <v>4</v>
      </c>
      <c r="S108" s="14" t="str" cm="1">
        <f t="array" ref="S108">INDEX('PS-ConceptMap-1'!$I$15:$N$286,Q108+1,R108)</f>
        <v>* group[=].element[=].target.display = ##34###34#</v>
      </c>
    </row>
    <row r="109" spans="16:19" x14ac:dyDescent="0.75">
      <c r="P109" s="9">
        <v>95</v>
      </c>
      <c r="Q109" s="9">
        <f t="shared" si="12"/>
        <v>15</v>
      </c>
      <c r="R109" s="9">
        <f t="shared" si="13"/>
        <v>5</v>
      </c>
      <c r="S109" s="14" t="str" cm="1">
        <f t="array" ref="S109">INDEX('PS-ConceptMap-1'!$I$15:$N$286,Q109+1,R109)</f>
        <v>* group[=].element[=].target.equivalence = #relatedto</v>
      </c>
    </row>
    <row r="110" spans="16:19" x14ac:dyDescent="0.75">
      <c r="P110" s="9">
        <v>96</v>
      </c>
      <c r="Q110" s="9">
        <f t="shared" si="12"/>
        <v>15</v>
      </c>
      <c r="R110" s="9">
        <f t="shared" si="13"/>
        <v>6</v>
      </c>
      <c r="S110" s="14" t="str" cm="1">
        <f t="array" ref="S110">INDEX('PS-ConceptMap-1'!$I$15:$N$286,Q110+1,R110)</f>
        <v/>
      </c>
    </row>
    <row r="111" spans="16:19" x14ac:dyDescent="0.75">
      <c r="P111" s="9">
        <v>97</v>
      </c>
      <c r="Q111" s="9">
        <f t="shared" si="12"/>
        <v>16</v>
      </c>
      <c r="R111" s="9">
        <f t="shared" si="13"/>
        <v>1</v>
      </c>
      <c r="S111" s="14" t="str" cm="1">
        <f t="array" ref="S111">INDEX('PS-ConceptMap-1'!$I$15:$N$286,Q111+1,R111)</f>
        <v>* group[=].element[+].code = #PatientSummary.body.alerts</v>
      </c>
    </row>
    <row r="112" spans="16:19" x14ac:dyDescent="0.75">
      <c r="P112" s="9">
        <v>98</v>
      </c>
      <c r="Q112" s="9">
        <f t="shared" si="12"/>
        <v>16</v>
      </c>
      <c r="R112" s="9">
        <f t="shared" si="13"/>
        <v>2</v>
      </c>
      <c r="S112" s="14" t="str" cm="1">
        <f t="array" ref="S112">INDEX('PS-ConceptMap-1'!$I$15:$N$286,Q112+1,R112)</f>
        <v>* group[=].element[=].display = ##34#A.2.1 Alerts##34#</v>
      </c>
    </row>
    <row r="113" spans="16:19" x14ac:dyDescent="0.75">
      <c r="P113" s="9">
        <v>99</v>
      </c>
      <c r="Q113" s="9">
        <f t="shared" si="12"/>
        <v>16</v>
      </c>
      <c r="R113" s="9">
        <f t="shared" si="13"/>
        <v>3</v>
      </c>
      <c r="S113" s="14" t="str" cm="1">
        <f t="array" ref="S113">INDEX('PS-ConceptMap-1'!$I$15:$N$286,Q113+1,R113)</f>
        <v>* group[=].element[=].target.code = #Composition.section</v>
      </c>
    </row>
    <row r="114" spans="16:19" x14ac:dyDescent="0.75">
      <c r="P114" s="9">
        <v>100</v>
      </c>
      <c r="Q114" s="9">
        <f t="shared" si="12"/>
        <v>16</v>
      </c>
      <c r="R114" s="9">
        <f t="shared" si="13"/>
        <v>4</v>
      </c>
      <c r="S114" s="14" t="str" cm="1">
        <f t="array" ref="S114">INDEX('PS-ConceptMap-1'!$I$15:$N$286,Q114+1,R114)</f>
        <v>* group[=].element[=].target.display = ##34###34#</v>
      </c>
    </row>
    <row r="115" spans="16:19" x14ac:dyDescent="0.75">
      <c r="P115" s="9">
        <v>101</v>
      </c>
      <c r="Q115" s="9">
        <f t="shared" si="12"/>
        <v>16</v>
      </c>
      <c r="R115" s="9">
        <f t="shared" si="13"/>
        <v>5</v>
      </c>
      <c r="S115" s="14" t="str" cm="1">
        <f t="array" ref="S115">INDEX('PS-ConceptMap-1'!$I$15:$N$286,Q115+1,R115)</f>
        <v>* group[=].element[=].target.equivalence = #relatedto</v>
      </c>
    </row>
    <row r="116" spans="16:19" x14ac:dyDescent="0.75">
      <c r="P116" s="9">
        <v>102</v>
      </c>
      <c r="Q116" s="9">
        <f t="shared" si="12"/>
        <v>16</v>
      </c>
      <c r="R116" s="9">
        <f t="shared" si="13"/>
        <v>6</v>
      </c>
      <c r="S116" s="14" t="str" cm="1">
        <f t="array" ref="S116">INDEX('PS-ConceptMap-1'!$I$15:$N$286,Q116+1,R116)</f>
        <v/>
      </c>
    </row>
    <row r="117" spans="16:19" x14ac:dyDescent="0.75">
      <c r="P117" s="9">
        <v>103</v>
      </c>
      <c r="Q117" s="9">
        <f t="shared" si="12"/>
        <v>17</v>
      </c>
      <c r="R117" s="9">
        <f t="shared" si="13"/>
        <v>1</v>
      </c>
      <c r="S117" s="14" t="str" cm="1">
        <f t="array" ref="S117">INDEX('PS-ConceptMap-1'!$I$15:$N$286,Q117+1,R117)</f>
        <v>* group[=].element[+].code = #PatientSummary.body.alerts.allergy</v>
      </c>
    </row>
    <row r="118" spans="16:19" x14ac:dyDescent="0.75">
      <c r="P118" s="9">
        <v>104</v>
      </c>
      <c r="Q118" s="9">
        <f t="shared" si="12"/>
        <v>17</v>
      </c>
      <c r="R118" s="9">
        <f t="shared" si="13"/>
        <v>2</v>
      </c>
      <c r="S118" s="14" t="str" cm="1">
        <f t="array" ref="S118">INDEX('PS-ConceptMap-1'!$I$15:$N$286,Q118+1,R118)</f>
        <v>* group[=].element[=].display = ##34#A.2.1.1 Allergy##34#</v>
      </c>
    </row>
    <row r="119" spans="16:19" x14ac:dyDescent="0.75">
      <c r="P119" s="9">
        <v>105</v>
      </c>
      <c r="Q119" s="9">
        <f t="shared" si="12"/>
        <v>17</v>
      </c>
      <c r="R119" s="9">
        <f t="shared" si="13"/>
        <v>3</v>
      </c>
      <c r="S119" s="14" t="str" cm="1">
        <f t="array" ref="S119">INDEX('PS-ConceptMap-1'!$I$15:$N$286,Q119+1,R119)</f>
        <v>* group[=].element[=].target.code = #Composition.section:sectionAllergies</v>
      </c>
    </row>
    <row r="120" spans="16:19" x14ac:dyDescent="0.75">
      <c r="P120" s="9">
        <v>106</v>
      </c>
      <c r="Q120" s="9">
        <f t="shared" si="12"/>
        <v>17</v>
      </c>
      <c r="R120" s="9">
        <f t="shared" si="13"/>
        <v>4</v>
      </c>
      <c r="S120" s="14" t="str" cm="1">
        <f t="array" ref="S120">INDEX('PS-ConceptMap-1'!$I$15:$N$286,Q120+1,R120)</f>
        <v>* group[=].element[=].target.display = ##34###34#</v>
      </c>
    </row>
    <row r="121" spans="16:19" x14ac:dyDescent="0.75">
      <c r="P121" s="9">
        <v>107</v>
      </c>
      <c r="Q121" s="9">
        <f t="shared" si="12"/>
        <v>17</v>
      </c>
      <c r="R121" s="9">
        <f t="shared" si="13"/>
        <v>5</v>
      </c>
      <c r="S121" s="14" t="str" cm="1">
        <f t="array" ref="S121">INDEX('PS-ConceptMap-1'!$I$15:$N$286,Q121+1,R121)</f>
        <v>* group[=].element[=].target.equivalence = #relatedto</v>
      </c>
    </row>
    <row r="122" spans="16:19" x14ac:dyDescent="0.75">
      <c r="P122" s="9">
        <v>108</v>
      </c>
      <c r="Q122" s="9">
        <f t="shared" si="12"/>
        <v>17</v>
      </c>
      <c r="R122" s="9">
        <f t="shared" si="13"/>
        <v>6</v>
      </c>
      <c r="S122" s="14" t="str" cm="1">
        <f t="array" ref="S122">INDEX('PS-ConceptMap-1'!$I$15:$N$286,Q122+1,R122)</f>
        <v/>
      </c>
    </row>
    <row r="123" spans="16:19" x14ac:dyDescent="0.75">
      <c r="P123" s="9">
        <v>109</v>
      </c>
      <c r="Q123" s="9">
        <f t="shared" si="12"/>
        <v>18</v>
      </c>
      <c r="R123" s="9">
        <f t="shared" si="13"/>
        <v>1</v>
      </c>
      <c r="S123" s="14" t="str" cm="1">
        <f t="array" ref="S123">INDEX('PS-ConceptMap-1'!$I$15:$N$286,Q123+1,R123)</f>
        <v>* group[=].element[+].code = #PatientSummary.body.alerts.alert</v>
      </c>
    </row>
    <row r="124" spans="16:19" x14ac:dyDescent="0.75">
      <c r="P124" s="9">
        <v>110</v>
      </c>
      <c r="Q124" s="9">
        <f t="shared" si="12"/>
        <v>18</v>
      </c>
      <c r="R124" s="9">
        <f t="shared" si="13"/>
        <v>2</v>
      </c>
      <c r="S124" s="14" t="str" cm="1">
        <f t="array" ref="S124">INDEX('PS-ConceptMap-1'!$I$15:$N$286,Q124+1,R124)</f>
        <v>* group[=].element[=].display = ##34#A.2.1.2 Medical alert information (other alerts not included in allergies)##34#</v>
      </c>
    </row>
    <row r="125" spans="16:19" x14ac:dyDescent="0.75">
      <c r="P125" s="9">
        <v>111</v>
      </c>
      <c r="Q125" s="9">
        <f t="shared" si="12"/>
        <v>18</v>
      </c>
      <c r="R125" s="9">
        <f t="shared" si="13"/>
        <v>3</v>
      </c>
      <c r="S125" s="14" t="str" cm="1">
        <f t="array" ref="S125">INDEX('PS-ConceptMap-1'!$I$15:$N$286,Q125+1,R125)</f>
        <v>* group[=].element[=].target.code = #Composition.section:sectionAlert</v>
      </c>
    </row>
    <row r="126" spans="16:19" x14ac:dyDescent="0.75">
      <c r="P126" s="9">
        <v>112</v>
      </c>
      <c r="Q126" s="9">
        <f t="shared" si="12"/>
        <v>18</v>
      </c>
      <c r="R126" s="9">
        <f t="shared" si="13"/>
        <v>4</v>
      </c>
      <c r="S126" s="14" t="str" cm="1">
        <f t="array" ref="S126">INDEX('PS-ConceptMap-1'!$I$15:$N$286,Q126+1,R126)</f>
        <v>* group[=].element[=].target.display = ##34###34#</v>
      </c>
    </row>
    <row r="127" spans="16:19" x14ac:dyDescent="0.75">
      <c r="P127" s="9">
        <v>113</v>
      </c>
      <c r="Q127" s="9">
        <f t="shared" si="12"/>
        <v>18</v>
      </c>
      <c r="R127" s="9">
        <f t="shared" si="13"/>
        <v>5</v>
      </c>
      <c r="S127" s="14" t="str" cm="1">
        <f t="array" ref="S127">INDEX('PS-ConceptMap-1'!$I$15:$N$286,Q127+1,R127)</f>
        <v>* group[=].element[=].target.equivalence = #relatedto</v>
      </c>
    </row>
    <row r="128" spans="16:19" x14ac:dyDescent="0.75">
      <c r="P128" s="9">
        <v>114</v>
      </c>
      <c r="Q128" s="9">
        <f t="shared" si="12"/>
        <v>18</v>
      </c>
      <c r="R128" s="9">
        <f t="shared" si="13"/>
        <v>6</v>
      </c>
      <c r="S128" s="14" t="str" cm="1">
        <f t="array" ref="S128">INDEX('PS-ConceptMap-1'!$I$15:$N$286,Q128+1,R128)</f>
        <v/>
      </c>
    </row>
    <row r="129" spans="16:19" x14ac:dyDescent="0.75">
      <c r="P129" s="9">
        <v>115</v>
      </c>
      <c r="Q129" s="9">
        <f t="shared" si="12"/>
        <v>19</v>
      </c>
      <c r="R129" s="9">
        <f t="shared" si="13"/>
        <v>1</v>
      </c>
      <c r="S129" s="14" t="str" cm="1">
        <f t="array" ref="S129">INDEX('PS-ConceptMap-1'!$I$15:$N$286,Q129+1,R129)</f>
        <v>* group[=].element[+].code = #PatientSummary.body.alerts.alert.description</v>
      </c>
    </row>
    <row r="130" spans="16:19" x14ac:dyDescent="0.75">
      <c r="P130" s="9">
        <v>116</v>
      </c>
      <c r="Q130" s="9">
        <f t="shared" si="12"/>
        <v>19</v>
      </c>
      <c r="R130" s="9">
        <f t="shared" si="13"/>
        <v>2</v>
      </c>
      <c r="S130" s="14" t="str" cm="1">
        <f t="array" ref="S130">INDEX('PS-ConceptMap-1'!$I$15:$N$286,Q130+1,R130)</f>
        <v>* group[=].element[=].display = ##34#A.2.1.2.1 Healthcare alert description##34#</v>
      </c>
    </row>
    <row r="131" spans="16:19" x14ac:dyDescent="0.75">
      <c r="P131" s="9">
        <v>117</v>
      </c>
      <c r="Q131" s="9">
        <f t="shared" si="12"/>
        <v>19</v>
      </c>
      <c r="R131" s="9">
        <f t="shared" si="13"/>
        <v>3</v>
      </c>
      <c r="S131" s="14" t="str" cm="1">
        <f t="array" ref="S131">INDEX('PS-ConceptMap-1'!$I$15:$N$286,Q131+1,R131)</f>
        <v>* group[=].element[=].target.code = #Composition.section:sectionAlert.text</v>
      </c>
    </row>
    <row r="132" spans="16:19" x14ac:dyDescent="0.75">
      <c r="P132" s="9">
        <v>118</v>
      </c>
      <c r="Q132" s="9">
        <f t="shared" si="12"/>
        <v>19</v>
      </c>
      <c r="R132" s="9">
        <f t="shared" si="13"/>
        <v>4</v>
      </c>
      <c r="S132" s="14" t="str" cm="1">
        <f t="array" ref="S132">INDEX('PS-ConceptMap-1'!$I$15:$N$286,Q132+1,R132)</f>
        <v>* group[=].element[=].target.display = ##34###34#</v>
      </c>
    </row>
    <row r="133" spans="16:19" x14ac:dyDescent="0.75">
      <c r="P133" s="9">
        <v>119</v>
      </c>
      <c r="Q133" s="9">
        <f t="shared" si="12"/>
        <v>19</v>
      </c>
      <c r="R133" s="9">
        <f t="shared" si="13"/>
        <v>5</v>
      </c>
      <c r="S133" s="14" t="str" cm="1">
        <f t="array" ref="S133">INDEX('PS-ConceptMap-1'!$I$15:$N$286,Q133+1,R133)</f>
        <v>* group[=].element[=].target.equivalence = #relatedto</v>
      </c>
    </row>
    <row r="134" spans="16:19" x14ac:dyDescent="0.75">
      <c r="P134" s="9">
        <v>120</v>
      </c>
      <c r="Q134" s="9">
        <f t="shared" si="12"/>
        <v>19</v>
      </c>
      <c r="R134" s="9">
        <f t="shared" si="13"/>
        <v>6</v>
      </c>
      <c r="S134" s="14" t="str" cm="1">
        <f t="array" ref="S134">INDEX('PS-ConceptMap-1'!$I$15:$N$286,Q134+1,R134)</f>
        <v>* group[=].element[=].target.comment = ##34#Common textual descirption##34#</v>
      </c>
    </row>
    <row r="135" spans="16:19" x14ac:dyDescent="0.75">
      <c r="P135" s="9">
        <v>121</v>
      </c>
      <c r="Q135" s="9">
        <f t="shared" si="12"/>
        <v>20</v>
      </c>
      <c r="R135" s="9">
        <f t="shared" si="13"/>
        <v>1</v>
      </c>
      <c r="S135" s="14" t="str" cm="1">
        <f t="array" ref="S135">INDEX('PS-ConceptMap-1'!$I$15:$N$286,Q135+1,R135)</f>
        <v>* group[=].element[+].code = #PatientSummary.body.alerts.alert.description</v>
      </c>
    </row>
    <row r="136" spans="16:19" x14ac:dyDescent="0.75">
      <c r="P136" s="9">
        <v>122</v>
      </c>
      <c r="Q136" s="9">
        <f t="shared" si="12"/>
        <v>20</v>
      </c>
      <c r="R136" s="9">
        <f t="shared" si="13"/>
        <v>2</v>
      </c>
      <c r="S136" s="14" t="str" cm="1">
        <f t="array" ref="S136">INDEX('PS-ConceptMap-1'!$I$15:$N$286,Q136+1,R136)</f>
        <v>* group[=].element[=].display = ##34#A.2.1.2.1 Healthcare alert description##34#</v>
      </c>
    </row>
    <row r="137" spans="16:19" x14ac:dyDescent="0.75">
      <c r="P137" s="9">
        <v>123</v>
      </c>
      <c r="Q137" s="9">
        <f t="shared" si="12"/>
        <v>20</v>
      </c>
      <c r="R137" s="9">
        <f t="shared" si="13"/>
        <v>3</v>
      </c>
      <c r="S137" s="14" t="str" cm="1">
        <f t="array" ref="S137">INDEX('PS-ConceptMap-1'!$I$15:$N$286,Q137+1,R137)</f>
        <v>* group[=].element[=].target.code = #Composition.section:sectionAlert.entry.code.text</v>
      </c>
    </row>
    <row r="138" spans="16:19" x14ac:dyDescent="0.75">
      <c r="P138" s="9">
        <v>124</v>
      </c>
      <c r="Q138" s="9">
        <f t="shared" si="12"/>
        <v>20</v>
      </c>
      <c r="R138" s="9">
        <f t="shared" si="13"/>
        <v>4</v>
      </c>
      <c r="S138" s="14" t="str" cm="1">
        <f t="array" ref="S138">INDEX('PS-ConceptMap-1'!$I$15:$N$286,Q138+1,R138)</f>
        <v>* group[=].element[=].target.display = ##34###34#</v>
      </c>
    </row>
    <row r="139" spans="16:19" x14ac:dyDescent="0.75">
      <c r="P139" s="9">
        <v>125</v>
      </c>
      <c r="Q139" s="9">
        <f t="shared" si="12"/>
        <v>20</v>
      </c>
      <c r="R139" s="9">
        <f t="shared" si="13"/>
        <v>5</v>
      </c>
      <c r="S139" s="14" t="str" cm="1">
        <f t="array" ref="S139">INDEX('PS-ConceptMap-1'!$I$15:$N$286,Q139+1,R139)</f>
        <v>* group[=].element[=].target.equivalence = #relatedto</v>
      </c>
    </row>
    <row r="140" spans="16:19" x14ac:dyDescent="0.75">
      <c r="P140" s="9">
        <v>126</v>
      </c>
      <c r="Q140" s="9">
        <f t="shared" si="12"/>
        <v>20</v>
      </c>
      <c r="R140" s="9">
        <f t="shared" si="13"/>
        <v>6</v>
      </c>
      <c r="S140" s="14" t="str" cm="1">
        <f t="array" ref="S140">INDEX('PS-ConceptMap-1'!$I$15:$N$286,Q140+1,R140)</f>
        <v>* group[=].element[=].target.comment = ##34#entry level description##34#</v>
      </c>
    </row>
    <row r="141" spans="16:19" x14ac:dyDescent="0.75">
      <c r="P141" s="9">
        <v>127</v>
      </c>
      <c r="Q141" s="9">
        <f t="shared" si="12"/>
        <v>21</v>
      </c>
      <c r="R141" s="9">
        <f t="shared" si="13"/>
        <v>1</v>
      </c>
      <c r="S141" s="14" t="str" cm="1">
        <f t="array" ref="S141">INDEX('PS-ConceptMap-1'!$I$15:$N$286,Q141+1,R141)</f>
        <v>* group[=].element[+].code = #PatientSummary.body.medicalHistory</v>
      </c>
    </row>
    <row r="142" spans="16:19" x14ac:dyDescent="0.75">
      <c r="P142" s="9">
        <v>128</v>
      </c>
      <c r="Q142" s="9">
        <f t="shared" si="12"/>
        <v>21</v>
      </c>
      <c r="R142" s="9">
        <f t="shared" si="13"/>
        <v>2</v>
      </c>
      <c r="S142" s="14" t="str" cm="1">
        <f t="array" ref="S142">INDEX('PS-ConceptMap-1'!$I$15:$N$286,Q142+1,R142)</f>
        <v>* group[=].element[=].display = ##34#A.2.2 Medical history##34#</v>
      </c>
    </row>
    <row r="143" spans="16:19" x14ac:dyDescent="0.75">
      <c r="P143" s="9">
        <v>129</v>
      </c>
      <c r="Q143" s="9">
        <f t="shared" si="12"/>
        <v>21</v>
      </c>
      <c r="R143" s="9">
        <f t="shared" si="13"/>
        <v>3</v>
      </c>
      <c r="S143" s="14" t="str" cm="1">
        <f t="array" ref="S143">INDEX('PS-ConceptMap-1'!$I$15:$N$286,Q143+1,R143)</f>
        <v>* group[=].element[=].target.code = #Composition.section</v>
      </c>
    </row>
    <row r="144" spans="16:19" x14ac:dyDescent="0.75">
      <c r="P144" s="9">
        <v>130</v>
      </c>
      <c r="Q144" s="9">
        <f t="shared" ref="Q144:Q207" si="14">IF(MOD(P144,$Q$8)=0,P144/$Q$8-1,INT(P144/$Q$8))</f>
        <v>21</v>
      </c>
      <c r="R144" s="9">
        <f t="shared" ref="R144:R207" si="15">IF(MOD(P144,$Q$8)=0,$Q$8,MOD(P144,$Q$8))</f>
        <v>4</v>
      </c>
      <c r="S144" s="14" t="str" cm="1">
        <f t="array" ref="S144">INDEX('PS-ConceptMap-1'!$I$15:$N$286,Q144+1,R144)</f>
        <v>* group[=].element[=].target.display = ##34###34#</v>
      </c>
    </row>
    <row r="145" spans="16:19" x14ac:dyDescent="0.75">
      <c r="P145" s="9">
        <v>131</v>
      </c>
      <c r="Q145" s="9">
        <f t="shared" si="14"/>
        <v>21</v>
      </c>
      <c r="R145" s="9">
        <f t="shared" si="15"/>
        <v>5</v>
      </c>
      <c r="S145" s="14" t="str" cm="1">
        <f t="array" ref="S145">INDEX('PS-ConceptMap-1'!$I$15:$N$286,Q145+1,R145)</f>
        <v>* group[=].element[=].target.equivalence = #relatedto</v>
      </c>
    </row>
    <row r="146" spans="16:19" x14ac:dyDescent="0.75">
      <c r="P146" s="9">
        <v>132</v>
      </c>
      <c r="Q146" s="9">
        <f t="shared" si="14"/>
        <v>21</v>
      </c>
      <c r="R146" s="9">
        <f t="shared" si="15"/>
        <v>6</v>
      </c>
      <c r="S146" s="14" t="str" cm="1">
        <f t="array" ref="S146">INDEX('PS-ConceptMap-1'!$I$15:$N$286,Q146+1,R146)</f>
        <v/>
      </c>
    </row>
    <row r="147" spans="16:19" x14ac:dyDescent="0.75">
      <c r="P147" s="9">
        <v>133</v>
      </c>
      <c r="Q147" s="9">
        <f t="shared" si="14"/>
        <v>22</v>
      </c>
      <c r="R147" s="9">
        <f t="shared" si="15"/>
        <v>1</v>
      </c>
      <c r="S147" s="14" t="str" cm="1">
        <f t="array" ref="S147">INDEX('PS-ConceptMap-1'!$I$15:$N$286,Q147+1,R147)</f>
        <v>* group[=].element[+].code = #PatientSummary.body.medicalHistory.vaccination</v>
      </c>
    </row>
    <row r="148" spans="16:19" x14ac:dyDescent="0.75">
      <c r="P148" s="9">
        <v>134</v>
      </c>
      <c r="Q148" s="9">
        <f t="shared" si="14"/>
        <v>22</v>
      </c>
      <c r="R148" s="9">
        <f t="shared" si="15"/>
        <v>2</v>
      </c>
      <c r="S148" s="14" t="str" cm="1">
        <f t="array" ref="S148">INDEX('PS-ConceptMap-1'!$I$15:$N$286,Q148+1,R148)</f>
        <v>* group[=].element[=].display = ##34#A.2.2.1 Vaccination/ prophylaxis information##34#</v>
      </c>
    </row>
    <row r="149" spans="16:19" x14ac:dyDescent="0.75">
      <c r="P149" s="9">
        <v>135</v>
      </c>
      <c r="Q149" s="9">
        <f t="shared" si="14"/>
        <v>22</v>
      </c>
      <c r="R149" s="9">
        <f t="shared" si="15"/>
        <v>3</v>
      </c>
      <c r="S149" s="14" t="str" cm="1">
        <f t="array" ref="S149">INDEX('PS-ConceptMap-1'!$I$15:$N$286,Q149+1,R149)</f>
        <v>* group[=].element[=].target.code = #Composition.section:sectionImmunizations</v>
      </c>
    </row>
    <row r="150" spans="16:19" x14ac:dyDescent="0.75">
      <c r="P150" s="9">
        <v>136</v>
      </c>
      <c r="Q150" s="9">
        <f t="shared" si="14"/>
        <v>22</v>
      </c>
      <c r="R150" s="9">
        <f t="shared" si="15"/>
        <v>4</v>
      </c>
      <c r="S150" s="14" t="str" cm="1">
        <f t="array" ref="S150">INDEX('PS-ConceptMap-1'!$I$15:$N$286,Q150+1,R150)</f>
        <v>* group[=].element[=].target.display = ##34###34#</v>
      </c>
    </row>
    <row r="151" spans="16:19" x14ac:dyDescent="0.75">
      <c r="P151" s="9">
        <v>137</v>
      </c>
      <c r="Q151" s="9">
        <f t="shared" si="14"/>
        <v>22</v>
      </c>
      <c r="R151" s="9">
        <f t="shared" si="15"/>
        <v>5</v>
      </c>
      <c r="S151" s="14" t="str" cm="1">
        <f t="array" ref="S151">INDEX('PS-ConceptMap-1'!$I$15:$N$286,Q151+1,R151)</f>
        <v>* group[=].element[=].target.equivalence = #equivalent</v>
      </c>
    </row>
    <row r="152" spans="16:19" x14ac:dyDescent="0.75">
      <c r="P152" s="9">
        <v>138</v>
      </c>
      <c r="Q152" s="9">
        <f t="shared" si="14"/>
        <v>22</v>
      </c>
      <c r="R152" s="9">
        <f t="shared" si="15"/>
        <v>6</v>
      </c>
      <c r="S152" s="14" t="str" cm="1">
        <f t="array" ref="S152">INDEX('PS-ConceptMap-1'!$I$15:$N$286,Q152+1,R152)</f>
        <v/>
      </c>
    </row>
    <row r="153" spans="16:19" x14ac:dyDescent="0.75">
      <c r="P153" s="9">
        <v>139</v>
      </c>
      <c r="Q153" s="9">
        <f t="shared" si="14"/>
        <v>23</v>
      </c>
      <c r="R153" s="9">
        <f t="shared" si="15"/>
        <v>1</v>
      </c>
      <c r="S153" s="14" t="str" cm="1">
        <f t="array" ref="S153">INDEX('PS-ConceptMap-1'!$I$15:$N$286,Q153+1,R153)</f>
        <v>* group[=].element[+].code = #PatientSummary.body.medicalHistory.inactiveProblem</v>
      </c>
    </row>
    <row r="154" spans="16:19" x14ac:dyDescent="0.75">
      <c r="P154" s="9">
        <v>140</v>
      </c>
      <c r="Q154" s="9">
        <f t="shared" si="14"/>
        <v>23</v>
      </c>
      <c r="R154" s="9">
        <f t="shared" si="15"/>
        <v>2</v>
      </c>
      <c r="S154" s="14" t="str" cm="1">
        <f t="array" ref="S154">INDEX('PS-ConceptMap-1'!$I$15:$N$286,Q154+1,R154)</f>
        <v>* group[=].element[=].display = ##34#A.2.2.2 Resolved, closed or inactive problems##34#</v>
      </c>
    </row>
    <row r="155" spans="16:19" x14ac:dyDescent="0.75">
      <c r="P155" s="9">
        <v>141</v>
      </c>
      <c r="Q155" s="9">
        <f t="shared" si="14"/>
        <v>23</v>
      </c>
      <c r="R155" s="9">
        <f t="shared" si="15"/>
        <v>3</v>
      </c>
      <c r="S155" s="14" t="str" cm="1">
        <f t="array" ref="S155">INDEX('PS-ConceptMap-1'!$I$15:$N$286,Q155+1,R155)</f>
        <v>* group[=].element[=].target.code = #Composition.section:sectionPastIllnessHx</v>
      </c>
    </row>
    <row r="156" spans="16:19" x14ac:dyDescent="0.75">
      <c r="P156" s="9">
        <v>142</v>
      </c>
      <c r="Q156" s="9">
        <f t="shared" si="14"/>
        <v>23</v>
      </c>
      <c r="R156" s="9">
        <f t="shared" si="15"/>
        <v>4</v>
      </c>
      <c r="S156" s="14" t="str" cm="1">
        <f t="array" ref="S156">INDEX('PS-ConceptMap-1'!$I$15:$N$286,Q156+1,R156)</f>
        <v>* group[=].element[=].target.display = ##34###34#</v>
      </c>
    </row>
    <row r="157" spans="16:19" x14ac:dyDescent="0.75">
      <c r="P157" s="9">
        <v>143</v>
      </c>
      <c r="Q157" s="9">
        <f t="shared" si="14"/>
        <v>23</v>
      </c>
      <c r="R157" s="9">
        <f t="shared" si="15"/>
        <v>5</v>
      </c>
      <c r="S157" s="14" t="str" cm="1">
        <f t="array" ref="S157">INDEX('PS-ConceptMap-1'!$I$15:$N$286,Q157+1,R157)</f>
        <v>* group[=].element[=].target.equivalence = #equivalent</v>
      </c>
    </row>
    <row r="158" spans="16:19" x14ac:dyDescent="0.75">
      <c r="P158" s="9">
        <v>144</v>
      </c>
      <c r="Q158" s="9">
        <f t="shared" si="14"/>
        <v>23</v>
      </c>
      <c r="R158" s="9">
        <f t="shared" si="15"/>
        <v>6</v>
      </c>
      <c r="S158" s="14" t="str" cm="1">
        <f t="array" ref="S158">INDEX('PS-ConceptMap-1'!$I$15:$N$286,Q158+1,R158)</f>
        <v/>
      </c>
    </row>
    <row r="159" spans="16:19" x14ac:dyDescent="0.75">
      <c r="P159" s="9">
        <v>145</v>
      </c>
      <c r="Q159" s="9">
        <f t="shared" si="14"/>
        <v>24</v>
      </c>
      <c r="R159" s="9">
        <f t="shared" si="15"/>
        <v>1</v>
      </c>
      <c r="S159" s="14" t="str" cm="1">
        <f t="array" ref="S159">INDEX('PS-ConceptMap-1'!$I$15:$N$286,Q159+1,R159)</f>
        <v>* group[=].element[+].code = #PatientSummary.body.medicalHistory.anamnesis</v>
      </c>
    </row>
    <row r="160" spans="16:19" x14ac:dyDescent="0.75">
      <c r="P160" s="9">
        <v>146</v>
      </c>
      <c r="Q160" s="9">
        <f t="shared" si="14"/>
        <v>24</v>
      </c>
      <c r="R160" s="9">
        <f t="shared" si="15"/>
        <v>2</v>
      </c>
      <c r="S160" s="14" t="str" cm="1">
        <f t="array" ref="S160">INDEX('PS-ConceptMap-1'!$I$15:$N$286,Q160+1,R160)</f>
        <v>* group[=].element[=].display = ##34#A.2.2.3 Medical history##34#</v>
      </c>
    </row>
    <row r="161" spans="16:19" x14ac:dyDescent="0.75">
      <c r="P161" s="9">
        <v>147</v>
      </c>
      <c r="Q161" s="9">
        <f t="shared" si="14"/>
        <v>24</v>
      </c>
      <c r="R161" s="9">
        <f t="shared" si="15"/>
        <v>3</v>
      </c>
      <c r="S161" s="14" t="str" cm="1">
        <f t="array" ref="S161">INDEX('PS-ConceptMap-1'!$I$15:$N$286,Q161+1,R161)</f>
        <v>* group[=].element[=].target.code = #Composition.section</v>
      </c>
    </row>
    <row r="162" spans="16:19" x14ac:dyDescent="0.75">
      <c r="P162" s="9">
        <v>148</v>
      </c>
      <c r="Q162" s="9">
        <f t="shared" si="14"/>
        <v>24</v>
      </c>
      <c r="R162" s="9">
        <f t="shared" si="15"/>
        <v>4</v>
      </c>
      <c r="S162" s="14" t="str" cm="1">
        <f t="array" ref="S162">INDEX('PS-ConceptMap-1'!$I$15:$N$286,Q162+1,R162)</f>
        <v>* group[=].element[=].target.display = ##34###34#</v>
      </c>
    </row>
    <row r="163" spans="16:19" x14ac:dyDescent="0.75">
      <c r="P163" s="9">
        <v>149</v>
      </c>
      <c r="Q163" s="9">
        <f t="shared" si="14"/>
        <v>24</v>
      </c>
      <c r="R163" s="9">
        <f t="shared" si="15"/>
        <v>5</v>
      </c>
      <c r="S163" s="14" t="str" cm="1">
        <f t="array" ref="S163">INDEX('PS-ConceptMap-1'!$I$15:$N$286,Q163+1,R163)</f>
        <v>* group[=].element[=].target.equivalence = #relatedto</v>
      </c>
    </row>
    <row r="164" spans="16:19" x14ac:dyDescent="0.75">
      <c r="P164" s="9">
        <v>150</v>
      </c>
      <c r="Q164" s="9">
        <f t="shared" si="14"/>
        <v>24</v>
      </c>
      <c r="R164" s="9">
        <f t="shared" si="15"/>
        <v>6</v>
      </c>
      <c r="S164" s="14" t="str" cm="1">
        <f t="array" ref="S164">INDEX('PS-ConceptMap-1'!$I$15:$N$286,Q164+1,R164)</f>
        <v/>
      </c>
    </row>
    <row r="165" spans="16:19" x14ac:dyDescent="0.75">
      <c r="P165" s="9">
        <v>151</v>
      </c>
      <c r="Q165" s="9">
        <f t="shared" si="14"/>
        <v>25</v>
      </c>
      <c r="R165" s="9">
        <f t="shared" si="15"/>
        <v>1</v>
      </c>
      <c r="S165" s="14" t="str" cm="1">
        <f t="array" ref="S165">INDEX('PS-ConceptMap-1'!$I$15:$N$286,Q165+1,R165)</f>
        <v>* group[=].element[+].code = #PatientSummary.body.medicalHistory.anamnesis.details</v>
      </c>
    </row>
    <row r="166" spans="16:19" x14ac:dyDescent="0.75">
      <c r="P166" s="9">
        <v>152</v>
      </c>
      <c r="Q166" s="9">
        <f t="shared" si="14"/>
        <v>25</v>
      </c>
      <c r="R166" s="9">
        <f t="shared" si="15"/>
        <v>2</v>
      </c>
      <c r="S166" s="14" t="str" cm="1">
        <f t="array" ref="S166">INDEX('PS-ConceptMap-1'!$I$15:$N$286,Q166+1,R166)</f>
        <v>* group[=].element[=].display = ##34#A.2.2.3.1 Medical history##34#</v>
      </c>
    </row>
    <row r="167" spans="16:19" x14ac:dyDescent="0.75">
      <c r="P167" s="9">
        <v>153</v>
      </c>
      <c r="Q167" s="9">
        <f t="shared" si="14"/>
        <v>25</v>
      </c>
      <c r="R167" s="9">
        <f t="shared" si="15"/>
        <v>3</v>
      </c>
      <c r="S167" s="14" t="str" cm="1">
        <f t="array" ref="S167">INDEX('PS-ConceptMap-1'!$I$15:$N$286,Q167+1,R167)</f>
        <v>* group[=].element[=].target.code = #Composition.section:section:sectionPatientHx</v>
      </c>
    </row>
    <row r="168" spans="16:19" x14ac:dyDescent="0.75">
      <c r="P168" s="9">
        <v>154</v>
      </c>
      <c r="Q168" s="9">
        <f t="shared" si="14"/>
        <v>25</v>
      </c>
      <c r="R168" s="9">
        <f t="shared" si="15"/>
        <v>4</v>
      </c>
      <c r="S168" s="14" t="str" cm="1">
        <f t="array" ref="S168">INDEX('PS-ConceptMap-1'!$I$15:$N$286,Q168+1,R168)</f>
        <v>* group[=].element[=].target.display = ##34###34#</v>
      </c>
    </row>
    <row r="169" spans="16:19" x14ac:dyDescent="0.75">
      <c r="P169" s="9">
        <v>155</v>
      </c>
      <c r="Q169" s="9">
        <f t="shared" si="14"/>
        <v>25</v>
      </c>
      <c r="R169" s="9">
        <f t="shared" si="15"/>
        <v>5</v>
      </c>
      <c r="S169" s="14" t="str" cm="1">
        <f t="array" ref="S169">INDEX('PS-ConceptMap-1'!$I$15:$N$286,Q169+1,R169)</f>
        <v>* group[=].element[=].target.equivalence = #relatedto</v>
      </c>
    </row>
    <row r="170" spans="16:19" x14ac:dyDescent="0.75">
      <c r="P170" s="9">
        <v>156</v>
      </c>
      <c r="Q170" s="9">
        <f t="shared" si="14"/>
        <v>25</v>
      </c>
      <c r="R170" s="9">
        <f t="shared" si="15"/>
        <v>6</v>
      </c>
      <c r="S170" s="14" t="str" cm="1">
        <f t="array" ref="S170">INDEX('PS-ConceptMap-1'!$I$15:$N$286,Q170+1,R170)</f>
        <v/>
      </c>
    </row>
    <row r="171" spans="16:19" x14ac:dyDescent="0.75">
      <c r="P171" s="9">
        <v>157</v>
      </c>
      <c r="Q171" s="9">
        <f t="shared" si="14"/>
        <v>26</v>
      </c>
      <c r="R171" s="9">
        <f t="shared" si="15"/>
        <v>1</v>
      </c>
      <c r="S171" s="14" t="str" cm="1">
        <f t="array" ref="S171">INDEX('PS-ConceptMap-1'!$I$15:$N$286,Q171+1,R171)</f>
        <v>* group[=].element[+].code = #PatientSummary.body.medicalProblems</v>
      </c>
    </row>
    <row r="172" spans="16:19" x14ac:dyDescent="0.75">
      <c r="P172" s="9">
        <v>158</v>
      </c>
      <c r="Q172" s="9">
        <f t="shared" si="14"/>
        <v>26</v>
      </c>
      <c r="R172" s="9">
        <f t="shared" si="15"/>
        <v>2</v>
      </c>
      <c r="S172" s="14" t="str" cm="1">
        <f t="array" ref="S172">INDEX('PS-ConceptMap-1'!$I$15:$N$286,Q172+1,R172)</f>
        <v>* group[=].element[=].display = ##34#A.2.3 Medical problems##34#</v>
      </c>
    </row>
    <row r="173" spans="16:19" x14ac:dyDescent="0.75">
      <c r="P173" s="9">
        <v>159</v>
      </c>
      <c r="Q173" s="9">
        <f t="shared" si="14"/>
        <v>26</v>
      </c>
      <c r="R173" s="9">
        <f t="shared" si="15"/>
        <v>3</v>
      </c>
      <c r="S173" s="14" t="str" cm="1">
        <f t="array" ref="S173">INDEX('PS-ConceptMap-1'!$I$15:$N$286,Q173+1,R173)</f>
        <v>* group[=].element[=].target.code = #Composition.section</v>
      </c>
    </row>
    <row r="174" spans="16:19" x14ac:dyDescent="0.75">
      <c r="P174" s="9">
        <v>160</v>
      </c>
      <c r="Q174" s="9">
        <f t="shared" si="14"/>
        <v>26</v>
      </c>
      <c r="R174" s="9">
        <f t="shared" si="15"/>
        <v>4</v>
      </c>
      <c r="S174" s="14" t="str" cm="1">
        <f t="array" ref="S174">INDEX('PS-ConceptMap-1'!$I$15:$N$286,Q174+1,R174)</f>
        <v>* group[=].element[=].target.display = ##34###34#</v>
      </c>
    </row>
    <row r="175" spans="16:19" x14ac:dyDescent="0.75">
      <c r="P175" s="9">
        <v>161</v>
      </c>
      <c r="Q175" s="9">
        <f t="shared" si="14"/>
        <v>26</v>
      </c>
      <c r="R175" s="9">
        <f t="shared" si="15"/>
        <v>5</v>
      </c>
      <c r="S175" s="14" t="str" cm="1">
        <f t="array" ref="S175">INDEX('PS-ConceptMap-1'!$I$15:$N$286,Q175+1,R175)</f>
        <v>* group[=].element[=].target.equivalence = #relatedto</v>
      </c>
    </row>
    <row r="176" spans="16:19" x14ac:dyDescent="0.75">
      <c r="P176" s="9">
        <v>162</v>
      </c>
      <c r="Q176" s="9">
        <f t="shared" si="14"/>
        <v>26</v>
      </c>
      <c r="R176" s="9">
        <f t="shared" si="15"/>
        <v>6</v>
      </c>
      <c r="S176" s="14" t="str" cm="1">
        <f t="array" ref="S176">INDEX('PS-ConceptMap-1'!$I$15:$N$286,Q176+1,R176)</f>
        <v/>
      </c>
    </row>
    <row r="177" spans="16:19" x14ac:dyDescent="0.75">
      <c r="P177" s="9">
        <v>163</v>
      </c>
      <c r="Q177" s="9">
        <f t="shared" si="14"/>
        <v>27</v>
      </c>
      <c r="R177" s="9">
        <f t="shared" si="15"/>
        <v>1</v>
      </c>
      <c r="S177" s="14" t="str" cm="1">
        <f t="array" ref="S177">INDEX('PS-ConceptMap-1'!$I$15:$N$286,Q177+1,R177)</f>
        <v>* group[=].element[+].code = #PatientSummary.body.medicalProblems.problems</v>
      </c>
    </row>
    <row r="178" spans="16:19" x14ac:dyDescent="0.75">
      <c r="P178" s="9">
        <v>164</v>
      </c>
      <c r="Q178" s="9">
        <f t="shared" si="14"/>
        <v>27</v>
      </c>
      <c r="R178" s="9">
        <f t="shared" si="15"/>
        <v>2</v>
      </c>
      <c r="S178" s="14" t="str" cm="1">
        <f t="array" ref="S178">INDEX('PS-ConceptMap-1'!$I$15:$N$286,Q178+1,R178)</f>
        <v>* group[=].element[=].display = ##34#A.2.3.1 Current problems##34#</v>
      </c>
    </row>
    <row r="179" spans="16:19" x14ac:dyDescent="0.75">
      <c r="P179" s="9">
        <v>165</v>
      </c>
      <c r="Q179" s="9">
        <f t="shared" si="14"/>
        <v>27</v>
      </c>
      <c r="R179" s="9">
        <f t="shared" si="15"/>
        <v>3</v>
      </c>
      <c r="S179" s="14" t="str" cm="1">
        <f t="array" ref="S179">INDEX('PS-ConceptMap-1'!$I$15:$N$286,Q179+1,R179)</f>
        <v>* group[=].element[=].target.code = #Composition.section:section:sectionProblems</v>
      </c>
    </row>
    <row r="180" spans="16:19" x14ac:dyDescent="0.75">
      <c r="P180" s="9">
        <v>166</v>
      </c>
      <c r="Q180" s="9">
        <f t="shared" si="14"/>
        <v>27</v>
      </c>
      <c r="R180" s="9">
        <f t="shared" si="15"/>
        <v>4</v>
      </c>
      <c r="S180" s="14" t="str" cm="1">
        <f t="array" ref="S180">INDEX('PS-ConceptMap-1'!$I$15:$N$286,Q180+1,R180)</f>
        <v>* group[=].element[=].target.display = ##34###34#</v>
      </c>
    </row>
    <row r="181" spans="16:19" x14ac:dyDescent="0.75">
      <c r="P181" s="9">
        <v>167</v>
      </c>
      <c r="Q181" s="9">
        <f t="shared" si="14"/>
        <v>27</v>
      </c>
      <c r="R181" s="9">
        <f t="shared" si="15"/>
        <v>5</v>
      </c>
      <c r="S181" s="14" t="str" cm="1">
        <f t="array" ref="S181">INDEX('PS-ConceptMap-1'!$I$15:$N$286,Q181+1,R181)</f>
        <v>* group[=].element[=].target.equivalence = #equivalent</v>
      </c>
    </row>
    <row r="182" spans="16:19" x14ac:dyDescent="0.75">
      <c r="P182" s="9">
        <v>168</v>
      </c>
      <c r="Q182" s="9">
        <f t="shared" si="14"/>
        <v>27</v>
      </c>
      <c r="R182" s="9">
        <f t="shared" si="15"/>
        <v>6</v>
      </c>
      <c r="S182" s="14" t="str" cm="1">
        <f t="array" ref="S182">INDEX('PS-ConceptMap-1'!$I$15:$N$286,Q182+1,R182)</f>
        <v/>
      </c>
    </row>
    <row r="183" spans="16:19" x14ac:dyDescent="0.75">
      <c r="P183" s="9">
        <v>169</v>
      </c>
      <c r="Q183" s="9">
        <f t="shared" si="14"/>
        <v>28</v>
      </c>
      <c r="R183" s="9">
        <f t="shared" si="15"/>
        <v>1</v>
      </c>
      <c r="S183" s="14" t="str" cm="1">
        <f t="array" ref="S183">INDEX('PS-ConceptMap-1'!$I$15:$N$286,Q183+1,R183)</f>
        <v>* group[=].element[+].code = #PatientSummary.body.medicalProblems.medicalDevices</v>
      </c>
    </row>
    <row r="184" spans="16:19" x14ac:dyDescent="0.75">
      <c r="P184" s="9">
        <v>170</v>
      </c>
      <c r="Q184" s="9">
        <f t="shared" si="14"/>
        <v>28</v>
      </c>
      <c r="R184" s="9">
        <f t="shared" si="15"/>
        <v>2</v>
      </c>
      <c r="S184" s="14" t="str" cm="1">
        <f t="array" ref="S184">INDEX('PS-ConceptMap-1'!$I$15:$N$286,Q184+1,R184)</f>
        <v>* group[=].element[=].display = ##34#A.2.3.2 Medical devices and implants##34#</v>
      </c>
    </row>
    <row r="185" spans="16:19" x14ac:dyDescent="0.75">
      <c r="P185" s="9">
        <v>171</v>
      </c>
      <c r="Q185" s="9">
        <f t="shared" si="14"/>
        <v>28</v>
      </c>
      <c r="R185" s="9">
        <f t="shared" si="15"/>
        <v>3</v>
      </c>
      <c r="S185" s="14" t="str" cm="1">
        <f t="array" ref="S185">INDEX('PS-ConceptMap-1'!$I$15:$N$286,Q185+1,R185)</f>
        <v>* group[=].element[=].target.code = #Composition.section:sectionMedicalDevices</v>
      </c>
    </row>
    <row r="186" spans="16:19" x14ac:dyDescent="0.75">
      <c r="P186" s="9">
        <v>172</v>
      </c>
      <c r="Q186" s="9">
        <f t="shared" si="14"/>
        <v>28</v>
      </c>
      <c r="R186" s="9">
        <f t="shared" si="15"/>
        <v>4</v>
      </c>
      <c r="S186" s="14" t="str" cm="1">
        <f t="array" ref="S186">INDEX('PS-ConceptMap-1'!$I$15:$N$286,Q186+1,R186)</f>
        <v>* group[=].element[=].target.display = ##34###34#</v>
      </c>
    </row>
    <row r="187" spans="16:19" x14ac:dyDescent="0.75">
      <c r="P187" s="9">
        <v>173</v>
      </c>
      <c r="Q187" s="9">
        <f t="shared" si="14"/>
        <v>28</v>
      </c>
      <c r="R187" s="9">
        <f t="shared" si="15"/>
        <v>5</v>
      </c>
      <c r="S187" s="14" t="str" cm="1">
        <f t="array" ref="S187">INDEX('PS-ConceptMap-1'!$I$15:$N$286,Q187+1,R187)</f>
        <v>* group[=].element[=].target.equivalence = #equivalent</v>
      </c>
    </row>
    <row r="188" spans="16:19" x14ac:dyDescent="0.75">
      <c r="P188" s="9">
        <v>174</v>
      </c>
      <c r="Q188" s="9">
        <f t="shared" si="14"/>
        <v>28</v>
      </c>
      <c r="R188" s="9">
        <f t="shared" si="15"/>
        <v>6</v>
      </c>
      <c r="S188" s="14" t="str" cm="1">
        <f t="array" ref="S188">INDEX('PS-ConceptMap-1'!$I$15:$N$286,Q188+1,R188)</f>
        <v/>
      </c>
    </row>
    <row r="189" spans="16:19" x14ac:dyDescent="0.75">
      <c r="P189" s="9">
        <v>175</v>
      </c>
      <c r="Q189" s="9">
        <f t="shared" si="14"/>
        <v>29</v>
      </c>
      <c r="R189" s="9">
        <f t="shared" si="15"/>
        <v>1</v>
      </c>
      <c r="S189" s="14" t="str" cm="1">
        <f t="array" ref="S189">INDEX('PS-ConceptMap-1'!$I$15:$N$286,Q189+1,R189)</f>
        <v>* group[=].element[+].code = #PatientSummary.body.medicalProblems.procedures</v>
      </c>
    </row>
    <row r="190" spans="16:19" x14ac:dyDescent="0.75">
      <c r="P190" s="9">
        <v>176</v>
      </c>
      <c r="Q190" s="9">
        <f t="shared" si="14"/>
        <v>29</v>
      </c>
      <c r="R190" s="9">
        <f t="shared" si="15"/>
        <v>2</v>
      </c>
      <c r="S190" s="14" t="str" cm="1">
        <f t="array" ref="S190">INDEX('PS-ConceptMap-1'!$I$15:$N$286,Q190+1,R190)</f>
        <v>* group[=].element[=].display = ##34#A.2.3.3 Procedures##34#</v>
      </c>
    </row>
    <row r="191" spans="16:19" x14ac:dyDescent="0.75">
      <c r="P191" s="9">
        <v>177</v>
      </c>
      <c r="Q191" s="9">
        <f t="shared" si="14"/>
        <v>29</v>
      </c>
      <c r="R191" s="9">
        <f t="shared" si="15"/>
        <v>3</v>
      </c>
      <c r="S191" s="14" t="str" cm="1">
        <f t="array" ref="S191">INDEX('PS-ConceptMap-1'!$I$15:$N$286,Q191+1,R191)</f>
        <v>* group[=].element[=].target.code = #Composition.section:sectionProceduresHx</v>
      </c>
    </row>
    <row r="192" spans="16:19" x14ac:dyDescent="0.75">
      <c r="P192" s="9">
        <v>178</v>
      </c>
      <c r="Q192" s="9">
        <f t="shared" si="14"/>
        <v>29</v>
      </c>
      <c r="R192" s="9">
        <f t="shared" si="15"/>
        <v>4</v>
      </c>
      <c r="S192" s="14" t="str" cm="1">
        <f t="array" ref="S192">INDEX('PS-ConceptMap-1'!$I$15:$N$286,Q192+1,R192)</f>
        <v>* group[=].element[=].target.display = ##34###34#</v>
      </c>
    </row>
    <row r="193" spans="16:19" x14ac:dyDescent="0.75">
      <c r="P193" s="9">
        <v>179</v>
      </c>
      <c r="Q193" s="9">
        <f t="shared" si="14"/>
        <v>29</v>
      </c>
      <c r="R193" s="9">
        <f t="shared" si="15"/>
        <v>5</v>
      </c>
      <c r="S193" s="14" t="str" cm="1">
        <f t="array" ref="S193">INDEX('PS-ConceptMap-1'!$I$15:$N$286,Q193+1,R193)</f>
        <v>* group[=].element[=].target.equivalence = #equivalent</v>
      </c>
    </row>
    <row r="194" spans="16:19" x14ac:dyDescent="0.75">
      <c r="P194" s="9">
        <v>180</v>
      </c>
      <c r="Q194" s="9">
        <f t="shared" si="14"/>
        <v>29</v>
      </c>
      <c r="R194" s="9">
        <f t="shared" si="15"/>
        <v>6</v>
      </c>
      <c r="S194" s="14" t="str" cm="1">
        <f t="array" ref="S194">INDEX('PS-ConceptMap-1'!$I$15:$N$286,Q194+1,R194)</f>
        <v/>
      </c>
    </row>
    <row r="195" spans="16:19" x14ac:dyDescent="0.75">
      <c r="P195" s="9">
        <v>181</v>
      </c>
      <c r="Q195" s="9">
        <f t="shared" si="14"/>
        <v>30</v>
      </c>
      <c r="R195" s="9">
        <f t="shared" si="15"/>
        <v>1</v>
      </c>
      <c r="S195" s="14" t="str" cm="1">
        <f t="array" ref="S195">INDEX('PS-ConceptMap-1'!$I$15:$N$286,Q195+1,R195)</f>
        <v>* group[=].element[+].code = #PatientSummary.body.medicalProblems.functionalStatus</v>
      </c>
    </row>
    <row r="196" spans="16:19" x14ac:dyDescent="0.75">
      <c r="P196" s="9">
        <v>182</v>
      </c>
      <c r="Q196" s="9">
        <f t="shared" si="14"/>
        <v>30</v>
      </c>
      <c r="R196" s="9">
        <f t="shared" si="15"/>
        <v>2</v>
      </c>
      <c r="S196" s="14" t="str" cm="1">
        <f t="array" ref="S196">INDEX('PS-ConceptMap-1'!$I$15:$N$286,Q196+1,R196)</f>
        <v>* group[=].element[=].display = ##34#A.2.3.4 Functional status##34#</v>
      </c>
    </row>
    <row r="197" spans="16:19" x14ac:dyDescent="0.75">
      <c r="P197" s="9">
        <v>183</v>
      </c>
      <c r="Q197" s="9">
        <f t="shared" si="14"/>
        <v>30</v>
      </c>
      <c r="R197" s="9">
        <f t="shared" si="15"/>
        <v>3</v>
      </c>
      <c r="S197" s="14" t="str" cm="1">
        <f t="array" ref="S197">INDEX('PS-ConceptMap-1'!$I$15:$N$286,Q197+1,R197)</f>
        <v>* group[=].element[=].target.code = #Composition.section:sectionFunctionalStatus</v>
      </c>
    </row>
    <row r="198" spans="16:19" x14ac:dyDescent="0.75">
      <c r="P198" s="9">
        <v>184</v>
      </c>
      <c r="Q198" s="9">
        <f t="shared" si="14"/>
        <v>30</v>
      </c>
      <c r="R198" s="9">
        <f t="shared" si="15"/>
        <v>4</v>
      </c>
      <c r="S198" s="14" t="str" cm="1">
        <f t="array" ref="S198">INDEX('PS-ConceptMap-1'!$I$15:$N$286,Q198+1,R198)</f>
        <v>* group[=].element[=].target.display = ##34###34#</v>
      </c>
    </row>
    <row r="199" spans="16:19" x14ac:dyDescent="0.75">
      <c r="P199" s="9">
        <v>185</v>
      </c>
      <c r="Q199" s="9">
        <f t="shared" si="14"/>
        <v>30</v>
      </c>
      <c r="R199" s="9">
        <f t="shared" si="15"/>
        <v>5</v>
      </c>
      <c r="S199" s="14" t="str" cm="1">
        <f t="array" ref="S199">INDEX('PS-ConceptMap-1'!$I$15:$N$286,Q199+1,R199)</f>
        <v>* group[=].element[=].target.equivalence = #equivalent</v>
      </c>
    </row>
    <row r="200" spans="16:19" x14ac:dyDescent="0.75">
      <c r="P200" s="9">
        <v>186</v>
      </c>
      <c r="Q200" s="9">
        <f t="shared" si="14"/>
        <v>30</v>
      </c>
      <c r="R200" s="9">
        <f t="shared" si="15"/>
        <v>6</v>
      </c>
      <c r="S200" s="14" t="str" cm="1">
        <f t="array" ref="S200">INDEX('PS-ConceptMap-1'!$I$15:$N$286,Q200+1,R200)</f>
        <v/>
      </c>
    </row>
    <row r="201" spans="16:19" x14ac:dyDescent="0.75">
      <c r="P201" s="9">
        <v>187</v>
      </c>
      <c r="Q201" s="9">
        <f t="shared" si="14"/>
        <v>31</v>
      </c>
      <c r="R201" s="9">
        <f t="shared" si="15"/>
        <v>1</v>
      </c>
      <c r="S201" s="14" t="str" cm="1">
        <f t="array" ref="S201">INDEX('PS-ConceptMap-1'!$I$15:$N$286,Q201+1,R201)</f>
        <v>* group[=].element[+].code = #PatientSummary.body.medicationSummary</v>
      </c>
    </row>
    <row r="202" spans="16:19" x14ac:dyDescent="0.75">
      <c r="P202" s="9">
        <v>188</v>
      </c>
      <c r="Q202" s="9">
        <f t="shared" si="14"/>
        <v>31</v>
      </c>
      <c r="R202" s="9">
        <f t="shared" si="15"/>
        <v>2</v>
      </c>
      <c r="S202" s="14" t="str" cm="1">
        <f t="array" ref="S202">INDEX('PS-ConceptMap-1'!$I$15:$N$286,Q202+1,R202)</f>
        <v>* group[=].element[=].display = ##34#A.2.4 Medication summary##34#</v>
      </c>
    </row>
    <row r="203" spans="16:19" x14ac:dyDescent="0.75">
      <c r="P203" s="9">
        <v>189</v>
      </c>
      <c r="Q203" s="9">
        <f t="shared" si="14"/>
        <v>31</v>
      </c>
      <c r="R203" s="9">
        <f t="shared" si="15"/>
        <v>3</v>
      </c>
      <c r="S203" s="14" t="str" cm="1">
        <f t="array" ref="S203">INDEX('PS-ConceptMap-1'!$I$15:$N$286,Q203+1,R203)</f>
        <v>* group[=].element[=].target.code = #Composition.section:sectionMedications</v>
      </c>
    </row>
    <row r="204" spans="16:19" x14ac:dyDescent="0.75">
      <c r="P204" s="9">
        <v>190</v>
      </c>
      <c r="Q204" s="9">
        <f t="shared" si="14"/>
        <v>31</v>
      </c>
      <c r="R204" s="9">
        <f t="shared" si="15"/>
        <v>4</v>
      </c>
      <c r="S204" s="14" t="str" cm="1">
        <f t="array" ref="S204">INDEX('PS-ConceptMap-1'!$I$15:$N$286,Q204+1,R204)</f>
        <v>* group[=].element[=].target.display = ##34###34#</v>
      </c>
    </row>
    <row r="205" spans="16:19" x14ac:dyDescent="0.75">
      <c r="P205" s="9">
        <v>191</v>
      </c>
      <c r="Q205" s="9">
        <f t="shared" si="14"/>
        <v>31</v>
      </c>
      <c r="R205" s="9">
        <f t="shared" si="15"/>
        <v>5</v>
      </c>
      <c r="S205" s="14" t="str" cm="1">
        <f t="array" ref="S205">INDEX('PS-ConceptMap-1'!$I$15:$N$286,Q205+1,R205)</f>
        <v>* group[=].element[=].target.equivalence = #equivalent</v>
      </c>
    </row>
    <row r="206" spans="16:19" x14ac:dyDescent="0.75">
      <c r="P206" s="9">
        <v>192</v>
      </c>
      <c r="Q206" s="9">
        <f t="shared" si="14"/>
        <v>31</v>
      </c>
      <c r="R206" s="9">
        <f t="shared" si="15"/>
        <v>6</v>
      </c>
      <c r="S206" s="14" t="str" cm="1">
        <f t="array" ref="S206">INDEX('PS-ConceptMap-1'!$I$15:$N$286,Q206+1,R206)</f>
        <v/>
      </c>
    </row>
    <row r="207" spans="16:19" x14ac:dyDescent="0.75">
      <c r="P207" s="9">
        <v>193</v>
      </c>
      <c r="Q207" s="9">
        <f t="shared" si="14"/>
        <v>32</v>
      </c>
      <c r="R207" s="9">
        <f t="shared" si="15"/>
        <v>1</v>
      </c>
      <c r="S207" s="14" t="str" cm="1">
        <f t="array" ref="S207">INDEX('PS-ConceptMap-1'!$I$15:$N$286,Q207+1,R207)</f>
        <v>* group[=].element[+].code = #PatientSummary.body.medicationSummary.medication</v>
      </c>
    </row>
    <row r="208" spans="16:19" x14ac:dyDescent="0.75">
      <c r="P208" s="9">
        <v>194</v>
      </c>
      <c r="Q208" s="9">
        <f t="shared" ref="Q208:Q271" si="16">IF(MOD(P208,$Q$8)=0,P208/$Q$8-1,INT(P208/$Q$8))</f>
        <v>32</v>
      </c>
      <c r="R208" s="9">
        <f t="shared" ref="R208:R271" si="17">IF(MOD(P208,$Q$8)=0,$Q$8,MOD(P208,$Q$8))</f>
        <v>2</v>
      </c>
      <c r="S208" s="14" t="str" cm="1">
        <f t="array" ref="S208">INDEX('PS-ConceptMap-1'!$I$15:$N$286,Q208+1,R208)</f>
        <v>* group[=].element[=].display = ##34#A.2.4.1 Current and relevant past medicines##34#</v>
      </c>
    </row>
    <row r="209" spans="16:19" x14ac:dyDescent="0.75">
      <c r="P209" s="9">
        <v>195</v>
      </c>
      <c r="Q209" s="9">
        <f t="shared" si="16"/>
        <v>32</v>
      </c>
      <c r="R209" s="9">
        <f t="shared" si="17"/>
        <v>3</v>
      </c>
      <c r="S209" s="14" t="str" cm="1">
        <f t="array" ref="S209">INDEX('PS-ConceptMap-1'!$I$15:$N$286,Q209+1,R209)</f>
        <v>* group[=].element[=].target.code = #Composition.section:sectionMedications.entry</v>
      </c>
    </row>
    <row r="210" spans="16:19" x14ac:dyDescent="0.75">
      <c r="P210" s="9">
        <v>196</v>
      </c>
      <c r="Q210" s="9">
        <f t="shared" si="16"/>
        <v>32</v>
      </c>
      <c r="R210" s="9">
        <f t="shared" si="17"/>
        <v>4</v>
      </c>
      <c r="S210" s="14" t="str" cm="1">
        <f t="array" ref="S210">INDEX('PS-ConceptMap-1'!$I$15:$N$286,Q210+1,R210)</f>
        <v>* group[=].element[=].target.display = ##34###34#</v>
      </c>
    </row>
    <row r="211" spans="16:19" x14ac:dyDescent="0.75">
      <c r="P211" s="9">
        <v>197</v>
      </c>
      <c r="Q211" s="9">
        <f t="shared" si="16"/>
        <v>32</v>
      </c>
      <c r="R211" s="9">
        <f t="shared" si="17"/>
        <v>5</v>
      </c>
      <c r="S211" s="14" t="str" cm="1">
        <f t="array" ref="S211">INDEX('PS-ConceptMap-1'!$I$15:$N$286,Q211+1,R211)</f>
        <v>* group[=].element[=].target.equivalence = #equivalent</v>
      </c>
    </row>
    <row r="212" spans="16:19" x14ac:dyDescent="0.75">
      <c r="P212" s="9">
        <v>198</v>
      </c>
      <c r="Q212" s="9">
        <f t="shared" si="16"/>
        <v>32</v>
      </c>
      <c r="R212" s="9">
        <f t="shared" si="17"/>
        <v>6</v>
      </c>
      <c r="S212" s="14" t="str" cm="1">
        <f t="array" ref="S212">INDEX('PS-ConceptMap-1'!$I$15:$N$286,Q212+1,R212)</f>
        <v/>
      </c>
    </row>
    <row r="213" spans="16:19" x14ac:dyDescent="0.75">
      <c r="P213" s="9">
        <v>199</v>
      </c>
      <c r="Q213" s="9">
        <f t="shared" si="16"/>
        <v>33</v>
      </c>
      <c r="R213" s="9">
        <f t="shared" si="17"/>
        <v>1</v>
      </c>
      <c r="S213" s="14" t="str" cm="1">
        <f t="array" ref="S213">INDEX('PS-ConceptMap-1'!$I$15:$N$286,Q213+1,R213)</f>
        <v>* group[=].element[+].code = #PatientSummary.body.socialHistory</v>
      </c>
    </row>
    <row r="214" spans="16:19" x14ac:dyDescent="0.75">
      <c r="P214" s="9">
        <v>200</v>
      </c>
      <c r="Q214" s="9">
        <f t="shared" si="16"/>
        <v>33</v>
      </c>
      <c r="R214" s="9">
        <f t="shared" si="17"/>
        <v>2</v>
      </c>
      <c r="S214" s="14" t="str" cm="1">
        <f t="array" ref="S214">INDEX('PS-ConceptMap-1'!$I$15:$N$286,Q214+1,R214)</f>
        <v>* group[=].element[=].display = ##34#A.2.5 Social history##34#</v>
      </c>
    </row>
    <row r="215" spans="16:19" x14ac:dyDescent="0.75">
      <c r="P215" s="9">
        <v>201</v>
      </c>
      <c r="Q215" s="9">
        <f t="shared" si="16"/>
        <v>33</v>
      </c>
      <c r="R215" s="9">
        <f t="shared" si="17"/>
        <v>3</v>
      </c>
      <c r="S215" s="14" t="str" cm="1">
        <f t="array" ref="S215">INDEX('PS-ConceptMap-1'!$I$15:$N$286,Q215+1,R215)</f>
        <v>* group[=].element[=].target.code = #Composition.section:sectionSocialHistory</v>
      </c>
    </row>
    <row r="216" spans="16:19" x14ac:dyDescent="0.75">
      <c r="P216" s="9">
        <v>202</v>
      </c>
      <c r="Q216" s="9">
        <f t="shared" si="16"/>
        <v>33</v>
      </c>
      <c r="R216" s="9">
        <f t="shared" si="17"/>
        <v>4</v>
      </c>
      <c r="S216" s="14" t="str" cm="1">
        <f t="array" ref="S216">INDEX('PS-ConceptMap-1'!$I$15:$N$286,Q216+1,R216)</f>
        <v>* group[=].element[=].target.display = ##34###34#</v>
      </c>
    </row>
    <row r="217" spans="16:19" x14ac:dyDescent="0.75">
      <c r="P217" s="9">
        <v>203</v>
      </c>
      <c r="Q217" s="9">
        <f t="shared" si="16"/>
        <v>33</v>
      </c>
      <c r="R217" s="9">
        <f t="shared" si="17"/>
        <v>5</v>
      </c>
      <c r="S217" s="14" t="str" cm="1">
        <f t="array" ref="S217">INDEX('PS-ConceptMap-1'!$I$15:$N$286,Q217+1,R217)</f>
        <v>* group[=].element[=].target.equivalence = #equivalent</v>
      </c>
    </row>
    <row r="218" spans="16:19" x14ac:dyDescent="0.75">
      <c r="P218" s="9">
        <v>204</v>
      </c>
      <c r="Q218" s="9">
        <f t="shared" si="16"/>
        <v>33</v>
      </c>
      <c r="R218" s="9">
        <f t="shared" si="17"/>
        <v>6</v>
      </c>
      <c r="S218" s="14" t="str" cm="1">
        <f t="array" ref="S218">INDEX('PS-ConceptMap-1'!$I$15:$N$286,Q218+1,R218)</f>
        <v/>
      </c>
    </row>
    <row r="219" spans="16:19" x14ac:dyDescent="0.75">
      <c r="P219" s="9">
        <v>205</v>
      </c>
      <c r="Q219" s="9">
        <f t="shared" si="16"/>
        <v>34</v>
      </c>
      <c r="R219" s="9">
        <f t="shared" si="17"/>
        <v>1</v>
      </c>
      <c r="S219" s="14" t="str" cm="1">
        <f t="array" ref="S219">INDEX('PS-ConceptMap-1'!$I$15:$N$286,Q219+1,R219)</f>
        <v>* group[=].element[+].code = #PatientSummary.body.socialHistory.observation</v>
      </c>
    </row>
    <row r="220" spans="16:19" x14ac:dyDescent="0.75">
      <c r="P220" s="9">
        <v>206</v>
      </c>
      <c r="Q220" s="9">
        <f t="shared" si="16"/>
        <v>34</v>
      </c>
      <c r="R220" s="9">
        <f t="shared" si="17"/>
        <v>2</v>
      </c>
      <c r="S220" s="14" t="str" cm="1">
        <f t="array" ref="S220">INDEX('PS-ConceptMap-1'!$I$15:$N$286,Q220+1,R220)</f>
        <v>* group[=].element[=].display = ##34#A.2.5.1 Social history observations related to health##34#</v>
      </c>
    </row>
    <row r="221" spans="16:19" x14ac:dyDescent="0.75">
      <c r="P221" s="9">
        <v>207</v>
      </c>
      <c r="Q221" s="9">
        <f t="shared" si="16"/>
        <v>34</v>
      </c>
      <c r="R221" s="9">
        <f t="shared" si="17"/>
        <v>3</v>
      </c>
      <c r="S221" s="14" t="str" cm="1">
        <f t="array" ref="S221">INDEX('PS-ConceptMap-1'!$I$15:$N$286,Q221+1,R221)</f>
        <v>* group[=].element[=].target.code = #Composition.section:sectionSocialHistory.entry</v>
      </c>
    </row>
    <row r="222" spans="16:19" x14ac:dyDescent="0.75">
      <c r="P222" s="9">
        <v>208</v>
      </c>
      <c r="Q222" s="9">
        <f t="shared" si="16"/>
        <v>34</v>
      </c>
      <c r="R222" s="9">
        <f t="shared" si="17"/>
        <v>4</v>
      </c>
      <c r="S222" s="14" t="str" cm="1">
        <f t="array" ref="S222">INDEX('PS-ConceptMap-1'!$I$15:$N$286,Q222+1,R222)</f>
        <v>* group[=].element[=].target.display = ##34###34#</v>
      </c>
    </row>
    <row r="223" spans="16:19" x14ac:dyDescent="0.75">
      <c r="P223" s="9">
        <v>209</v>
      </c>
      <c r="Q223" s="9">
        <f t="shared" si="16"/>
        <v>34</v>
      </c>
      <c r="R223" s="9">
        <f t="shared" si="17"/>
        <v>5</v>
      </c>
      <c r="S223" s="14" t="str" cm="1">
        <f t="array" ref="S223">INDEX('PS-ConceptMap-1'!$I$15:$N$286,Q223+1,R223)</f>
        <v>* group[=].element[=].target.equivalence = #equivalent</v>
      </c>
    </row>
    <row r="224" spans="16:19" x14ac:dyDescent="0.75">
      <c r="P224" s="9">
        <v>210</v>
      </c>
      <c r="Q224" s="9">
        <f t="shared" si="16"/>
        <v>34</v>
      </c>
      <c r="R224" s="9">
        <f t="shared" si="17"/>
        <v>6</v>
      </c>
      <c r="S224" s="14" t="str" cm="1">
        <f t="array" ref="S224">INDEX('PS-ConceptMap-1'!$I$15:$N$286,Q224+1,R224)</f>
        <v/>
      </c>
    </row>
    <row r="225" spans="16:19" x14ac:dyDescent="0.75">
      <c r="P225" s="9">
        <v>211</v>
      </c>
      <c r="Q225" s="9">
        <f t="shared" si="16"/>
        <v>35</v>
      </c>
      <c r="R225" s="9">
        <f t="shared" si="17"/>
        <v>1</v>
      </c>
      <c r="S225" s="14" t="str" cm="1">
        <f t="array" ref="S225">INDEX('PS-ConceptMap-1'!$I$15:$N$286,Q225+1,R225)</f>
        <v>* group[=].element[+].code = #PatientSummary.body.socialHistory.referenceRange</v>
      </c>
    </row>
    <row r="226" spans="16:19" x14ac:dyDescent="0.75">
      <c r="P226" s="9">
        <v>212</v>
      </c>
      <c r="Q226" s="9">
        <f t="shared" si="16"/>
        <v>35</v>
      </c>
      <c r="R226" s="9">
        <f t="shared" si="17"/>
        <v>2</v>
      </c>
      <c r="S226" s="14" t="str" cm="1">
        <f t="array" ref="S226">INDEX('PS-ConceptMap-1'!$I$15:$N$286,Q226+1,R226)</f>
        <v>* group[=].element[=].display = ##34#A.2.5.2 Reference date range##34#</v>
      </c>
    </row>
    <row r="227" spans="16:19" x14ac:dyDescent="0.75">
      <c r="P227" s="9">
        <v>213</v>
      </c>
      <c r="Q227" s="9">
        <f t="shared" si="16"/>
        <v>35</v>
      </c>
      <c r="R227" s="9">
        <f t="shared" si="17"/>
        <v>3</v>
      </c>
      <c r="S227" s="14" t="str" cm="1">
        <f t="array" ref="S227">INDEX('PS-ConceptMap-1'!$I$15:$N$286,Q227+1,R227)</f>
        <v>* group[=].element[=].target.code = #Composition.section:sectionSocialHistory.entry.effective[x]</v>
      </c>
    </row>
    <row r="228" spans="16:19" x14ac:dyDescent="0.75">
      <c r="P228" s="9">
        <v>214</v>
      </c>
      <c r="Q228" s="9">
        <f t="shared" si="16"/>
        <v>35</v>
      </c>
      <c r="R228" s="9">
        <f t="shared" si="17"/>
        <v>4</v>
      </c>
      <c r="S228" s="14" t="str" cm="1">
        <f t="array" ref="S228">INDEX('PS-ConceptMap-1'!$I$15:$N$286,Q228+1,R228)</f>
        <v>* group[=].element[=].target.display = ##34###34#</v>
      </c>
    </row>
    <row r="229" spans="16:19" x14ac:dyDescent="0.75">
      <c r="P229" s="9">
        <v>215</v>
      </c>
      <c r="Q229" s="9">
        <f t="shared" si="16"/>
        <v>35</v>
      </c>
      <c r="R229" s="9">
        <f t="shared" si="17"/>
        <v>5</v>
      </c>
      <c r="S229" s="14" t="str" cm="1">
        <f t="array" ref="S229">INDEX('PS-ConceptMap-1'!$I$15:$N$286,Q229+1,R229)</f>
        <v>* group[=].element[=].target.equivalence = #equivalent</v>
      </c>
    </row>
    <row r="230" spans="16:19" x14ac:dyDescent="0.75">
      <c r="P230" s="9">
        <v>216</v>
      </c>
      <c r="Q230" s="9">
        <f t="shared" si="16"/>
        <v>35</v>
      </c>
      <c r="R230" s="9">
        <f t="shared" si="17"/>
        <v>6</v>
      </c>
      <c r="S230" s="14" t="str" cm="1">
        <f t="array" ref="S230">INDEX('PS-ConceptMap-1'!$I$15:$N$286,Q230+1,R230)</f>
        <v/>
      </c>
    </row>
    <row r="231" spans="16:19" x14ac:dyDescent="0.75">
      <c r="P231" s="9">
        <v>217</v>
      </c>
      <c r="Q231" s="9">
        <f t="shared" si="16"/>
        <v>36</v>
      </c>
      <c r="R231" s="9">
        <f t="shared" si="17"/>
        <v>1</v>
      </c>
      <c r="S231" s="14" t="str" cm="1">
        <f t="array" ref="S231">INDEX('PS-ConceptMap-1'!$I$15:$N$286,Q231+1,R231)</f>
        <v>* group[=].element[+].code = #PatientSummary.body.pregnancyHistory</v>
      </c>
    </row>
    <row r="232" spans="16:19" x14ac:dyDescent="0.75">
      <c r="P232" s="9">
        <v>218</v>
      </c>
      <c r="Q232" s="9">
        <f t="shared" si="16"/>
        <v>36</v>
      </c>
      <c r="R232" s="9">
        <f t="shared" si="17"/>
        <v>2</v>
      </c>
      <c r="S232" s="14" t="str" cm="1">
        <f t="array" ref="S232">INDEX('PS-ConceptMap-1'!$I$15:$N$286,Q232+1,R232)</f>
        <v>* group[=].element[=].display = ##34#A.2.6 Pregnancy history##34#</v>
      </c>
    </row>
    <row r="233" spans="16:19" x14ac:dyDescent="0.75">
      <c r="P233" s="9">
        <v>219</v>
      </c>
      <c r="Q233" s="9">
        <f t="shared" si="16"/>
        <v>36</v>
      </c>
      <c r="R233" s="9">
        <f t="shared" si="17"/>
        <v>3</v>
      </c>
      <c r="S233" s="14" t="str" cm="1">
        <f t="array" ref="S233">INDEX('PS-ConceptMap-1'!$I$15:$N$286,Q233+1,R233)</f>
        <v>* group[=].element[=].target.code = #Composition.section:sectionPregnancyHx</v>
      </c>
    </row>
    <row r="234" spans="16:19" x14ac:dyDescent="0.75">
      <c r="P234" s="9">
        <v>220</v>
      </c>
      <c r="Q234" s="9">
        <f t="shared" si="16"/>
        <v>36</v>
      </c>
      <c r="R234" s="9">
        <f t="shared" si="17"/>
        <v>4</v>
      </c>
      <c r="S234" s="14" t="str" cm="1">
        <f t="array" ref="S234">INDEX('PS-ConceptMap-1'!$I$15:$N$286,Q234+1,R234)</f>
        <v>* group[=].element[=].target.display = ##34###34#</v>
      </c>
    </row>
    <row r="235" spans="16:19" x14ac:dyDescent="0.75">
      <c r="P235" s="9">
        <v>221</v>
      </c>
      <c r="Q235" s="9">
        <f t="shared" si="16"/>
        <v>36</v>
      </c>
      <c r="R235" s="9">
        <f t="shared" si="17"/>
        <v>5</v>
      </c>
      <c r="S235" s="14" t="str" cm="1">
        <f t="array" ref="S235">INDEX('PS-ConceptMap-1'!$I$15:$N$286,Q235+1,R235)</f>
        <v>* group[=].element[=].target.equivalence = #equivalent</v>
      </c>
    </row>
    <row r="236" spans="16:19" x14ac:dyDescent="0.75">
      <c r="P236" s="9">
        <v>222</v>
      </c>
      <c r="Q236" s="9">
        <f t="shared" si="16"/>
        <v>36</v>
      </c>
      <c r="R236" s="9">
        <f t="shared" si="17"/>
        <v>6</v>
      </c>
      <c r="S236" s="14" t="str" cm="1">
        <f t="array" ref="S236">INDEX('PS-ConceptMap-1'!$I$15:$N$286,Q236+1,R236)</f>
        <v/>
      </c>
    </row>
    <row r="237" spans="16:19" x14ac:dyDescent="0.75">
      <c r="P237" s="9">
        <v>223</v>
      </c>
      <c r="Q237" s="9">
        <f t="shared" si="16"/>
        <v>37</v>
      </c>
      <c r="R237" s="9">
        <f t="shared" si="17"/>
        <v>1</v>
      </c>
      <c r="S237" s="14" t="str" cm="1">
        <f t="array" ref="S237">INDEX('PS-ConceptMap-1'!$I$15:$N$286,Q237+1,R237)</f>
        <v>* group[=].element[+].code = #PatientSummary.body.patientData</v>
      </c>
    </row>
    <row r="238" spans="16:19" x14ac:dyDescent="0.75">
      <c r="P238" s="9">
        <v>224</v>
      </c>
      <c r="Q238" s="9">
        <f t="shared" si="16"/>
        <v>37</v>
      </c>
      <c r="R238" s="9">
        <f t="shared" si="17"/>
        <v>2</v>
      </c>
      <c r="S238" s="14" t="str" cm="1">
        <f t="array" ref="S238">INDEX('PS-ConceptMap-1'!$I$15:$N$286,Q238+1,R238)</f>
        <v>* group[=].element[=].display = ##34#A.2.7 Patient provided data##34#</v>
      </c>
    </row>
    <row r="239" spans="16:19" x14ac:dyDescent="0.75">
      <c r="P239" s="9">
        <v>225</v>
      </c>
      <c r="Q239" s="9">
        <f t="shared" si="16"/>
        <v>37</v>
      </c>
      <c r="R239" s="9">
        <f t="shared" si="17"/>
        <v>3</v>
      </c>
      <c r="S239" s="14" t="str" cm="1">
        <f t="array" ref="S239">INDEX('PS-ConceptMap-1'!$I$15:$N$286,Q239+1,R239)</f>
        <v>* group[=].element[=].target.code = #Composition.section</v>
      </c>
    </row>
    <row r="240" spans="16:19" x14ac:dyDescent="0.75">
      <c r="P240" s="9">
        <v>226</v>
      </c>
      <c r="Q240" s="9">
        <f t="shared" si="16"/>
        <v>37</v>
      </c>
      <c r="R240" s="9">
        <f t="shared" si="17"/>
        <v>4</v>
      </c>
      <c r="S240" s="14" t="str" cm="1">
        <f t="array" ref="S240">INDEX('PS-ConceptMap-1'!$I$15:$N$286,Q240+1,R240)</f>
        <v>* group[=].element[=].target.display = ##34###34#</v>
      </c>
    </row>
    <row r="241" spans="16:19" x14ac:dyDescent="0.75">
      <c r="P241" s="9">
        <v>227</v>
      </c>
      <c r="Q241" s="9">
        <f t="shared" si="16"/>
        <v>37</v>
      </c>
      <c r="R241" s="9">
        <f t="shared" si="17"/>
        <v>5</v>
      </c>
      <c r="S241" s="14" t="str" cm="1">
        <f t="array" ref="S241">INDEX('PS-ConceptMap-1'!$I$15:$N$286,Q241+1,R241)</f>
        <v>* group[=].element[=].target.equivalence = #relatedto</v>
      </c>
    </row>
    <row r="242" spans="16:19" x14ac:dyDescent="0.75">
      <c r="P242" s="9">
        <v>228</v>
      </c>
      <c r="Q242" s="9">
        <f t="shared" si="16"/>
        <v>37</v>
      </c>
      <c r="R242" s="9">
        <f t="shared" si="17"/>
        <v>6</v>
      </c>
      <c r="S242" s="14" t="str" cm="1">
        <f t="array" ref="S242">INDEX('PS-ConceptMap-1'!$I$15:$N$286,Q242+1,R242)</f>
        <v/>
      </c>
    </row>
    <row r="243" spans="16:19" x14ac:dyDescent="0.75">
      <c r="P243" s="9">
        <v>229</v>
      </c>
      <c r="Q243" s="9">
        <f t="shared" si="16"/>
        <v>38</v>
      </c>
      <c r="R243" s="9">
        <f t="shared" si="17"/>
        <v>1</v>
      </c>
      <c r="S243" s="14" t="str" cm="1">
        <f t="array" ref="S243">INDEX('PS-ConceptMap-1'!$I$15:$N$286,Q243+1,R243)</f>
        <v>* group[=].element[+].code = #PatientSummary.body.patientData.travelHistory</v>
      </c>
    </row>
    <row r="244" spans="16:19" x14ac:dyDescent="0.75">
      <c r="P244" s="9">
        <v>230</v>
      </c>
      <c r="Q244" s="9">
        <f t="shared" si="16"/>
        <v>38</v>
      </c>
      <c r="R244" s="9">
        <f t="shared" si="17"/>
        <v>2</v>
      </c>
      <c r="S244" s="14" t="str" cm="1">
        <f t="array" ref="S244">INDEX('PS-ConceptMap-1'!$I$15:$N$286,Q244+1,R244)</f>
        <v>* group[=].element[=].display = ##34#A.2.7.1 Travel history##34#</v>
      </c>
    </row>
    <row r="245" spans="16:19" x14ac:dyDescent="0.75">
      <c r="P245" s="9">
        <v>231</v>
      </c>
      <c r="Q245" s="9">
        <f t="shared" si="16"/>
        <v>38</v>
      </c>
      <c r="R245" s="9">
        <f t="shared" si="17"/>
        <v>3</v>
      </c>
      <c r="S245" s="14" t="str" cm="1">
        <f t="array" ref="S245">INDEX('PS-ConceptMap-1'!$I$15:$N$286,Q245+1,R245)</f>
        <v>* group[=].element[=].target.code = #Composition.section:sectionTravelHx</v>
      </c>
    </row>
    <row r="246" spans="16:19" x14ac:dyDescent="0.75">
      <c r="P246" s="9">
        <v>232</v>
      </c>
      <c r="Q246" s="9">
        <f t="shared" si="16"/>
        <v>38</v>
      </c>
      <c r="R246" s="9">
        <f t="shared" si="17"/>
        <v>4</v>
      </c>
      <c r="S246" s="14" t="str" cm="1">
        <f t="array" ref="S246">INDEX('PS-ConceptMap-1'!$I$15:$N$286,Q246+1,R246)</f>
        <v>* group[=].element[=].target.display = ##34###34#</v>
      </c>
    </row>
    <row r="247" spans="16:19" x14ac:dyDescent="0.75">
      <c r="P247" s="9">
        <v>233</v>
      </c>
      <c r="Q247" s="9">
        <f t="shared" si="16"/>
        <v>38</v>
      </c>
      <c r="R247" s="9">
        <f t="shared" si="17"/>
        <v>5</v>
      </c>
      <c r="S247" s="14" t="str" cm="1">
        <f t="array" ref="S247">INDEX('PS-ConceptMap-1'!$I$15:$N$286,Q247+1,R247)</f>
        <v>* group[=].element[=].target.equivalence = #relatedto</v>
      </c>
    </row>
    <row r="248" spans="16:19" x14ac:dyDescent="0.75">
      <c r="P248" s="9">
        <v>234</v>
      </c>
      <c r="Q248" s="9">
        <f t="shared" si="16"/>
        <v>38</v>
      </c>
      <c r="R248" s="9">
        <f t="shared" si="17"/>
        <v>6</v>
      </c>
      <c r="S248" s="14" t="str" cm="1">
        <f t="array" ref="S248">INDEX('PS-ConceptMap-1'!$I$15:$N$286,Q248+1,R248)</f>
        <v/>
      </c>
    </row>
    <row r="249" spans="16:19" x14ac:dyDescent="0.75">
      <c r="P249" s="9">
        <v>235</v>
      </c>
      <c r="Q249" s="9">
        <f t="shared" si="16"/>
        <v>39</v>
      </c>
      <c r="R249" s="9">
        <f t="shared" si="17"/>
        <v>1</v>
      </c>
      <c r="S249" s="14" t="str" cm="1">
        <f t="array" ref="S249">INDEX('PS-ConceptMap-1'!$I$15:$N$286,Q249+1,R249)</f>
        <v>* group[=].element[+].code = #PatientSummary.body.patientData.travelHistory.country</v>
      </c>
    </row>
    <row r="250" spans="16:19" x14ac:dyDescent="0.75">
      <c r="P250" s="9">
        <v>236</v>
      </c>
      <c r="Q250" s="9">
        <f t="shared" si="16"/>
        <v>39</v>
      </c>
      <c r="R250" s="9">
        <f t="shared" si="17"/>
        <v>2</v>
      </c>
      <c r="S250" s="14" t="str" cm="1">
        <f t="array" ref="S250">INDEX('PS-ConceptMap-1'!$I$15:$N$286,Q250+1,R250)</f>
        <v>* group[=].element[=].display = ##34#A.2.7.1.1 Country##34#</v>
      </c>
    </row>
    <row r="251" spans="16:19" x14ac:dyDescent="0.75">
      <c r="P251" s="9">
        <v>237</v>
      </c>
      <c r="Q251" s="9">
        <f t="shared" si="16"/>
        <v>39</v>
      </c>
      <c r="R251" s="9">
        <f t="shared" si="17"/>
        <v>3</v>
      </c>
      <c r="S251" s="14" t="str" cm="1">
        <f t="array" ref="S251">INDEX('PS-ConceptMap-1'!$I$15:$N$286,Q251+1,R251)</f>
        <v>* group[=].element[=].target.code = #Composition.section:sectionTravelHx.text</v>
      </c>
    </row>
    <row r="252" spans="16:19" x14ac:dyDescent="0.75">
      <c r="P252" s="9">
        <v>238</v>
      </c>
      <c r="Q252" s="9">
        <f t="shared" si="16"/>
        <v>39</v>
      </c>
      <c r="R252" s="9">
        <f t="shared" si="17"/>
        <v>4</v>
      </c>
      <c r="S252" s="14" t="str" cm="1">
        <f t="array" ref="S252">INDEX('PS-ConceptMap-1'!$I$15:$N$286,Q252+1,R252)</f>
        <v>* group[=].element[=].target.display = ##34###34#</v>
      </c>
    </row>
    <row r="253" spans="16:19" x14ac:dyDescent="0.75">
      <c r="P253" s="9">
        <v>239</v>
      </c>
      <c r="Q253" s="9">
        <f t="shared" si="16"/>
        <v>39</v>
      </c>
      <c r="R253" s="9">
        <f t="shared" si="17"/>
        <v>5</v>
      </c>
      <c r="S253" s="14" t="str" cm="1">
        <f t="array" ref="S253">INDEX('PS-ConceptMap-1'!$I$15:$N$286,Q253+1,R253)</f>
        <v>* group[=].element[=].target.equivalence = #relatedto</v>
      </c>
    </row>
    <row r="254" spans="16:19" x14ac:dyDescent="0.75">
      <c r="P254" s="9">
        <v>240</v>
      </c>
      <c r="Q254" s="9">
        <f t="shared" si="16"/>
        <v>39</v>
      </c>
      <c r="R254" s="9">
        <f t="shared" si="17"/>
        <v>6</v>
      </c>
      <c r="S254" s="14" t="str" cm="1">
        <f t="array" ref="S254">INDEX('PS-ConceptMap-1'!$I$15:$N$286,Q254+1,R254)</f>
        <v>* group[=].element[=].target.comment = ##34#if textual description##34#</v>
      </c>
    </row>
    <row r="255" spans="16:19" x14ac:dyDescent="0.75">
      <c r="P255" s="9">
        <v>241</v>
      </c>
      <c r="Q255" s="9">
        <f t="shared" si="16"/>
        <v>40</v>
      </c>
      <c r="R255" s="9">
        <f t="shared" si="17"/>
        <v>1</v>
      </c>
      <c r="S255" s="14" t="str" cm="1">
        <f t="array" ref="S255">INDEX('PS-ConceptMap-1'!$I$15:$N$286,Q255+1,R255)</f>
        <v>* group[=].element[+].code = #PatientSummary.body.patientData.travelHistory.period</v>
      </c>
    </row>
    <row r="256" spans="16:19" x14ac:dyDescent="0.75">
      <c r="P256" s="9">
        <v>242</v>
      </c>
      <c r="Q256" s="9">
        <f t="shared" si="16"/>
        <v>40</v>
      </c>
      <c r="R256" s="9">
        <f t="shared" si="17"/>
        <v>2</v>
      </c>
      <c r="S256" s="14" t="str" cm="1">
        <f t="array" ref="S256">INDEX('PS-ConceptMap-1'!$I$15:$N$286,Q256+1,R256)</f>
        <v>* group[=].element[=].display = ##34#A.2.7.1.2 Period##34#</v>
      </c>
    </row>
    <row r="257" spans="16:19" x14ac:dyDescent="0.75">
      <c r="P257" s="9">
        <v>243</v>
      </c>
      <c r="Q257" s="9">
        <f t="shared" si="16"/>
        <v>40</v>
      </c>
      <c r="R257" s="9">
        <f t="shared" si="17"/>
        <v>3</v>
      </c>
      <c r="S257" s="14" t="str" cm="1">
        <f t="array" ref="S257">INDEX('PS-ConceptMap-1'!$I$15:$N$286,Q257+1,R257)</f>
        <v>* group[=].element[=].target.code = #Composition.section:sectionTravelHx.text</v>
      </c>
    </row>
    <row r="258" spans="16:19" x14ac:dyDescent="0.75">
      <c r="P258" s="9">
        <v>244</v>
      </c>
      <c r="Q258" s="9">
        <f t="shared" si="16"/>
        <v>40</v>
      </c>
      <c r="R258" s="9">
        <f t="shared" si="17"/>
        <v>4</v>
      </c>
      <c r="S258" s="14" t="str" cm="1">
        <f t="array" ref="S258">INDEX('PS-ConceptMap-1'!$I$15:$N$286,Q258+1,R258)</f>
        <v>* group[=].element[=].target.display = ##34###34#</v>
      </c>
    </row>
    <row r="259" spans="16:19" x14ac:dyDescent="0.75">
      <c r="P259" s="9">
        <v>245</v>
      </c>
      <c r="Q259" s="9">
        <f t="shared" si="16"/>
        <v>40</v>
      </c>
      <c r="R259" s="9">
        <f t="shared" si="17"/>
        <v>5</v>
      </c>
      <c r="S259" s="14" t="str" cm="1">
        <f t="array" ref="S259">INDEX('PS-ConceptMap-1'!$I$15:$N$286,Q259+1,R259)</f>
        <v>* group[=].element[=].target.equivalence = #relatedto</v>
      </c>
    </row>
    <row r="260" spans="16:19" x14ac:dyDescent="0.75">
      <c r="P260" s="9">
        <v>246</v>
      </c>
      <c r="Q260" s="9">
        <f t="shared" si="16"/>
        <v>40</v>
      </c>
      <c r="R260" s="9">
        <f t="shared" si="17"/>
        <v>6</v>
      </c>
      <c r="S260" s="14" t="str" cm="1">
        <f t="array" ref="S260">INDEX('PS-ConceptMap-1'!$I$15:$N$286,Q260+1,R260)</f>
        <v>* group[=].element[=].target.comment = ##34#if textual description##34#</v>
      </c>
    </row>
    <row r="261" spans="16:19" x14ac:dyDescent="0.75">
      <c r="P261" s="9">
        <v>247</v>
      </c>
      <c r="Q261" s="9">
        <f t="shared" si="16"/>
        <v>41</v>
      </c>
      <c r="R261" s="9">
        <f t="shared" si="17"/>
        <v>1</v>
      </c>
      <c r="S261" s="14" t="str" cm="1">
        <f t="array" ref="S261">INDEX('PS-ConceptMap-1'!$I$15:$N$286,Q261+1,R261)</f>
        <v>* group[=].element[+].code = #PatientSummary.body.patientData.travelHistory.country</v>
      </c>
    </row>
    <row r="262" spans="16:19" x14ac:dyDescent="0.75">
      <c r="P262" s="9">
        <v>248</v>
      </c>
      <c r="Q262" s="9">
        <f t="shared" si="16"/>
        <v>41</v>
      </c>
      <c r="R262" s="9">
        <f t="shared" si="17"/>
        <v>2</v>
      </c>
      <c r="S262" s="14" t="str" cm="1">
        <f t="array" ref="S262">INDEX('PS-ConceptMap-1'!$I$15:$N$286,Q262+1,R262)</f>
        <v>* group[=].element[=].display = ##34#A.2.7.1.1 Country##34#</v>
      </c>
    </row>
    <row r="263" spans="16:19" x14ac:dyDescent="0.75">
      <c r="P263" s="9">
        <v>249</v>
      </c>
      <c r="Q263" s="9">
        <f t="shared" si="16"/>
        <v>41</v>
      </c>
      <c r="R263" s="9">
        <f t="shared" si="17"/>
        <v>3</v>
      </c>
      <c r="S263" s="14" t="str" cm="1">
        <f t="array" ref="S263">INDEX('PS-ConceptMap-1'!$I$15:$N$286,Q263+1,R263)</f>
        <v>* group[=].element[=].target.code = #Composition.section:sectionTravelHx.entry.valueCodeableConcept</v>
      </c>
    </row>
    <row r="264" spans="16:19" x14ac:dyDescent="0.75">
      <c r="P264" s="9">
        <v>250</v>
      </c>
      <c r="Q264" s="9">
        <f t="shared" si="16"/>
        <v>41</v>
      </c>
      <c r="R264" s="9">
        <f t="shared" si="17"/>
        <v>4</v>
      </c>
      <c r="S264" s="14" t="str" cm="1">
        <f t="array" ref="S264">INDEX('PS-ConceptMap-1'!$I$15:$N$286,Q264+1,R264)</f>
        <v>* group[=].element[=].target.display = ##34###34#</v>
      </c>
    </row>
    <row r="265" spans="16:19" x14ac:dyDescent="0.75">
      <c r="P265" s="9">
        <v>251</v>
      </c>
      <c r="Q265" s="9">
        <f t="shared" si="16"/>
        <v>41</v>
      </c>
      <c r="R265" s="9">
        <f t="shared" si="17"/>
        <v>5</v>
      </c>
      <c r="S265" s="14" t="str" cm="1">
        <f t="array" ref="S265">INDEX('PS-ConceptMap-1'!$I$15:$N$286,Q265+1,R265)</f>
        <v>* group[=].element[=].target.equivalence = #relatedto</v>
      </c>
    </row>
    <row r="266" spans="16:19" x14ac:dyDescent="0.75">
      <c r="P266" s="9">
        <v>252</v>
      </c>
      <c r="Q266" s="9">
        <f t="shared" si="16"/>
        <v>41</v>
      </c>
      <c r="R266" s="9">
        <f t="shared" si="17"/>
        <v>6</v>
      </c>
      <c r="S266" s="14" t="str" cm="1">
        <f t="array" ref="S266">INDEX('PS-ConceptMap-1'!$I$15:$N$286,Q266+1,R266)</f>
        <v>* group[=].element[=].target.comment = ##34#entry of type Observation and Obseravtion.code = http://loinc.org#94651-7 'Country of travel [Location]'
TBD##34#</v>
      </c>
    </row>
    <row r="267" spans="16:19" x14ac:dyDescent="0.75">
      <c r="P267" s="9">
        <v>253</v>
      </c>
      <c r="Q267" s="9">
        <f t="shared" si="16"/>
        <v>42</v>
      </c>
      <c r="R267" s="9">
        <f t="shared" si="17"/>
        <v>1</v>
      </c>
      <c r="S267" s="14" t="str" cm="1">
        <f t="array" ref="S267">INDEX('PS-ConceptMap-1'!$I$15:$N$286,Q267+1,R267)</f>
        <v>* group[=].element[+].code = #PatientSummary.body.patientData.travelHistory.period</v>
      </c>
    </row>
    <row r="268" spans="16:19" x14ac:dyDescent="0.75">
      <c r="P268" s="9">
        <v>254</v>
      </c>
      <c r="Q268" s="9">
        <f t="shared" si="16"/>
        <v>42</v>
      </c>
      <c r="R268" s="9">
        <f t="shared" si="17"/>
        <v>2</v>
      </c>
      <c r="S268" s="14" t="str" cm="1">
        <f t="array" ref="S268">INDEX('PS-ConceptMap-1'!$I$15:$N$286,Q268+1,R268)</f>
        <v>* group[=].element[=].display = ##34#A.2.7.1.2 Period##34#</v>
      </c>
    </row>
    <row r="269" spans="16:19" x14ac:dyDescent="0.75">
      <c r="P269" s="9">
        <v>255</v>
      </c>
      <c r="Q269" s="9">
        <f t="shared" si="16"/>
        <v>42</v>
      </c>
      <c r="R269" s="9">
        <f t="shared" si="17"/>
        <v>3</v>
      </c>
      <c r="S269" s="14" t="str" cm="1">
        <f t="array" ref="S269">INDEX('PS-ConceptMap-1'!$I$15:$N$286,Q269+1,R269)</f>
        <v>* group[=].element[=].target.code = #Composition.section:sectionTravelHx.entry.effectivePeriod</v>
      </c>
    </row>
    <row r="270" spans="16:19" x14ac:dyDescent="0.75">
      <c r="P270" s="9">
        <v>256</v>
      </c>
      <c r="Q270" s="9">
        <f t="shared" si="16"/>
        <v>42</v>
      </c>
      <c r="R270" s="9">
        <f t="shared" si="17"/>
        <v>4</v>
      </c>
      <c r="S270" s="14" t="str" cm="1">
        <f t="array" ref="S270">INDEX('PS-ConceptMap-1'!$I$15:$N$286,Q270+1,R270)</f>
        <v>* group[=].element[=].target.display = ##34###34#</v>
      </c>
    </row>
    <row r="271" spans="16:19" x14ac:dyDescent="0.75">
      <c r="P271" s="9">
        <v>257</v>
      </c>
      <c r="Q271" s="9">
        <f t="shared" si="16"/>
        <v>42</v>
      </c>
      <c r="R271" s="9">
        <f t="shared" si="17"/>
        <v>5</v>
      </c>
      <c r="S271" s="14" t="str" cm="1">
        <f t="array" ref="S271">INDEX('PS-ConceptMap-1'!$I$15:$N$286,Q271+1,R271)</f>
        <v>* group[=].element[=].target.equivalence = #relatedto</v>
      </c>
    </row>
    <row r="272" spans="16:19" x14ac:dyDescent="0.75">
      <c r="P272" s="9">
        <v>258</v>
      </c>
      <c r="Q272" s="9">
        <f t="shared" ref="Q272:Q335" si="18">IF(MOD(P272,$Q$8)=0,P272/$Q$8-1,INT(P272/$Q$8))</f>
        <v>42</v>
      </c>
      <c r="R272" s="9">
        <f t="shared" ref="R272:R335" si="19">IF(MOD(P272,$Q$8)=0,$Q$8,MOD(P272,$Q$8))</f>
        <v>6</v>
      </c>
      <c r="S272" s="14" t="str" cm="1">
        <f t="array" ref="S272">INDEX('PS-ConceptMap-1'!$I$15:$N$286,Q272+1,R272)</f>
        <v>* group[=].element[=].target.comment = ##34#OBSERVATION PROFILE TO BE SPECIFIED##34#</v>
      </c>
    </row>
    <row r="273" spans="16:19" x14ac:dyDescent="0.75">
      <c r="P273" s="9">
        <v>259</v>
      </c>
      <c r="Q273" s="9">
        <f t="shared" si="18"/>
        <v>43</v>
      </c>
      <c r="R273" s="9">
        <f t="shared" si="19"/>
        <v>1</v>
      </c>
      <c r="S273" s="14" t="str" cm="1">
        <f t="array" ref="S273">INDEX('PS-ConceptMap-1'!$I$15:$N$286,Q273+1,R273)</f>
        <v>* group[=].element[+].code = #PatientSummary.body.patientData.advanceDirective</v>
      </c>
    </row>
    <row r="274" spans="16:19" x14ac:dyDescent="0.75">
      <c r="P274" s="9">
        <v>260</v>
      </c>
      <c r="Q274" s="9">
        <f t="shared" si="18"/>
        <v>43</v>
      </c>
      <c r="R274" s="9">
        <f t="shared" si="19"/>
        <v>2</v>
      </c>
      <c r="S274" s="14" t="str" cm="1">
        <f t="array" ref="S274">INDEX('PS-ConceptMap-1'!$I$15:$N$286,Q274+1,R274)</f>
        <v>* group[=].element[=].display = ##34#A.2.7.2 Advance Directive##34#</v>
      </c>
    </row>
    <row r="275" spans="16:19" x14ac:dyDescent="0.75">
      <c r="P275" s="9">
        <v>261</v>
      </c>
      <c r="Q275" s="9">
        <f t="shared" si="18"/>
        <v>43</v>
      </c>
      <c r="R275" s="9">
        <f t="shared" si="19"/>
        <v>3</v>
      </c>
      <c r="S275" s="14" t="str" cm="1">
        <f t="array" ref="S275">INDEX('PS-ConceptMap-1'!$I$15:$N$286,Q275+1,R275)</f>
        <v>* group[=].element[=].target.code = #Composition.section:sectionAdvanceDirectives</v>
      </c>
    </row>
    <row r="276" spans="16:19" x14ac:dyDescent="0.75">
      <c r="P276" s="9">
        <v>262</v>
      </c>
      <c r="Q276" s="9">
        <f t="shared" si="18"/>
        <v>43</v>
      </c>
      <c r="R276" s="9">
        <f t="shared" si="19"/>
        <v>4</v>
      </c>
      <c r="S276" s="14" t="str" cm="1">
        <f t="array" ref="S276">INDEX('PS-ConceptMap-1'!$I$15:$N$286,Q276+1,R276)</f>
        <v>* group[=].element[=].target.display = ##34###34#</v>
      </c>
    </row>
    <row r="277" spans="16:19" x14ac:dyDescent="0.75">
      <c r="P277" s="9">
        <v>263</v>
      </c>
      <c r="Q277" s="9">
        <f t="shared" si="18"/>
        <v>43</v>
      </c>
      <c r="R277" s="9">
        <f t="shared" si="19"/>
        <v>5</v>
      </c>
      <c r="S277" s="14" t="str" cm="1">
        <f t="array" ref="S277">INDEX('PS-ConceptMap-1'!$I$15:$N$286,Q277+1,R277)</f>
        <v>* group[=].element[=].target.equivalence = #equivalent</v>
      </c>
    </row>
    <row r="278" spans="16:19" x14ac:dyDescent="0.75">
      <c r="P278" s="9">
        <v>264</v>
      </c>
      <c r="Q278" s="9">
        <f t="shared" si="18"/>
        <v>43</v>
      </c>
      <c r="R278" s="9">
        <f t="shared" si="19"/>
        <v>6</v>
      </c>
      <c r="S278" s="14" t="str" cm="1">
        <f t="array" ref="S278">INDEX('PS-ConceptMap-1'!$I$15:$N$286,Q278+1,R278)</f>
        <v/>
      </c>
    </row>
    <row r="279" spans="16:19" x14ac:dyDescent="0.75">
      <c r="P279" s="9">
        <v>265</v>
      </c>
      <c r="Q279" s="9">
        <f t="shared" si="18"/>
        <v>44</v>
      </c>
      <c r="R279" s="9">
        <f t="shared" si="19"/>
        <v>1</v>
      </c>
      <c r="S279" s="14" t="str" cm="1">
        <f t="array" ref="S279">INDEX('PS-ConceptMap-1'!$I$15:$N$286,Q279+1,R279)</f>
        <v>* group[=].element[+].code = #PatientSummary.body.patientData.advanceDirective.documentation</v>
      </c>
    </row>
    <row r="280" spans="16:19" x14ac:dyDescent="0.75">
      <c r="P280" s="9">
        <v>266</v>
      </c>
      <c r="Q280" s="9">
        <f t="shared" si="18"/>
        <v>44</v>
      </c>
      <c r="R280" s="9">
        <f t="shared" si="19"/>
        <v>2</v>
      </c>
      <c r="S280" s="14" t="str" cm="1">
        <f t="array" ref="S280">INDEX('PS-ConceptMap-1'!$I$15:$N$286,Q280+1,R280)</f>
        <v>* group[=].element[=].display = ##34#A.2.7.2.1 Documentation##34#</v>
      </c>
    </row>
    <row r="281" spans="16:19" x14ac:dyDescent="0.75">
      <c r="P281" s="9">
        <v>267</v>
      </c>
      <c r="Q281" s="9">
        <f t="shared" si="18"/>
        <v>44</v>
      </c>
      <c r="R281" s="9">
        <f t="shared" si="19"/>
        <v>3</v>
      </c>
      <c r="S281" s="14" t="str" cm="1">
        <f t="array" ref="S281">INDEX('PS-ConceptMap-1'!$I$15:$N$286,Q281+1,R281)</f>
        <v>* group[=].element[=].target.code = #Composition.section:sectionAdvanceDirectives</v>
      </c>
    </row>
    <row r="282" spans="16:19" x14ac:dyDescent="0.75">
      <c r="P282" s="9">
        <v>268</v>
      </c>
      <c r="Q282" s="9">
        <f t="shared" si="18"/>
        <v>44</v>
      </c>
      <c r="R282" s="9">
        <f t="shared" si="19"/>
        <v>4</v>
      </c>
      <c r="S282" s="14" t="str" cm="1">
        <f t="array" ref="S282">INDEX('PS-ConceptMap-1'!$I$15:$N$286,Q282+1,R282)</f>
        <v>* group[=].element[=].target.display = ##34###34#</v>
      </c>
    </row>
    <row r="283" spans="16:19" x14ac:dyDescent="0.75">
      <c r="P283" s="9">
        <v>269</v>
      </c>
      <c r="Q283" s="9">
        <f t="shared" si="18"/>
        <v>44</v>
      </c>
      <c r="R283" s="9">
        <f t="shared" si="19"/>
        <v>5</v>
      </c>
      <c r="S283" s="14" t="str" cm="1">
        <f t="array" ref="S283">INDEX('PS-ConceptMap-1'!$I$15:$N$286,Q283+1,R283)</f>
        <v>* group[=].element[=].target.equivalence = #relatedto</v>
      </c>
    </row>
    <row r="284" spans="16:19" x14ac:dyDescent="0.75">
      <c r="P284" s="9">
        <v>270</v>
      </c>
      <c r="Q284" s="9">
        <f t="shared" si="18"/>
        <v>44</v>
      </c>
      <c r="R284" s="9">
        <f t="shared" si="19"/>
        <v>6</v>
      </c>
      <c r="S284" s="14" t="str" cm="1">
        <f t="array" ref="S284">INDEX('PS-ConceptMap-1'!$I$15:$N$286,Q284+1,R284)</f>
        <v>* group[=].element[=].target.comment = ##34#to be reviewed##34#</v>
      </c>
    </row>
    <row r="285" spans="16:19" x14ac:dyDescent="0.75">
      <c r="P285" s="9">
        <v>271</v>
      </c>
      <c r="Q285" s="9">
        <f t="shared" si="18"/>
        <v>45</v>
      </c>
      <c r="R285" s="9">
        <f t="shared" si="19"/>
        <v>1</v>
      </c>
      <c r="S285" s="14" t="str" cm="1">
        <f t="array" ref="S285">INDEX('PS-ConceptMap-1'!$I$15:$N$286,Q285+1,R285)</f>
        <v>* group[=].element[+].code = #PatientSummary.body.results</v>
      </c>
    </row>
    <row r="286" spans="16:19" x14ac:dyDescent="0.75">
      <c r="P286" s="9">
        <v>272</v>
      </c>
      <c r="Q286" s="9">
        <f t="shared" si="18"/>
        <v>45</v>
      </c>
      <c r="R286" s="9">
        <f t="shared" si="19"/>
        <v>2</v>
      </c>
      <c r="S286" s="14" t="str" cm="1">
        <f t="array" ref="S286">INDEX('PS-ConceptMap-1'!$I$15:$N$286,Q286+1,R286)</f>
        <v>* group[=].element[=].display = ##34#A.2.8 Results##34#</v>
      </c>
    </row>
    <row r="287" spans="16:19" x14ac:dyDescent="0.75">
      <c r="P287" s="9">
        <v>273</v>
      </c>
      <c r="Q287" s="9">
        <f t="shared" si="18"/>
        <v>45</v>
      </c>
      <c r="R287" s="9">
        <f t="shared" si="19"/>
        <v>3</v>
      </c>
      <c r="S287" s="14" t="str" cm="1">
        <f t="array" ref="S287">INDEX('PS-ConceptMap-1'!$I$15:$N$286,Q287+1,R287)</f>
        <v>* group[=].element[=].target.code = #Composition.section:sectionResults</v>
      </c>
    </row>
    <row r="288" spans="16:19" x14ac:dyDescent="0.75">
      <c r="P288" s="9">
        <v>274</v>
      </c>
      <c r="Q288" s="9">
        <f t="shared" si="18"/>
        <v>45</v>
      </c>
      <c r="R288" s="9">
        <f t="shared" si="19"/>
        <v>4</v>
      </c>
      <c r="S288" s="14" t="str" cm="1">
        <f t="array" ref="S288">INDEX('PS-ConceptMap-1'!$I$15:$N$286,Q288+1,R288)</f>
        <v>* group[=].element[=].target.display = ##34###34#</v>
      </c>
    </row>
    <row r="289" spans="16:19" x14ac:dyDescent="0.75">
      <c r="P289" s="9">
        <v>275</v>
      </c>
      <c r="Q289" s="9">
        <f t="shared" si="18"/>
        <v>45</v>
      </c>
      <c r="R289" s="9">
        <f t="shared" si="19"/>
        <v>5</v>
      </c>
      <c r="S289" s="14" t="str" cm="1">
        <f t="array" ref="S289">INDEX('PS-ConceptMap-1'!$I$15:$N$286,Q289+1,R289)</f>
        <v>* group[=].element[=].target.equivalence = #equivalent</v>
      </c>
    </row>
    <row r="290" spans="16:19" x14ac:dyDescent="0.75">
      <c r="P290" s="9">
        <v>276</v>
      </c>
      <c r="Q290" s="9">
        <f t="shared" si="18"/>
        <v>45</v>
      </c>
      <c r="R290" s="9">
        <f t="shared" si="19"/>
        <v>6</v>
      </c>
      <c r="S290" s="14" t="str" cm="1">
        <f t="array" ref="S290">INDEX('PS-ConceptMap-1'!$I$15:$N$286,Q290+1,R290)</f>
        <v/>
      </c>
    </row>
    <row r="291" spans="16:19" x14ac:dyDescent="0.75">
      <c r="P291" s="9">
        <v>277</v>
      </c>
      <c r="Q291" s="9">
        <f t="shared" si="18"/>
        <v>46</v>
      </c>
      <c r="R291" s="9">
        <f t="shared" si="19"/>
        <v>1</v>
      </c>
      <c r="S291" s="14" t="str" cm="1">
        <f t="array" ref="S291">INDEX('PS-ConceptMap-1'!$I$15:$N$286,Q291+1,R291)</f>
        <v>* group[=].element[+].code = #PatientSummary.body.planOfCare</v>
      </c>
    </row>
    <row r="292" spans="16:19" x14ac:dyDescent="0.75">
      <c r="P292" s="9">
        <v>278</v>
      </c>
      <c r="Q292" s="9">
        <f t="shared" si="18"/>
        <v>46</v>
      </c>
      <c r="R292" s="9">
        <f t="shared" si="19"/>
        <v>2</v>
      </c>
      <c r="S292" s="14" t="str" cm="1">
        <f t="array" ref="S292">INDEX('PS-ConceptMap-1'!$I$15:$N$286,Q292+1,R292)</f>
        <v>* group[=].element[=].display = ##34#A.2.9 Plan of Care##34#</v>
      </c>
    </row>
    <row r="293" spans="16:19" x14ac:dyDescent="0.75">
      <c r="P293" s="9">
        <v>279</v>
      </c>
      <c r="Q293" s="9">
        <f t="shared" si="18"/>
        <v>46</v>
      </c>
      <c r="R293" s="9">
        <f t="shared" si="19"/>
        <v>3</v>
      </c>
      <c r="S293" s="14" t="str" cm="1">
        <f t="array" ref="S293">INDEX('PS-ConceptMap-1'!$I$15:$N$286,Q293+1,R293)</f>
        <v>* group[=].element[=].target.code = #Composition.section:sectionPlanOfCare</v>
      </c>
    </row>
    <row r="294" spans="16:19" x14ac:dyDescent="0.75">
      <c r="P294" s="9">
        <v>280</v>
      </c>
      <c r="Q294" s="9">
        <f t="shared" si="18"/>
        <v>46</v>
      </c>
      <c r="R294" s="9">
        <f t="shared" si="19"/>
        <v>4</v>
      </c>
      <c r="S294" s="14" t="str" cm="1">
        <f t="array" ref="S294">INDEX('PS-ConceptMap-1'!$I$15:$N$286,Q294+1,R294)</f>
        <v>* group[=].element[=].target.display = ##34###34#</v>
      </c>
    </row>
    <row r="295" spans="16:19" x14ac:dyDescent="0.75">
      <c r="P295" s="9">
        <v>281</v>
      </c>
      <c r="Q295" s="9">
        <f t="shared" si="18"/>
        <v>46</v>
      </c>
      <c r="R295" s="9">
        <f t="shared" si="19"/>
        <v>5</v>
      </c>
      <c r="S295" s="14" t="str" cm="1">
        <f t="array" ref="S295">INDEX('PS-ConceptMap-1'!$I$15:$N$286,Q295+1,R295)</f>
        <v>* group[=].element[=].target.equivalence = #equivalent</v>
      </c>
    </row>
    <row r="296" spans="16:19" x14ac:dyDescent="0.75">
      <c r="P296" s="9">
        <v>282</v>
      </c>
      <c r="Q296" s="9">
        <f t="shared" si="18"/>
        <v>46</v>
      </c>
      <c r="R296" s="9">
        <f t="shared" si="19"/>
        <v>6</v>
      </c>
      <c r="S296" s="14" t="str" cm="1">
        <f t="array" ref="S296">INDEX('PS-ConceptMap-1'!$I$15:$N$286,Q296+1,R296)</f>
        <v/>
      </c>
    </row>
    <row r="297" spans="16:19" x14ac:dyDescent="0.75">
      <c r="P297" s="9">
        <v>283</v>
      </c>
      <c r="Q297" s="9">
        <f t="shared" si="18"/>
        <v>47</v>
      </c>
      <c r="R297" s="9">
        <f t="shared" si="19"/>
        <v>1</v>
      </c>
      <c r="S297" s="14" t="str" cm="1">
        <f t="array" ref="S297">INDEX('PS-ConceptMap-1'!$I$15:$N$286,Q297+1,R297)</f>
        <v>* group[=].element[+].code = #PatientSummary.body.planOfCare.carePlan</v>
      </c>
    </row>
    <row r="298" spans="16:19" x14ac:dyDescent="0.75">
      <c r="P298" s="9">
        <v>284</v>
      </c>
      <c r="Q298" s="9">
        <f t="shared" si="18"/>
        <v>47</v>
      </c>
      <c r="R298" s="9">
        <f t="shared" si="19"/>
        <v>2</v>
      </c>
      <c r="S298" s="14" t="str" cm="1">
        <f t="array" ref="S298">INDEX('PS-ConceptMap-1'!$I$15:$N$286,Q298+1,R298)</f>
        <v>* group[=].element[=].display = ##34#A.2.9.1 Plan of care##34#</v>
      </c>
    </row>
    <row r="299" spans="16:19" x14ac:dyDescent="0.75">
      <c r="P299" s="9">
        <v>285</v>
      </c>
      <c r="Q299" s="9">
        <f t="shared" si="18"/>
        <v>47</v>
      </c>
      <c r="R299" s="9">
        <f t="shared" si="19"/>
        <v>3</v>
      </c>
      <c r="S299" s="14" t="str" cm="1">
        <f t="array" ref="S299">INDEX('PS-ConceptMap-1'!$I$15:$N$286,Q299+1,R299)</f>
        <v>* group[=].element[=].target.code = #Composition.section:sectionPlanOfCare.text</v>
      </c>
    </row>
    <row r="300" spans="16:19" x14ac:dyDescent="0.75">
      <c r="P300" s="9">
        <v>286</v>
      </c>
      <c r="Q300" s="9">
        <f t="shared" si="18"/>
        <v>47</v>
      </c>
      <c r="R300" s="9">
        <f t="shared" si="19"/>
        <v>4</v>
      </c>
      <c r="S300" s="14" t="str" cm="1">
        <f t="array" ref="S300">INDEX('PS-ConceptMap-1'!$I$15:$N$286,Q300+1,R300)</f>
        <v>* group[=].element[=].target.display = ##34###34#</v>
      </c>
    </row>
    <row r="301" spans="16:19" x14ac:dyDescent="0.75">
      <c r="P301" s="9">
        <v>287</v>
      </c>
      <c r="Q301" s="9">
        <f t="shared" si="18"/>
        <v>47</v>
      </c>
      <c r="R301" s="9">
        <f t="shared" si="19"/>
        <v>5</v>
      </c>
      <c r="S301" s="14" t="str" cm="1">
        <f t="array" ref="S301">INDEX('PS-ConceptMap-1'!$I$15:$N$286,Q301+1,R301)</f>
        <v>* group[=].element[=].target.equivalence = #equivalent</v>
      </c>
    </row>
    <row r="302" spans="16:19" x14ac:dyDescent="0.75">
      <c r="P302" s="9">
        <v>288</v>
      </c>
      <c r="Q302" s="9">
        <f t="shared" si="18"/>
        <v>47</v>
      </c>
      <c r="R302" s="9">
        <f t="shared" si="19"/>
        <v>6</v>
      </c>
      <c r="S302" s="14" t="str" cm="1">
        <f t="array" ref="S302">INDEX('PS-ConceptMap-1'!$I$15:$N$286,Q302+1,R302)</f>
        <v/>
      </c>
    </row>
    <row r="303" spans="16:19" x14ac:dyDescent="0.75">
      <c r="P303" s="9">
        <v>289</v>
      </c>
      <c r="Q303" s="9">
        <f t="shared" si="18"/>
        <v>48</v>
      </c>
      <c r="R303" s="9">
        <f t="shared" si="19"/>
        <v>1</v>
      </c>
      <c r="S303" s="14" cm="1">
        <f t="array" ref="S303">INDEX('PS-ConceptMap-1'!$I$15:$N$286,Q303+1,R303)</f>
        <v>0</v>
      </c>
    </row>
    <row r="304" spans="16:19" x14ac:dyDescent="0.75">
      <c r="P304" s="9">
        <v>290</v>
      </c>
      <c r="Q304" s="9">
        <f t="shared" si="18"/>
        <v>48</v>
      </c>
      <c r="R304" s="9">
        <f t="shared" si="19"/>
        <v>2</v>
      </c>
      <c r="S304" s="14" cm="1">
        <f t="array" ref="S304">INDEX('PS-ConceptMap-1'!$I$15:$N$286,Q304+1,R304)</f>
        <v>0</v>
      </c>
    </row>
    <row r="305" spans="16:19" x14ac:dyDescent="0.75">
      <c r="P305" s="9">
        <v>291</v>
      </c>
      <c r="Q305" s="9">
        <f t="shared" si="18"/>
        <v>48</v>
      </c>
      <c r="R305" s="9">
        <f t="shared" si="19"/>
        <v>3</v>
      </c>
      <c r="S305" s="14" cm="1">
        <f t="array" ref="S305">INDEX('PS-ConceptMap-1'!$I$15:$N$286,Q305+1,R305)</f>
        <v>0</v>
      </c>
    </row>
    <row r="306" spans="16:19" x14ac:dyDescent="0.75">
      <c r="P306" s="9">
        <v>292</v>
      </c>
      <c r="Q306" s="9">
        <f t="shared" si="18"/>
        <v>48</v>
      </c>
      <c r="R306" s="9">
        <f t="shared" si="19"/>
        <v>4</v>
      </c>
      <c r="S306" s="14" cm="1">
        <f t="array" ref="S306">INDEX('PS-ConceptMap-1'!$I$15:$N$286,Q306+1,R306)</f>
        <v>0</v>
      </c>
    </row>
    <row r="307" spans="16:19" x14ac:dyDescent="0.75">
      <c r="P307" s="9">
        <v>293</v>
      </c>
      <c r="Q307" s="9">
        <f t="shared" si="18"/>
        <v>48</v>
      </c>
      <c r="R307" s="9">
        <f t="shared" si="19"/>
        <v>5</v>
      </c>
      <c r="S307" s="14" cm="1">
        <f t="array" ref="S307">INDEX('PS-ConceptMap-1'!$I$15:$N$286,Q307+1,R307)</f>
        <v>0</v>
      </c>
    </row>
    <row r="308" spans="16:19" x14ac:dyDescent="0.75">
      <c r="P308" s="9">
        <v>294</v>
      </c>
      <c r="Q308" s="9">
        <f t="shared" si="18"/>
        <v>48</v>
      </c>
      <c r="R308" s="9">
        <f t="shared" si="19"/>
        <v>6</v>
      </c>
      <c r="S308" s="14" cm="1">
        <f t="array" ref="S308">INDEX('PS-ConceptMap-1'!$I$15:$N$286,Q308+1,R308)</f>
        <v>0</v>
      </c>
    </row>
    <row r="309" spans="16:19" x14ac:dyDescent="0.75">
      <c r="P309" s="9">
        <v>295</v>
      </c>
      <c r="Q309" s="9">
        <f t="shared" si="18"/>
        <v>49</v>
      </c>
      <c r="R309" s="9">
        <f t="shared" si="19"/>
        <v>1</v>
      </c>
      <c r="S309" s="14" cm="1">
        <f t="array" ref="S309">INDEX('PS-ConceptMap-1'!$I$15:$N$286,Q309+1,R309)</f>
        <v>0</v>
      </c>
    </row>
    <row r="310" spans="16:19" x14ac:dyDescent="0.75">
      <c r="P310" s="9">
        <v>296</v>
      </c>
      <c r="Q310" s="9">
        <f t="shared" si="18"/>
        <v>49</v>
      </c>
      <c r="R310" s="9">
        <f t="shared" si="19"/>
        <v>2</v>
      </c>
      <c r="S310" s="14" cm="1">
        <f t="array" ref="S310">INDEX('PS-ConceptMap-1'!$I$15:$N$286,Q310+1,R310)</f>
        <v>0</v>
      </c>
    </row>
    <row r="311" spans="16:19" x14ac:dyDescent="0.75">
      <c r="P311" s="9">
        <v>297</v>
      </c>
      <c r="Q311" s="9">
        <f t="shared" si="18"/>
        <v>49</v>
      </c>
      <c r="R311" s="9">
        <f t="shared" si="19"/>
        <v>3</v>
      </c>
      <c r="S311" s="14" cm="1">
        <f t="array" ref="S311">INDEX('PS-ConceptMap-1'!$I$15:$N$286,Q311+1,R311)</f>
        <v>0</v>
      </c>
    </row>
    <row r="312" spans="16:19" x14ac:dyDescent="0.75">
      <c r="P312" s="9">
        <v>298</v>
      </c>
      <c r="Q312" s="9">
        <f t="shared" si="18"/>
        <v>49</v>
      </c>
      <c r="R312" s="9">
        <f t="shared" si="19"/>
        <v>4</v>
      </c>
      <c r="S312" s="14" cm="1">
        <f t="array" ref="S312">INDEX('PS-ConceptMap-1'!$I$15:$N$286,Q312+1,R312)</f>
        <v>0</v>
      </c>
    </row>
    <row r="313" spans="16:19" x14ac:dyDescent="0.75">
      <c r="P313" s="9">
        <v>299</v>
      </c>
      <c r="Q313" s="9">
        <f t="shared" si="18"/>
        <v>49</v>
      </c>
      <c r="R313" s="9">
        <f t="shared" si="19"/>
        <v>5</v>
      </c>
      <c r="S313" s="14" cm="1">
        <f t="array" ref="S313">INDEX('PS-ConceptMap-1'!$I$15:$N$286,Q313+1,R313)</f>
        <v>0</v>
      </c>
    </row>
    <row r="314" spans="16:19" x14ac:dyDescent="0.75">
      <c r="P314" s="9">
        <v>300</v>
      </c>
      <c r="Q314" s="9">
        <f t="shared" si="18"/>
        <v>49</v>
      </c>
      <c r="R314" s="9">
        <f t="shared" si="19"/>
        <v>6</v>
      </c>
      <c r="S314" s="14" cm="1">
        <f t="array" ref="S314">INDEX('PS-ConceptMap-1'!$I$15:$N$286,Q314+1,R314)</f>
        <v>0</v>
      </c>
    </row>
    <row r="315" spans="16:19" x14ac:dyDescent="0.75">
      <c r="P315" s="9">
        <v>301</v>
      </c>
      <c r="Q315" s="9">
        <f t="shared" si="18"/>
        <v>50</v>
      </c>
      <c r="R315" s="9">
        <f t="shared" si="19"/>
        <v>1</v>
      </c>
      <c r="S315" s="14" cm="1">
        <f t="array" ref="S315">INDEX('PS-ConceptMap-1'!$I$15:$N$286,Q315+1,R315)</f>
        <v>0</v>
      </c>
    </row>
    <row r="316" spans="16:19" x14ac:dyDescent="0.75">
      <c r="P316" s="9">
        <v>302</v>
      </c>
      <c r="Q316" s="9">
        <f t="shared" si="18"/>
        <v>50</v>
      </c>
      <c r="R316" s="9">
        <f t="shared" si="19"/>
        <v>2</v>
      </c>
      <c r="S316" s="14" cm="1">
        <f t="array" ref="S316">INDEX('PS-ConceptMap-1'!$I$15:$N$286,Q316+1,R316)</f>
        <v>0</v>
      </c>
    </row>
    <row r="317" spans="16:19" x14ac:dyDescent="0.75">
      <c r="P317" s="9">
        <v>303</v>
      </c>
      <c r="Q317" s="9">
        <f t="shared" si="18"/>
        <v>50</v>
      </c>
      <c r="R317" s="9">
        <f t="shared" si="19"/>
        <v>3</v>
      </c>
      <c r="S317" s="14" cm="1">
        <f t="array" ref="S317">INDEX('PS-ConceptMap-1'!$I$15:$N$286,Q317+1,R317)</f>
        <v>0</v>
      </c>
    </row>
    <row r="318" spans="16:19" x14ac:dyDescent="0.75">
      <c r="P318" s="9">
        <v>304</v>
      </c>
      <c r="Q318" s="9">
        <f t="shared" si="18"/>
        <v>50</v>
      </c>
      <c r="R318" s="9">
        <f t="shared" si="19"/>
        <v>4</v>
      </c>
      <c r="S318" s="14" cm="1">
        <f t="array" ref="S318">INDEX('PS-ConceptMap-1'!$I$15:$N$286,Q318+1,R318)</f>
        <v>0</v>
      </c>
    </row>
    <row r="319" spans="16:19" x14ac:dyDescent="0.75">
      <c r="P319" s="9">
        <v>305</v>
      </c>
      <c r="Q319" s="9">
        <f t="shared" si="18"/>
        <v>50</v>
      </c>
      <c r="R319" s="9">
        <f t="shared" si="19"/>
        <v>5</v>
      </c>
      <c r="S319" s="14" cm="1">
        <f t="array" ref="S319">INDEX('PS-ConceptMap-1'!$I$15:$N$286,Q319+1,R319)</f>
        <v>0</v>
      </c>
    </row>
    <row r="320" spans="16:19" x14ac:dyDescent="0.75">
      <c r="P320" s="9">
        <v>306</v>
      </c>
      <c r="Q320" s="9">
        <f t="shared" si="18"/>
        <v>50</v>
      </c>
      <c r="R320" s="9">
        <f t="shared" si="19"/>
        <v>6</v>
      </c>
      <c r="S320" s="14" cm="1">
        <f t="array" ref="S320">INDEX('PS-ConceptMap-1'!$I$15:$N$286,Q320+1,R320)</f>
        <v>0</v>
      </c>
    </row>
    <row r="321" spans="16:19" x14ac:dyDescent="0.75">
      <c r="P321" s="9">
        <v>307</v>
      </c>
      <c r="Q321" s="9">
        <f t="shared" si="18"/>
        <v>51</v>
      </c>
      <c r="R321" s="9">
        <f t="shared" si="19"/>
        <v>1</v>
      </c>
      <c r="S321" s="14" cm="1">
        <f t="array" ref="S321">INDEX('PS-ConceptMap-1'!$I$15:$N$286,Q321+1,R321)</f>
        <v>0</v>
      </c>
    </row>
    <row r="322" spans="16:19" x14ac:dyDescent="0.75">
      <c r="P322" s="9">
        <v>308</v>
      </c>
      <c r="Q322" s="9">
        <f t="shared" si="18"/>
        <v>51</v>
      </c>
      <c r="R322" s="9">
        <f t="shared" si="19"/>
        <v>2</v>
      </c>
      <c r="S322" s="14" cm="1">
        <f t="array" ref="S322">INDEX('PS-ConceptMap-1'!$I$15:$N$286,Q322+1,R322)</f>
        <v>0</v>
      </c>
    </row>
    <row r="323" spans="16:19" x14ac:dyDescent="0.75">
      <c r="P323" s="9">
        <v>309</v>
      </c>
      <c r="Q323" s="9">
        <f t="shared" si="18"/>
        <v>51</v>
      </c>
      <c r="R323" s="9">
        <f t="shared" si="19"/>
        <v>3</v>
      </c>
      <c r="S323" s="14" cm="1">
        <f t="array" ref="S323">INDEX('PS-ConceptMap-1'!$I$15:$N$286,Q323+1,R323)</f>
        <v>0</v>
      </c>
    </row>
    <row r="324" spans="16:19" x14ac:dyDescent="0.75">
      <c r="P324" s="9">
        <v>310</v>
      </c>
      <c r="Q324" s="9">
        <f t="shared" si="18"/>
        <v>51</v>
      </c>
      <c r="R324" s="9">
        <f t="shared" si="19"/>
        <v>4</v>
      </c>
      <c r="S324" s="14" cm="1">
        <f t="array" ref="S324">INDEX('PS-ConceptMap-1'!$I$15:$N$286,Q324+1,R324)</f>
        <v>0</v>
      </c>
    </row>
    <row r="325" spans="16:19" x14ac:dyDescent="0.75">
      <c r="P325" s="9">
        <v>311</v>
      </c>
      <c r="Q325" s="9">
        <f t="shared" si="18"/>
        <v>51</v>
      </c>
      <c r="R325" s="9">
        <f t="shared" si="19"/>
        <v>5</v>
      </c>
      <c r="S325" s="14" cm="1">
        <f t="array" ref="S325">INDEX('PS-ConceptMap-1'!$I$15:$N$286,Q325+1,R325)</f>
        <v>0</v>
      </c>
    </row>
    <row r="326" spans="16:19" x14ac:dyDescent="0.75">
      <c r="P326" s="9">
        <v>312</v>
      </c>
      <c r="Q326" s="9">
        <f t="shared" si="18"/>
        <v>51</v>
      </c>
      <c r="R326" s="9">
        <f t="shared" si="19"/>
        <v>6</v>
      </c>
      <c r="S326" s="14" cm="1">
        <f t="array" ref="S326">INDEX('PS-ConceptMap-1'!$I$15:$N$286,Q326+1,R326)</f>
        <v>0</v>
      </c>
    </row>
    <row r="327" spans="16:19" x14ac:dyDescent="0.75">
      <c r="P327" s="9">
        <v>313</v>
      </c>
      <c r="Q327" s="9">
        <f t="shared" si="18"/>
        <v>52</v>
      </c>
      <c r="R327" s="9">
        <f t="shared" si="19"/>
        <v>1</v>
      </c>
      <c r="S327" s="14" cm="1">
        <f t="array" ref="S327">INDEX('PS-ConceptMap-1'!$I$15:$N$286,Q327+1,R327)</f>
        <v>0</v>
      </c>
    </row>
    <row r="328" spans="16:19" x14ac:dyDescent="0.75">
      <c r="P328" s="9">
        <v>314</v>
      </c>
      <c r="Q328" s="9">
        <f t="shared" si="18"/>
        <v>52</v>
      </c>
      <c r="R328" s="9">
        <f t="shared" si="19"/>
        <v>2</v>
      </c>
      <c r="S328" s="14" cm="1">
        <f t="array" ref="S328">INDEX('PS-ConceptMap-1'!$I$15:$N$286,Q328+1,R328)</f>
        <v>0</v>
      </c>
    </row>
    <row r="329" spans="16:19" x14ac:dyDescent="0.75">
      <c r="P329" s="9">
        <v>315</v>
      </c>
      <c r="Q329" s="9">
        <f t="shared" si="18"/>
        <v>52</v>
      </c>
      <c r="R329" s="9">
        <f t="shared" si="19"/>
        <v>3</v>
      </c>
      <c r="S329" s="14" cm="1">
        <f t="array" ref="S329">INDEX('PS-ConceptMap-1'!$I$15:$N$286,Q329+1,R329)</f>
        <v>0</v>
      </c>
    </row>
    <row r="330" spans="16:19" x14ac:dyDescent="0.75">
      <c r="P330" s="9">
        <v>316</v>
      </c>
      <c r="Q330" s="9">
        <f t="shared" si="18"/>
        <v>52</v>
      </c>
      <c r="R330" s="9">
        <f t="shared" si="19"/>
        <v>4</v>
      </c>
      <c r="S330" s="14" cm="1">
        <f t="array" ref="S330">INDEX('PS-ConceptMap-1'!$I$15:$N$286,Q330+1,R330)</f>
        <v>0</v>
      </c>
    </row>
    <row r="331" spans="16:19" x14ac:dyDescent="0.75">
      <c r="P331" s="9">
        <v>317</v>
      </c>
      <c r="Q331" s="9">
        <f t="shared" si="18"/>
        <v>52</v>
      </c>
      <c r="R331" s="9">
        <f t="shared" si="19"/>
        <v>5</v>
      </c>
      <c r="S331" s="14" cm="1">
        <f t="array" ref="S331">INDEX('PS-ConceptMap-1'!$I$15:$N$286,Q331+1,R331)</f>
        <v>0</v>
      </c>
    </row>
    <row r="332" spans="16:19" x14ac:dyDescent="0.75">
      <c r="P332" s="9">
        <v>318</v>
      </c>
      <c r="Q332" s="9">
        <f t="shared" si="18"/>
        <v>52</v>
      </c>
      <c r="R332" s="9">
        <f t="shared" si="19"/>
        <v>6</v>
      </c>
      <c r="S332" s="14" cm="1">
        <f t="array" ref="S332">INDEX('PS-ConceptMap-1'!$I$15:$N$286,Q332+1,R332)</f>
        <v>0</v>
      </c>
    </row>
    <row r="333" spans="16:19" x14ac:dyDescent="0.75">
      <c r="P333" s="9">
        <v>319</v>
      </c>
      <c r="Q333" s="9">
        <f t="shared" si="18"/>
        <v>53</v>
      </c>
      <c r="R333" s="9">
        <f t="shared" si="19"/>
        <v>1</v>
      </c>
      <c r="S333" s="14" cm="1">
        <f t="array" ref="S333">INDEX('PS-ConceptMap-1'!$I$15:$N$286,Q333+1,R333)</f>
        <v>0</v>
      </c>
    </row>
    <row r="334" spans="16:19" x14ac:dyDescent="0.75">
      <c r="P334" s="9">
        <v>320</v>
      </c>
      <c r="Q334" s="9">
        <f t="shared" si="18"/>
        <v>53</v>
      </c>
      <c r="R334" s="9">
        <f t="shared" si="19"/>
        <v>2</v>
      </c>
      <c r="S334" s="14" cm="1">
        <f t="array" ref="S334">INDEX('PS-ConceptMap-1'!$I$15:$N$286,Q334+1,R334)</f>
        <v>0</v>
      </c>
    </row>
    <row r="335" spans="16:19" x14ac:dyDescent="0.75">
      <c r="P335" s="9">
        <v>321</v>
      </c>
      <c r="Q335" s="9">
        <f t="shared" si="18"/>
        <v>53</v>
      </c>
      <c r="R335" s="9">
        <f t="shared" si="19"/>
        <v>3</v>
      </c>
      <c r="S335" s="14" cm="1">
        <f t="array" ref="S335">INDEX('PS-ConceptMap-1'!$I$15:$N$286,Q335+1,R335)</f>
        <v>0</v>
      </c>
    </row>
    <row r="336" spans="16:19" x14ac:dyDescent="0.75">
      <c r="P336" s="9">
        <v>322</v>
      </c>
      <c r="Q336" s="9">
        <f t="shared" ref="Q336:Q372" si="20">IF(MOD(P336,$Q$8)=0,P336/$Q$8-1,INT(P336/$Q$8))</f>
        <v>53</v>
      </c>
      <c r="R336" s="9">
        <f t="shared" ref="R336:R372" si="21">IF(MOD(P336,$Q$8)=0,$Q$8,MOD(P336,$Q$8))</f>
        <v>4</v>
      </c>
      <c r="S336" s="14" cm="1">
        <f t="array" ref="S336">INDEX('PS-ConceptMap-1'!$I$15:$N$286,Q336+1,R336)</f>
        <v>0</v>
      </c>
    </row>
    <row r="337" spans="16:19" x14ac:dyDescent="0.75">
      <c r="P337" s="9">
        <v>323</v>
      </c>
      <c r="Q337" s="9">
        <f t="shared" si="20"/>
        <v>53</v>
      </c>
      <c r="R337" s="9">
        <f t="shared" si="21"/>
        <v>5</v>
      </c>
      <c r="S337" s="14" cm="1">
        <f t="array" ref="S337">INDEX('PS-ConceptMap-1'!$I$15:$N$286,Q337+1,R337)</f>
        <v>0</v>
      </c>
    </row>
    <row r="338" spans="16:19" x14ac:dyDescent="0.75">
      <c r="P338" s="9">
        <v>324</v>
      </c>
      <c r="Q338" s="9">
        <f t="shared" si="20"/>
        <v>53</v>
      </c>
      <c r="R338" s="9">
        <f t="shared" si="21"/>
        <v>6</v>
      </c>
      <c r="S338" s="14" cm="1">
        <f t="array" ref="S338">INDEX('PS-ConceptMap-1'!$I$15:$N$286,Q338+1,R338)</f>
        <v>0</v>
      </c>
    </row>
    <row r="339" spans="16:19" x14ac:dyDescent="0.75">
      <c r="P339" s="9">
        <v>325</v>
      </c>
      <c r="Q339" s="9">
        <f t="shared" si="20"/>
        <v>54</v>
      </c>
      <c r="R339" s="9">
        <f t="shared" si="21"/>
        <v>1</v>
      </c>
      <c r="S339" s="14" cm="1">
        <f t="array" ref="S339">INDEX('PS-ConceptMap-1'!$I$15:$N$286,Q339+1,R339)</f>
        <v>0</v>
      </c>
    </row>
    <row r="340" spans="16:19" x14ac:dyDescent="0.75">
      <c r="P340" s="9">
        <v>326</v>
      </c>
      <c r="Q340" s="9">
        <f t="shared" si="20"/>
        <v>54</v>
      </c>
      <c r="R340" s="9">
        <f t="shared" si="21"/>
        <v>2</v>
      </c>
      <c r="S340" s="14" cm="1">
        <f t="array" ref="S340">INDEX('PS-ConceptMap-1'!$I$15:$N$286,Q340+1,R340)</f>
        <v>0</v>
      </c>
    </row>
    <row r="341" spans="16:19" x14ac:dyDescent="0.75">
      <c r="P341" s="9">
        <v>327</v>
      </c>
      <c r="Q341" s="9">
        <f t="shared" si="20"/>
        <v>54</v>
      </c>
      <c r="R341" s="9">
        <f t="shared" si="21"/>
        <v>3</v>
      </c>
      <c r="S341" s="14" cm="1">
        <f t="array" ref="S341">INDEX('PS-ConceptMap-1'!$I$15:$N$286,Q341+1,R341)</f>
        <v>0</v>
      </c>
    </row>
    <row r="342" spans="16:19" x14ac:dyDescent="0.75">
      <c r="P342" s="9">
        <v>328</v>
      </c>
      <c r="Q342" s="9">
        <f t="shared" si="20"/>
        <v>54</v>
      </c>
      <c r="R342" s="9">
        <f t="shared" si="21"/>
        <v>4</v>
      </c>
      <c r="S342" s="14" cm="1">
        <f t="array" ref="S342">INDEX('PS-ConceptMap-1'!$I$15:$N$286,Q342+1,R342)</f>
        <v>0</v>
      </c>
    </row>
    <row r="343" spans="16:19" x14ac:dyDescent="0.75">
      <c r="P343" s="9">
        <v>329</v>
      </c>
      <c r="Q343" s="9">
        <f t="shared" si="20"/>
        <v>54</v>
      </c>
      <c r="R343" s="9">
        <f t="shared" si="21"/>
        <v>5</v>
      </c>
      <c r="S343" s="14" cm="1">
        <f t="array" ref="S343">INDEX('PS-ConceptMap-1'!$I$15:$N$286,Q343+1,R343)</f>
        <v>0</v>
      </c>
    </row>
    <row r="344" spans="16:19" x14ac:dyDescent="0.75">
      <c r="P344" s="9">
        <v>330</v>
      </c>
      <c r="Q344" s="9">
        <f t="shared" si="20"/>
        <v>54</v>
      </c>
      <c r="R344" s="9">
        <f t="shared" si="21"/>
        <v>6</v>
      </c>
      <c r="S344" s="14" cm="1">
        <f t="array" ref="S344">INDEX('PS-ConceptMap-1'!$I$15:$N$286,Q344+1,R344)</f>
        <v>0</v>
      </c>
    </row>
    <row r="345" spans="16:19" x14ac:dyDescent="0.75">
      <c r="P345" s="9">
        <v>331</v>
      </c>
      <c r="Q345" s="9">
        <f t="shared" si="20"/>
        <v>55</v>
      </c>
      <c r="R345" s="9">
        <f t="shared" si="21"/>
        <v>1</v>
      </c>
      <c r="S345" s="14" cm="1">
        <f t="array" ref="S345">INDEX('PS-ConceptMap-1'!$I$15:$N$286,Q345+1,R345)</f>
        <v>0</v>
      </c>
    </row>
    <row r="346" spans="16:19" x14ac:dyDescent="0.75">
      <c r="P346" s="9">
        <v>332</v>
      </c>
      <c r="Q346" s="9">
        <f t="shared" si="20"/>
        <v>55</v>
      </c>
      <c r="R346" s="9">
        <f t="shared" si="21"/>
        <v>2</v>
      </c>
      <c r="S346" s="14" cm="1">
        <f t="array" ref="S346">INDEX('PS-ConceptMap-1'!$I$15:$N$286,Q346+1,R346)</f>
        <v>0</v>
      </c>
    </row>
    <row r="347" spans="16:19" x14ac:dyDescent="0.75">
      <c r="P347" s="9">
        <v>333</v>
      </c>
      <c r="Q347" s="9">
        <f t="shared" si="20"/>
        <v>55</v>
      </c>
      <c r="R347" s="9">
        <f t="shared" si="21"/>
        <v>3</v>
      </c>
      <c r="S347" s="14" cm="1">
        <f t="array" ref="S347">INDEX('PS-ConceptMap-1'!$I$15:$N$286,Q347+1,R347)</f>
        <v>0</v>
      </c>
    </row>
    <row r="348" spans="16:19" x14ac:dyDescent="0.75">
      <c r="P348" s="9">
        <v>334</v>
      </c>
      <c r="Q348" s="9">
        <f t="shared" si="20"/>
        <v>55</v>
      </c>
      <c r="R348" s="9">
        <f t="shared" si="21"/>
        <v>4</v>
      </c>
      <c r="S348" s="14" cm="1">
        <f t="array" ref="S348">INDEX('PS-ConceptMap-1'!$I$15:$N$286,Q348+1,R348)</f>
        <v>0</v>
      </c>
    </row>
    <row r="349" spans="16:19" x14ac:dyDescent="0.75">
      <c r="P349" s="9">
        <v>335</v>
      </c>
      <c r="Q349" s="9">
        <f t="shared" si="20"/>
        <v>55</v>
      </c>
      <c r="R349" s="9">
        <f t="shared" si="21"/>
        <v>5</v>
      </c>
      <c r="S349" s="14" cm="1">
        <f t="array" ref="S349">INDEX('PS-ConceptMap-1'!$I$15:$N$286,Q349+1,R349)</f>
        <v>0</v>
      </c>
    </row>
    <row r="350" spans="16:19" x14ac:dyDescent="0.75">
      <c r="P350" s="9">
        <v>336</v>
      </c>
      <c r="Q350" s="9">
        <f t="shared" si="20"/>
        <v>55</v>
      </c>
      <c r="R350" s="9">
        <f t="shared" si="21"/>
        <v>6</v>
      </c>
      <c r="S350" s="14" cm="1">
        <f t="array" ref="S350">INDEX('PS-ConceptMap-1'!$I$15:$N$286,Q350+1,R350)</f>
        <v>0</v>
      </c>
    </row>
    <row r="351" spans="16:19" x14ac:dyDescent="0.75">
      <c r="P351" s="9">
        <v>337</v>
      </c>
      <c r="Q351" s="9">
        <f t="shared" si="20"/>
        <v>56</v>
      </c>
      <c r="R351" s="9">
        <f t="shared" si="21"/>
        <v>1</v>
      </c>
      <c r="S351" s="14" cm="1">
        <f t="array" ref="S351">INDEX('PS-ConceptMap-1'!$I$15:$N$286,Q351+1,R351)</f>
        <v>0</v>
      </c>
    </row>
    <row r="352" spans="16:19" x14ac:dyDescent="0.75">
      <c r="P352" s="9">
        <v>338</v>
      </c>
      <c r="Q352" s="9">
        <f t="shared" si="20"/>
        <v>56</v>
      </c>
      <c r="R352" s="9">
        <f t="shared" si="21"/>
        <v>2</v>
      </c>
      <c r="S352" s="14" cm="1">
        <f t="array" ref="S352">INDEX('PS-ConceptMap-1'!$I$15:$N$286,Q352+1,R352)</f>
        <v>0</v>
      </c>
    </row>
    <row r="353" spans="16:19" x14ac:dyDescent="0.75">
      <c r="P353" s="9">
        <v>339</v>
      </c>
      <c r="Q353" s="9">
        <f t="shared" si="20"/>
        <v>56</v>
      </c>
      <c r="R353" s="9">
        <f t="shared" si="21"/>
        <v>3</v>
      </c>
      <c r="S353" s="14" cm="1">
        <f t="array" ref="S353">INDEX('PS-ConceptMap-1'!$I$15:$N$286,Q353+1,R353)</f>
        <v>0</v>
      </c>
    </row>
    <row r="354" spans="16:19" x14ac:dyDescent="0.75">
      <c r="P354" s="9">
        <v>340</v>
      </c>
      <c r="Q354" s="9">
        <f t="shared" si="20"/>
        <v>56</v>
      </c>
      <c r="R354" s="9">
        <f t="shared" si="21"/>
        <v>4</v>
      </c>
      <c r="S354" s="14" cm="1">
        <f t="array" ref="S354">INDEX('PS-ConceptMap-1'!$I$15:$N$286,Q354+1,R354)</f>
        <v>0</v>
      </c>
    </row>
    <row r="355" spans="16:19" x14ac:dyDescent="0.75">
      <c r="P355" s="9">
        <v>341</v>
      </c>
      <c r="Q355" s="9">
        <f t="shared" si="20"/>
        <v>56</v>
      </c>
      <c r="R355" s="9">
        <f t="shared" si="21"/>
        <v>5</v>
      </c>
      <c r="S355" s="14" cm="1">
        <f t="array" ref="S355">INDEX('PS-ConceptMap-1'!$I$15:$N$286,Q355+1,R355)</f>
        <v>0</v>
      </c>
    </row>
    <row r="356" spans="16:19" x14ac:dyDescent="0.75">
      <c r="P356" s="9">
        <v>342</v>
      </c>
      <c r="Q356" s="9">
        <f t="shared" si="20"/>
        <v>56</v>
      </c>
      <c r="R356" s="9">
        <f t="shared" si="21"/>
        <v>6</v>
      </c>
      <c r="S356" s="14" cm="1">
        <f t="array" ref="S356">INDEX('PS-ConceptMap-1'!$I$15:$N$286,Q356+1,R356)</f>
        <v>0</v>
      </c>
    </row>
    <row r="357" spans="16:19" x14ac:dyDescent="0.75">
      <c r="P357" s="9">
        <v>343</v>
      </c>
      <c r="Q357" s="9">
        <f t="shared" si="20"/>
        <v>57</v>
      </c>
      <c r="R357" s="9">
        <f t="shared" si="21"/>
        <v>1</v>
      </c>
      <c r="S357" s="14" cm="1">
        <f t="array" ref="S357">INDEX('PS-ConceptMap-1'!$I$15:$N$286,Q357+1,R357)</f>
        <v>0</v>
      </c>
    </row>
    <row r="358" spans="16:19" x14ac:dyDescent="0.75">
      <c r="P358" s="9">
        <v>344</v>
      </c>
      <c r="Q358" s="9">
        <f t="shared" si="20"/>
        <v>57</v>
      </c>
      <c r="R358" s="9">
        <f t="shared" si="21"/>
        <v>2</v>
      </c>
      <c r="S358" s="14" cm="1">
        <f t="array" ref="S358">INDEX('PS-ConceptMap-1'!$I$15:$N$286,Q358+1,R358)</f>
        <v>0</v>
      </c>
    </row>
    <row r="359" spans="16:19" x14ac:dyDescent="0.75">
      <c r="P359" s="9">
        <v>345</v>
      </c>
      <c r="Q359" s="9">
        <f t="shared" si="20"/>
        <v>57</v>
      </c>
      <c r="R359" s="9">
        <f t="shared" si="21"/>
        <v>3</v>
      </c>
      <c r="S359" s="14" cm="1">
        <f t="array" ref="S359">INDEX('PS-ConceptMap-1'!$I$15:$N$286,Q359+1,R359)</f>
        <v>0</v>
      </c>
    </row>
    <row r="360" spans="16:19" x14ac:dyDescent="0.75">
      <c r="P360" s="9">
        <v>346</v>
      </c>
      <c r="Q360" s="9">
        <f t="shared" si="20"/>
        <v>57</v>
      </c>
      <c r="R360" s="9">
        <f t="shared" si="21"/>
        <v>4</v>
      </c>
      <c r="S360" s="14" cm="1">
        <f t="array" ref="S360">INDEX('PS-ConceptMap-1'!$I$15:$N$286,Q360+1,R360)</f>
        <v>0</v>
      </c>
    </row>
    <row r="361" spans="16:19" x14ac:dyDescent="0.75">
      <c r="P361" s="9">
        <v>347</v>
      </c>
      <c r="Q361" s="9">
        <f t="shared" si="20"/>
        <v>57</v>
      </c>
      <c r="R361" s="9">
        <f t="shared" si="21"/>
        <v>5</v>
      </c>
      <c r="S361" s="14" cm="1">
        <f t="array" ref="S361">INDEX('PS-ConceptMap-1'!$I$15:$N$286,Q361+1,R361)</f>
        <v>0</v>
      </c>
    </row>
    <row r="362" spans="16:19" x14ac:dyDescent="0.75">
      <c r="P362" s="9">
        <v>348</v>
      </c>
      <c r="Q362" s="9">
        <f t="shared" si="20"/>
        <v>57</v>
      </c>
      <c r="R362" s="9">
        <f t="shared" si="21"/>
        <v>6</v>
      </c>
      <c r="S362" s="14" cm="1">
        <f t="array" ref="S362">INDEX('PS-ConceptMap-1'!$I$15:$N$286,Q362+1,R362)</f>
        <v>0</v>
      </c>
    </row>
    <row r="363" spans="16:19" x14ac:dyDescent="0.75">
      <c r="P363" s="9">
        <v>349</v>
      </c>
      <c r="Q363" s="9">
        <f t="shared" si="20"/>
        <v>58</v>
      </c>
      <c r="R363" s="9">
        <f t="shared" si="21"/>
        <v>1</v>
      </c>
      <c r="S363" s="14" cm="1">
        <f t="array" ref="S363">INDEX('PS-ConceptMap-1'!$I$15:$N$286,Q363+1,R363)</f>
        <v>0</v>
      </c>
    </row>
    <row r="364" spans="16:19" x14ac:dyDescent="0.75">
      <c r="P364" s="9">
        <v>350</v>
      </c>
      <c r="Q364" s="9">
        <f t="shared" si="20"/>
        <v>58</v>
      </c>
      <c r="R364" s="9">
        <f t="shared" si="21"/>
        <v>2</v>
      </c>
      <c r="S364" s="14" cm="1">
        <f t="array" ref="S364">INDEX('PS-ConceptMap-1'!$I$15:$N$286,Q364+1,R364)</f>
        <v>0</v>
      </c>
    </row>
    <row r="365" spans="16:19" x14ac:dyDescent="0.75">
      <c r="P365" s="9">
        <v>351</v>
      </c>
      <c r="Q365" s="9">
        <f t="shared" si="20"/>
        <v>58</v>
      </c>
      <c r="R365" s="9">
        <f t="shared" si="21"/>
        <v>3</v>
      </c>
      <c r="S365" s="14" cm="1">
        <f t="array" ref="S365">INDEX('PS-ConceptMap-1'!$I$15:$N$286,Q365+1,R365)</f>
        <v>0</v>
      </c>
    </row>
    <row r="366" spans="16:19" x14ac:dyDescent="0.75">
      <c r="P366" s="9">
        <v>352</v>
      </c>
      <c r="Q366" s="9">
        <f t="shared" si="20"/>
        <v>58</v>
      </c>
      <c r="R366" s="9">
        <f t="shared" si="21"/>
        <v>4</v>
      </c>
      <c r="S366" s="14" cm="1">
        <f t="array" ref="S366">INDEX('PS-ConceptMap-1'!$I$15:$N$286,Q366+1,R366)</f>
        <v>0</v>
      </c>
    </row>
    <row r="367" spans="16:19" x14ac:dyDescent="0.75">
      <c r="P367" s="9">
        <v>353</v>
      </c>
      <c r="Q367" s="9">
        <f t="shared" si="20"/>
        <v>58</v>
      </c>
      <c r="R367" s="9">
        <f t="shared" si="21"/>
        <v>5</v>
      </c>
      <c r="S367" s="14" cm="1">
        <f t="array" ref="S367">INDEX('PS-ConceptMap-1'!$I$15:$N$286,Q367+1,R367)</f>
        <v>0</v>
      </c>
    </row>
    <row r="368" spans="16:19" x14ac:dyDescent="0.75">
      <c r="P368" s="9">
        <v>354</v>
      </c>
      <c r="Q368" s="9">
        <f t="shared" si="20"/>
        <v>58</v>
      </c>
      <c r="R368" s="9">
        <f t="shared" si="21"/>
        <v>6</v>
      </c>
      <c r="S368" s="14" cm="1">
        <f t="array" ref="S368">INDEX('PS-ConceptMap-1'!$I$15:$N$286,Q368+1,R368)</f>
        <v>0</v>
      </c>
    </row>
    <row r="369" spans="16:19" x14ac:dyDescent="0.75">
      <c r="P369" s="9">
        <v>355</v>
      </c>
      <c r="Q369" s="9">
        <f t="shared" si="20"/>
        <v>59</v>
      </c>
      <c r="R369" s="9">
        <f t="shared" si="21"/>
        <v>1</v>
      </c>
      <c r="S369" s="14" cm="1">
        <f t="array" ref="S369">INDEX('PS-ConceptMap-1'!$I$15:$N$286,Q369+1,R369)</f>
        <v>0</v>
      </c>
    </row>
    <row r="370" spans="16:19" x14ac:dyDescent="0.75">
      <c r="P370" s="9">
        <v>356</v>
      </c>
      <c r="Q370" s="9">
        <f t="shared" si="20"/>
        <v>59</v>
      </c>
      <c r="R370" s="9">
        <f t="shared" si="21"/>
        <v>2</v>
      </c>
      <c r="S370" s="14" cm="1">
        <f t="array" ref="S370">INDEX('PS-ConceptMap-1'!$I$15:$N$286,Q370+1,R370)</f>
        <v>0</v>
      </c>
    </row>
    <row r="371" spans="16:19" x14ac:dyDescent="0.75">
      <c r="P371" s="9">
        <v>357</v>
      </c>
      <c r="Q371" s="9">
        <f t="shared" si="20"/>
        <v>59</v>
      </c>
      <c r="R371" s="9">
        <f t="shared" si="21"/>
        <v>3</v>
      </c>
      <c r="S371" s="14" cm="1">
        <f t="array" ref="S371">INDEX('PS-ConceptMap-1'!$I$15:$N$286,Q371+1,R371)</f>
        <v>0</v>
      </c>
    </row>
    <row r="372" spans="16:19" x14ac:dyDescent="0.75">
      <c r="P372" s="9">
        <v>358</v>
      </c>
      <c r="Q372" s="9">
        <f t="shared" si="20"/>
        <v>59</v>
      </c>
      <c r="R372" s="9">
        <f t="shared" si="21"/>
        <v>4</v>
      </c>
      <c r="S372" s="14" cm="1">
        <f t="array" ref="S372">INDEX('PS-ConceptMap-1'!$I$15:$N$286,Q372+1,R372)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 ref="E7" r:id="rId3" xr:uid="{6FE253B3-5B68-4521-A3B1-FE097D22DA8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B4549-C828-478F-9AB1-48431C6444DE}">
  <sheetPr codeName="Foglio77">
    <tabColor theme="0" tint="-0.499984740745262"/>
  </sheetPr>
  <dimension ref="A2:S40"/>
  <sheetViews>
    <sheetView topLeftCell="M30" zoomScale="80" zoomScaleNormal="80" workbookViewId="0">
      <selection activeCell="P41" sqref="P41:S309"/>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900</v>
      </c>
    </row>
    <row r="4" spans="1:19" x14ac:dyDescent="0.75">
      <c r="B4" s="61" t="s">
        <v>19</v>
      </c>
      <c r="C4" s="47" t="s">
        <v>848</v>
      </c>
      <c r="D4" s="61" t="s">
        <v>209</v>
      </c>
      <c r="E4" s="72" t="s">
        <v>901</v>
      </c>
    </row>
    <row r="5" spans="1:19" x14ac:dyDescent="0.75">
      <c r="B5" s="61" t="s">
        <v>13</v>
      </c>
      <c r="C5" s="21" t="s">
        <v>850</v>
      </c>
      <c r="D5" s="61"/>
      <c r="E5" s="10"/>
    </row>
    <row r="6" spans="1:19" ht="29.5" x14ac:dyDescent="0.75">
      <c r="B6" s="61" t="s">
        <v>35</v>
      </c>
      <c r="C6" s="105" t="s">
        <v>900</v>
      </c>
      <c r="D6" s="61" t="s">
        <v>206</v>
      </c>
      <c r="E6" s="164" t="s">
        <v>900</v>
      </c>
      <c r="F6" s="164"/>
      <c r="G6" s="164"/>
    </row>
    <row r="7" spans="1:19" x14ac:dyDescent="0.75">
      <c r="B7" s="61" t="s">
        <v>18</v>
      </c>
      <c r="C7" s="106" t="s">
        <v>540</v>
      </c>
      <c r="D7" s="61" t="s">
        <v>207</v>
      </c>
      <c r="E7" s="165" t="s">
        <v>1308</v>
      </c>
      <c r="F7" s="164"/>
      <c r="G7" s="164"/>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1131</v>
      </c>
      <c r="E14" s="8"/>
      <c r="F14" s="9"/>
      <c r="G14" s="9"/>
      <c r="I14" s="14"/>
      <c r="J14" s="9"/>
      <c r="K14" s="9"/>
      <c r="L14" s="9"/>
      <c r="M14" s="59"/>
      <c r="N14" s="62"/>
    </row>
    <row r="15" spans="1:19" ht="44.25" x14ac:dyDescent="0.75">
      <c r="A15" s="22"/>
      <c r="B15" s="9" t="str">
        <f>PS!B19</f>
        <v>header.additionalInfo</v>
      </c>
      <c r="C15" s="9" t="str">
        <f>PS!C19</f>
        <v>A.1.6 Additional information / Knowledge resources</v>
      </c>
      <c r="D15" s="14" t="s">
        <v>1334</v>
      </c>
      <c r="E15" s="9"/>
      <c r="F15" s="63" t="s">
        <v>193</v>
      </c>
      <c r="G15" s="63"/>
      <c r="H15" s="64"/>
      <c r="I15" s="14" t="str">
        <f>"* group[=].element[+].code = #"&amp;$B$14&amp;"."&amp;B15</f>
        <v>* group[=].element[+].code = #PatientSummary.header.additionalInfo</v>
      </c>
      <c r="J15" s="14" t="str">
        <f t="shared" ref="J15" si="0">"* group[=].element[=].display = ##34#"&amp;C15&amp;"##34#"</f>
        <v>* group[=].element[=].display = ##34#A.1.6 Additional information / Knowledge resources##34#</v>
      </c>
      <c r="K15" s="14" t="str">
        <f>IF(F15="unmatched","//-- unmatched",IF(D15="","* group[=].element[=].target.code = #"&amp;$D$14,"* group[=].element[=].target.code = #"&amp;$D$14&amp;"."&amp;D15))</f>
        <v>* group[=].element[=].target.code = #Condition.extension:supporintInfo</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INDEX('PS-ConceptMap-2'!$I$15:$N$40,Q15+1,R15)</f>
        <v>* group[=].element[+].code = #PatientSummary.header.additionalInfo</v>
      </c>
    </row>
    <row r="16" spans="1:19" ht="88.5" x14ac:dyDescent="0.75">
      <c r="A16" s="22"/>
      <c r="B16" s="9" t="str">
        <f>PS!B20</f>
        <v>header.additionalInfo.reference</v>
      </c>
      <c r="C16" s="9" t="str">
        <f>PS!C20</f>
        <v>A.1.6.1 External reference</v>
      </c>
      <c r="D16" s="14" t="s">
        <v>1334</v>
      </c>
      <c r="E16" s="14"/>
      <c r="F16" s="63" t="s">
        <v>193</v>
      </c>
      <c r="G16" s="91" t="s">
        <v>1335</v>
      </c>
      <c r="H16" s="64"/>
      <c r="I16" s="14" t="str">
        <f t="shared" ref="I16:I17" si="4">"* group[=].element[+].code = #"&amp;$B$14&amp;"."&amp;B16</f>
        <v>* group[=].element[+].code = #PatientSummary.header.additionalInfo.reference</v>
      </c>
      <c r="J16" s="14" t="str">
        <f t="shared" ref="J16:J17" si="5">"* group[=].element[=].display = ##34#"&amp;C16&amp;"##34#"</f>
        <v>* group[=].element[=].display = ##34#A.1.6.1 External reference##34#</v>
      </c>
      <c r="K16" s="14" t="str">
        <f t="shared" ref="K16:K17" si="6">IF(F16="unmatched","//-- unmatched",IF(D16="","* group[=].element[=].target.code = #"&amp;$D$14,"* group[=].element[=].target.code = #"&amp;$D$14&amp;"."&amp;D16))</f>
        <v>* group[=].element[=].target.code = #Condition.extension:supporintInfo</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##34#extension[supporintInfo].resolve().ofType(DocumentReference)##34#</v>
      </c>
      <c r="P16" s="9">
        <v>2</v>
      </c>
      <c r="Q16" s="9">
        <f t="shared" ref="Q16:Q40" si="10">IF(MOD(P16,$Q$8)=0,P16/$Q$8-1,INT(P16/$Q$8))</f>
        <v>0</v>
      </c>
      <c r="R16" s="9">
        <f t="shared" ref="R16:R40" si="11">IF(MOD(P16,$Q$8)=0,$Q$8,MOD(P16,$Q$8))</f>
        <v>2</v>
      </c>
      <c r="S16" s="14" t="str" cm="1">
        <f t="array" ref="S16">INDEX('PS-ConceptMap-2'!$I$15:$N$40,Q16+1,R16)</f>
        <v>* group[=].element[=].display = ##34#A.1.6 Additional information / Knowledge resources##34#</v>
      </c>
    </row>
    <row r="17" spans="2:19" ht="73.75" x14ac:dyDescent="0.75">
      <c r="B17" s="9" t="str">
        <f>PS!B21</f>
        <v>header.additionalInfo.relatedWith</v>
      </c>
      <c r="C17" s="9" t="str">
        <f>PS!C21</f>
        <v>A.1.6.2 Related with</v>
      </c>
      <c r="D17" s="14"/>
      <c r="E17" s="14"/>
      <c r="F17" s="63" t="s">
        <v>193</v>
      </c>
      <c r="G17" s="91" t="s">
        <v>1336</v>
      </c>
      <c r="H17" s="64"/>
      <c r="I17" s="14" t="str">
        <f t="shared" si="4"/>
        <v>* group[=].element[+].code = #PatientSummary.header.additionalInfo.relatedWith</v>
      </c>
      <c r="J17" s="14" t="str">
        <f t="shared" si="5"/>
        <v>* group[=].element[=].display = ##34#A.1.6.2 Related with##34#</v>
      </c>
      <c r="K17" s="14" t="str">
        <f t="shared" si="6"/>
        <v>* group[=].element[=].target.code = #Condition</v>
      </c>
      <c r="L17" s="14" t="str">
        <f t="shared" si="7"/>
        <v>* group[=].element[=].target.display = ##34###34#</v>
      </c>
      <c r="M17" s="14" t="str">
        <f t="shared" si="8"/>
        <v>* group[=].element[=].target.equivalence = #relatedto</v>
      </c>
      <c r="N17" s="14" t="str">
        <f t="shared" si="9"/>
        <v>* group[=].element[=].target.comment = ##34#the containing resource describes the context in this case the Condition##34#</v>
      </c>
      <c r="P17" s="9">
        <v>3</v>
      </c>
      <c r="Q17" s="9">
        <f t="shared" si="10"/>
        <v>0</v>
      </c>
      <c r="R17" s="9">
        <f t="shared" si="11"/>
        <v>3</v>
      </c>
      <c r="S17" s="14" t="str" cm="1">
        <f t="array" ref="S17">INDEX('PS-ConceptMap-2'!$I$15:$N$40,Q17+1,R17)</f>
        <v>* group[=].element[=].target.code = #Condition.extension:supporintInfo</v>
      </c>
    </row>
    <row r="18" spans="2:19" x14ac:dyDescent="0.75">
      <c r="P18" s="9">
        <v>4</v>
      </c>
      <c r="Q18" s="9">
        <f t="shared" si="10"/>
        <v>0</v>
      </c>
      <c r="R18" s="9">
        <f t="shared" si="11"/>
        <v>4</v>
      </c>
      <c r="S18" s="14" t="str" cm="1">
        <f t="array" ref="S18">INDEX('PS-ConceptMap-2'!$I$15:$N$40,Q18+1,R18)</f>
        <v>* group[=].element[=].target.display = ##34###34#</v>
      </c>
    </row>
    <row r="19" spans="2:19" x14ac:dyDescent="0.75">
      <c r="P19" s="9">
        <v>5</v>
      </c>
      <c r="Q19" s="9">
        <f t="shared" si="10"/>
        <v>0</v>
      </c>
      <c r="R19" s="9">
        <f t="shared" si="11"/>
        <v>5</v>
      </c>
      <c r="S19" s="14" t="str" cm="1">
        <f t="array" ref="S19">INDEX('PS-ConceptMap-2'!$I$15:$N$40,Q19+1,R19)</f>
        <v>* group[=].element[=].target.equivalence = #relatedto</v>
      </c>
    </row>
    <row r="20" spans="2:19" x14ac:dyDescent="0.75">
      <c r="P20" s="9">
        <v>6</v>
      </c>
      <c r="Q20" s="9">
        <f t="shared" si="10"/>
        <v>0</v>
      </c>
      <c r="R20" s="9">
        <f t="shared" si="11"/>
        <v>6</v>
      </c>
      <c r="S20" s="14" t="str" cm="1">
        <f t="array" ref="S20">INDEX('PS-ConceptMap-2'!$I$15:$N$40,Q20+1,R20)</f>
        <v/>
      </c>
    </row>
    <row r="21" spans="2:19" x14ac:dyDescent="0.75">
      <c r="P21" s="9">
        <v>7</v>
      </c>
      <c r="Q21" s="9">
        <f t="shared" si="10"/>
        <v>1</v>
      </c>
      <c r="R21" s="9">
        <f t="shared" si="11"/>
        <v>1</v>
      </c>
      <c r="S21" s="14" t="str" cm="1">
        <f t="array" ref="S21">INDEX('PS-ConceptMap-2'!$I$15:$N$40,Q21+1,R21)</f>
        <v>* group[=].element[+].code = #PatientSummary.header.additionalInfo.reference</v>
      </c>
    </row>
    <row r="22" spans="2:19" x14ac:dyDescent="0.75">
      <c r="P22" s="9">
        <v>8</v>
      </c>
      <c r="Q22" s="9">
        <f t="shared" si="10"/>
        <v>1</v>
      </c>
      <c r="R22" s="9">
        <f t="shared" si="11"/>
        <v>2</v>
      </c>
      <c r="S22" s="14" t="str" cm="1">
        <f t="array" ref="S22">INDEX('PS-ConceptMap-2'!$I$15:$N$40,Q22+1,R22)</f>
        <v>* group[=].element[=].display = ##34#A.1.6.1 External reference##34#</v>
      </c>
    </row>
    <row r="23" spans="2:19" x14ac:dyDescent="0.75">
      <c r="P23" s="9">
        <v>9</v>
      </c>
      <c r="Q23" s="9">
        <f t="shared" si="10"/>
        <v>1</v>
      </c>
      <c r="R23" s="9">
        <f t="shared" si="11"/>
        <v>3</v>
      </c>
      <c r="S23" s="14" t="str" cm="1">
        <f t="array" ref="S23">INDEX('PS-ConceptMap-2'!$I$15:$N$40,Q23+1,R23)</f>
        <v>* group[=].element[=].target.code = #Condition.extension:supporintInfo</v>
      </c>
    </row>
    <row r="24" spans="2:19" x14ac:dyDescent="0.75">
      <c r="P24" s="9">
        <v>10</v>
      </c>
      <c r="Q24" s="9">
        <f t="shared" si="10"/>
        <v>1</v>
      </c>
      <c r="R24" s="9">
        <f t="shared" si="11"/>
        <v>4</v>
      </c>
      <c r="S24" s="14" t="str" cm="1">
        <f t="array" ref="S24">INDEX('PS-ConceptMap-2'!$I$15:$N$40,Q24+1,R24)</f>
        <v>* group[=].element[=].target.display = ##34###34#</v>
      </c>
    </row>
    <row r="25" spans="2:19" x14ac:dyDescent="0.75">
      <c r="P25" s="9">
        <v>11</v>
      </c>
      <c r="Q25" s="9">
        <f t="shared" si="10"/>
        <v>1</v>
      </c>
      <c r="R25" s="9">
        <f t="shared" si="11"/>
        <v>5</v>
      </c>
      <c r="S25" s="14" t="str" cm="1">
        <f t="array" ref="S25">INDEX('PS-ConceptMap-2'!$I$15:$N$40,Q25+1,R25)</f>
        <v>* group[=].element[=].target.equivalence = #relatedto</v>
      </c>
    </row>
    <row r="26" spans="2:19" x14ac:dyDescent="0.75">
      <c r="P26" s="9">
        <v>12</v>
      </c>
      <c r="Q26" s="9">
        <f t="shared" si="10"/>
        <v>1</v>
      </c>
      <c r="R26" s="9">
        <f t="shared" si="11"/>
        <v>6</v>
      </c>
      <c r="S26" s="14" t="str" cm="1">
        <f t="array" ref="S26">INDEX('PS-ConceptMap-2'!$I$15:$N$40,Q26+1,R26)</f>
        <v>* group[=].element[=].target.comment = ##34#extension[supporintInfo].resolve().ofType(DocumentReference)##34#</v>
      </c>
    </row>
    <row r="27" spans="2:19" x14ac:dyDescent="0.75">
      <c r="P27" s="9">
        <v>13</v>
      </c>
      <c r="Q27" s="9">
        <f t="shared" si="10"/>
        <v>2</v>
      </c>
      <c r="R27" s="9">
        <f t="shared" si="11"/>
        <v>1</v>
      </c>
      <c r="S27" s="14" t="str" cm="1">
        <f t="array" ref="S27">INDEX('PS-ConceptMap-2'!$I$15:$N$40,Q27+1,R27)</f>
        <v>* group[=].element[+].code = #PatientSummary.header.additionalInfo.relatedWith</v>
      </c>
    </row>
    <row r="28" spans="2:19" x14ac:dyDescent="0.75">
      <c r="P28" s="9">
        <v>14</v>
      </c>
      <c r="Q28" s="9">
        <f t="shared" si="10"/>
        <v>2</v>
      </c>
      <c r="R28" s="9">
        <f t="shared" si="11"/>
        <v>2</v>
      </c>
      <c r="S28" s="14" t="str" cm="1">
        <f t="array" ref="S28">INDEX('PS-ConceptMap-2'!$I$15:$N$40,Q28+1,R28)</f>
        <v>* group[=].element[=].display = ##34#A.1.6.2 Related with##34#</v>
      </c>
    </row>
    <row r="29" spans="2:19" x14ac:dyDescent="0.75">
      <c r="P29" s="9">
        <v>15</v>
      </c>
      <c r="Q29" s="9">
        <f t="shared" si="10"/>
        <v>2</v>
      </c>
      <c r="R29" s="9">
        <f t="shared" si="11"/>
        <v>3</v>
      </c>
      <c r="S29" s="14" t="str" cm="1">
        <f t="array" ref="S29">INDEX('PS-ConceptMap-2'!$I$15:$N$40,Q29+1,R29)</f>
        <v>* group[=].element[=].target.code = #Condition</v>
      </c>
    </row>
    <row r="30" spans="2:19" x14ac:dyDescent="0.75">
      <c r="P30" s="9">
        <v>16</v>
      </c>
      <c r="Q30" s="9">
        <f t="shared" si="10"/>
        <v>2</v>
      </c>
      <c r="R30" s="9">
        <f t="shared" si="11"/>
        <v>4</v>
      </c>
      <c r="S30" s="14" t="str" cm="1">
        <f t="array" ref="S30">INDEX('PS-ConceptMap-2'!$I$15:$N$40,Q30+1,R30)</f>
        <v>* group[=].element[=].target.display = ##34###34#</v>
      </c>
    </row>
    <row r="31" spans="2:19" x14ac:dyDescent="0.75">
      <c r="P31" s="9">
        <v>17</v>
      </c>
      <c r="Q31" s="9">
        <f t="shared" si="10"/>
        <v>2</v>
      </c>
      <c r="R31" s="9">
        <f t="shared" si="11"/>
        <v>5</v>
      </c>
      <c r="S31" s="14" t="str" cm="1">
        <f t="array" ref="S31">INDEX('PS-ConceptMap-2'!$I$15:$N$40,Q31+1,R31)</f>
        <v>* group[=].element[=].target.equivalence = #relatedto</v>
      </c>
    </row>
    <row r="32" spans="2:19" x14ac:dyDescent="0.75">
      <c r="P32" s="9">
        <v>18</v>
      </c>
      <c r="Q32" s="9">
        <f t="shared" si="10"/>
        <v>2</v>
      </c>
      <c r="R32" s="9">
        <f t="shared" si="11"/>
        <v>6</v>
      </c>
      <c r="S32" s="14" t="str" cm="1">
        <f t="array" ref="S32">INDEX('PS-ConceptMap-2'!$I$15:$N$40,Q32+1,R32)</f>
        <v>* group[=].element[=].target.comment = ##34#the containing resource describes the context in this case the Condition##34#</v>
      </c>
    </row>
    <row r="33" spans="16:19" x14ac:dyDescent="0.75">
      <c r="P33" s="9">
        <v>19</v>
      </c>
      <c r="Q33" s="9">
        <f t="shared" si="10"/>
        <v>3</v>
      </c>
      <c r="R33" s="9">
        <f t="shared" si="11"/>
        <v>1</v>
      </c>
      <c r="S33" s="14" cm="1">
        <f t="array" ref="S33">INDEX('PS-ConceptMap-2'!$I$15:$N$40,Q33+1,R33)</f>
        <v>0</v>
      </c>
    </row>
    <row r="34" spans="16:19" x14ac:dyDescent="0.75">
      <c r="P34" s="9">
        <v>20</v>
      </c>
      <c r="Q34" s="9">
        <f t="shared" si="10"/>
        <v>3</v>
      </c>
      <c r="R34" s="9">
        <f t="shared" si="11"/>
        <v>2</v>
      </c>
      <c r="S34" s="14" cm="1">
        <f t="array" ref="S34">INDEX('PS-ConceptMap-2'!$I$15:$N$40,Q34+1,R34)</f>
        <v>0</v>
      </c>
    </row>
    <row r="35" spans="16:19" x14ac:dyDescent="0.75">
      <c r="P35" s="9">
        <v>21</v>
      </c>
      <c r="Q35" s="9">
        <f t="shared" si="10"/>
        <v>3</v>
      </c>
      <c r="R35" s="9">
        <f t="shared" si="11"/>
        <v>3</v>
      </c>
      <c r="S35" s="14" cm="1">
        <f t="array" ref="S35">INDEX('PS-ConceptMap-2'!$I$15:$N$40,Q35+1,R35)</f>
        <v>0</v>
      </c>
    </row>
    <row r="36" spans="16:19" x14ac:dyDescent="0.75">
      <c r="P36" s="9">
        <v>22</v>
      </c>
      <c r="Q36" s="9">
        <f t="shared" si="10"/>
        <v>3</v>
      </c>
      <c r="R36" s="9">
        <f t="shared" si="11"/>
        <v>4</v>
      </c>
      <c r="S36" s="14" cm="1">
        <f t="array" ref="S36">INDEX('PS-ConceptMap-2'!$I$15:$N$40,Q36+1,R36)</f>
        <v>0</v>
      </c>
    </row>
    <row r="37" spans="16:19" x14ac:dyDescent="0.75">
      <c r="P37" s="9">
        <v>23</v>
      </c>
      <c r="Q37" s="9">
        <f t="shared" si="10"/>
        <v>3</v>
      </c>
      <c r="R37" s="9">
        <f t="shared" si="11"/>
        <v>5</v>
      </c>
      <c r="S37" s="14" cm="1">
        <f t="array" ref="S37">INDEX('PS-ConceptMap-2'!$I$15:$N$40,Q37+1,R37)</f>
        <v>0</v>
      </c>
    </row>
    <row r="38" spans="16:19" x14ac:dyDescent="0.75">
      <c r="P38" s="9">
        <v>24</v>
      </c>
      <c r="Q38" s="9">
        <f t="shared" si="10"/>
        <v>3</v>
      </c>
      <c r="R38" s="9">
        <f t="shared" si="11"/>
        <v>6</v>
      </c>
      <c r="S38" s="14" cm="1">
        <f t="array" ref="S38">INDEX('PS-ConceptMap-2'!$I$15:$N$40,Q38+1,R38)</f>
        <v>0</v>
      </c>
    </row>
    <row r="39" spans="16:19" x14ac:dyDescent="0.75">
      <c r="P39" s="9">
        <v>25</v>
      </c>
      <c r="Q39" s="9">
        <f t="shared" si="10"/>
        <v>4</v>
      </c>
      <c r="R39" s="9">
        <f t="shared" si="11"/>
        <v>1</v>
      </c>
      <c r="S39" s="14" cm="1">
        <f t="array" ref="S39">INDEX('PS-ConceptMap-2'!$I$15:$N$40,Q39+1,R39)</f>
        <v>0</v>
      </c>
    </row>
    <row r="40" spans="16:19" x14ac:dyDescent="0.75">
      <c r="P40" s="9">
        <v>26</v>
      </c>
      <c r="Q40" s="9">
        <f t="shared" si="10"/>
        <v>4</v>
      </c>
      <c r="R40" s="9">
        <f t="shared" si="11"/>
        <v>2</v>
      </c>
      <c r="S40" s="14" cm="1">
        <f t="array" ref="S40">INDEX('PS-ConceptMap-2'!$I$15:$N$40,Q40+1,R40)</f>
        <v>0</v>
      </c>
    </row>
  </sheetData>
  <mergeCells count="2">
    <mergeCell ref="E6:G6"/>
    <mergeCell ref="E7:G7"/>
  </mergeCells>
  <hyperlinks>
    <hyperlink ref="C6" r:id="rId1" display="http://hl7.eu/fhir/laboratory/StructureDefinition/LabReport" xr:uid="{045FE3A8-9356-4316-BB52-696D70E0E325}"/>
    <hyperlink ref="E4" r:id="rId2" display="http://hl7.eu/fhir/laboratory/StructureDefinition/Bundle-eu-lab" xr:uid="{DE9669A6-4764-4A9A-9A43-EED043E56A71}"/>
    <hyperlink ref="E7" r:id="rId3" xr:uid="{CA6EE17A-D9B1-439F-87CD-AB747DD4223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39"/>
  <sheetViews>
    <sheetView tabSelected="1" workbookViewId="0">
      <selection activeCell="B316" sqref="B316:B3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##34#http://hl7.eu/fhir/ig/xpandh/ps/StructureDefinition/Composition-ps-xpandh##34#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ht="44.25"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##34#If it represents the period of time this Patient Summary is covering##34#</v>
      </c>
    </row>
    <row r="62" spans="2:2" x14ac:dyDescent="0.75">
      <c r="B62" s="14" t="str">
        <f>IF('PS-ConceptMap-1'!S57=0,"//---END",'PS-ConceptMap-1'!S57)</f>
        <v>* group[=].element[+].code = #PatientSummary.header.documentData.lastUpdate</v>
      </c>
    </row>
    <row r="63" spans="2:2" x14ac:dyDescent="0.75">
      <c r="B63" s="14" t="str">
        <f>IF('PS-ConceptMap-1'!S58=0,"//---END",'PS-ConceptMap-1'!S58)</f>
        <v>* group[=].element[=].display = ##34#A.1.4.2 Date of last update##34#</v>
      </c>
    </row>
    <row r="64" spans="2:2" x14ac:dyDescent="0.75">
      <c r="B64" s="14" t="str">
        <f>IF('PS-ConceptMap-1'!S59=0,"//---END",'PS-ConceptMap-1'!S59)</f>
        <v>* group[=].element[=].target.code = #Composition.meta.lastUpdated</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group[=].element[=].target.comment = ##34#If it represents the last update of this FHIR resource##34#</v>
      </c>
    </row>
    <row r="68" spans="2:4" x14ac:dyDescent="0.75">
      <c r="B68" s="14" t="str">
        <f>IF('PS-ConceptMap-1'!S63=0,"//---END",'PS-ConceptMap-1'!S63)</f>
        <v>* group[=].element[+].code = #PatientSummary.header.documentData.natureOfIPS</v>
      </c>
    </row>
    <row r="69" spans="2:4" x14ac:dyDescent="0.75">
      <c r="B69" s="14" t="str">
        <f>IF('PS-ConceptMap-1'!S64=0,"//---END",'PS-ConceptMap-1'!S64)</f>
        <v>* group[=].element[=].display = ##34#A.1.4.3 Nature of the PS##34#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ht="29.5" x14ac:dyDescent="0.75">
      <c r="B73" s="14" t="str">
        <f>IF('PS-ConceptMap-1'!S68=0,"//---END",'PS-ConceptMap-1'!S68)</f>
        <v>* group[=].element[=].target.comment = ##34#the nature of a PS is determined as a comobination of type if author and legal authenticator. Future versions may cosndier to use Provenance data for this scope##34#</v>
      </c>
    </row>
    <row r="74" spans="2:4" x14ac:dyDescent="0.75">
      <c r="B74" s="14" t="str">
        <f>IF('PS-ConceptMap-1'!S69=0,"//---END",'PS-ConceptMap-1'!S69)</f>
        <v>* group[=].element[+].code = #PatientSummary.header.participant</v>
      </c>
    </row>
    <row r="75" spans="2:4" x14ac:dyDescent="0.75">
      <c r="B75" s="14" t="str">
        <f>IF('PS-ConceptMap-1'!S70=0,"//---END",'PS-ConceptMap-1'!S70)</f>
        <v>* group[=].element[=].display = ##34#A.1.5 Author and Organisation##34#</v>
      </c>
    </row>
    <row r="76" spans="2:4" x14ac:dyDescent="0.75">
      <c r="B76" s="14" t="str">
        <f>IF('PS-ConceptMap-1'!S71=0,"//---END",'PS-ConceptMap-1'!S71)</f>
        <v>* group[=].element[=].target.code = #Composition</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c>
    </row>
    <row r="80" spans="2:4" x14ac:dyDescent="0.75">
      <c r="B80" s="14" t="str">
        <f>IF('PS-ConceptMap-1'!S75=0,"//---END",'PS-ConceptMap-1'!S75)</f>
        <v>* group[=].element[+].code = #PatientSummary.header.participant.author</v>
      </c>
    </row>
    <row r="81" spans="2:2" x14ac:dyDescent="0.75">
      <c r="B81" s="14" t="str">
        <f>IF('PS-ConceptMap-1'!S76=0,"//---END",'PS-ConceptMap-1'!S76)</f>
        <v>* group[=].element[=].display = ##34#A.1.5.1 Author organization##34#</v>
      </c>
    </row>
    <row r="82" spans="2:2" x14ac:dyDescent="0.75">
      <c r="B82" s="14" t="str">
        <f>IF('PS-ConceptMap-1'!S77=0,"//---END",'PS-ConceptMap-1'!S77)</f>
        <v>* group[=].element[=].target.code = #Composition.author</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group[=].element[=].target.comment = ##34#author can be of type Organziation, Pracitctioner or PractictionerRole##34#</v>
      </c>
    </row>
    <row r="86" spans="2:2" x14ac:dyDescent="0.75">
      <c r="B86" s="14" t="str">
        <f>IF('PS-ConceptMap-1'!S81=0,"//---END",'PS-ConceptMap-1'!S81)</f>
        <v>* group[=].element[+].code = #PatientSummary.header.participant.legalAuth</v>
      </c>
    </row>
    <row r="87" spans="2:2" x14ac:dyDescent="0.75">
      <c r="B87" s="14" t="str">
        <f>IF('PS-ConceptMap-1'!S82=0,"//---END",'PS-ConceptMap-1'!S82)</f>
        <v>* group[=].element[=].display = ##34#A.1.5.2 Legal authenticator##34#</v>
      </c>
    </row>
    <row r="88" spans="2:2" x14ac:dyDescent="0.75">
      <c r="B88" s="14" t="str">
        <f>IF('PS-ConceptMap-1'!S83=0,"//---END",'PS-ConceptMap-1'!S83)</f>
        <v>* group[=].element[=].target.code = #Composition.attester</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##34#attester.mode = 'legal'##34#</v>
      </c>
    </row>
    <row r="92" spans="2:2" x14ac:dyDescent="0.75">
      <c r="B92" s="14" t="str">
        <f>IF('PS-ConceptMap-1'!S87=0,"//---END",'PS-ConceptMap-1'!S87)</f>
        <v>* group[=].element[+].code = #PatientSummary.header.additionalInfo</v>
      </c>
    </row>
    <row r="93" spans="2:2" x14ac:dyDescent="0.75">
      <c r="B93" s="14" t="str">
        <f>IF('PS-ConceptMap-1'!S88=0,"//---END",'PS-ConceptMap-1'!S88)</f>
        <v>* group[=].element[=].display = ##34#A.1.6 Additional information / Knowledge resources##34#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#PatientSummary.header.additionalInfo.reference</v>
      </c>
    </row>
    <row r="99" spans="2:2" x14ac:dyDescent="0.75">
      <c r="B99" s="14" t="str">
        <f>IF('PS-ConceptMap-1'!S94=0,"//---END",'PS-ConceptMap-1'!S94)</f>
        <v>* group[=].element[=].display = ##34#A.1.6.1 External reference##34#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#PatientSummary.header.additionalInfo.relatedWith</v>
      </c>
    </row>
    <row r="105" spans="2:2" x14ac:dyDescent="0.75">
      <c r="B105" s="14" t="str">
        <f>IF('PS-ConceptMap-1'!S100=0,"//---END",'PS-ConceptMap-1'!S100)</f>
        <v>* group[=].element[=].display = ##34#A.1.6.2 Related with##34#</v>
      </c>
    </row>
    <row r="106" spans="2:2" x14ac:dyDescent="0.75">
      <c r="B106" s="14" t="str">
        <f>IF('PS-ConceptMap-1'!S101=0,"//---END",'PS-ConceptMap-1'!S101)</f>
        <v>//-- unmatched</v>
      </c>
    </row>
    <row r="107" spans="2:2" x14ac:dyDescent="0.75">
      <c r="B107" s="14" t="str">
        <f>IF('PS-ConceptMap-1'!S102=0,"//---END",'PS-ConceptMap-1'!S102)</f>
        <v>//-- unmatched</v>
      </c>
    </row>
    <row r="108" spans="2:2" x14ac:dyDescent="0.75">
      <c r="B108" s="14" t="str">
        <f>IF('PS-ConceptMap-1'!S103=0,"//---END",'PS-ConceptMap-1'!S103)</f>
        <v>* group[=].element[=].target.equivalence = #unmatched</v>
      </c>
    </row>
    <row r="109" spans="2:2" x14ac:dyDescent="0.75">
      <c r="B109" s="14" t="str">
        <f>IF('PS-ConceptMap-1'!S104=0,"//---END",'PS-ConceptMap-1'!S104)</f>
        <v>* group[=].element[=].target.comment = ##34#Covered by other resources##34#</v>
      </c>
    </row>
    <row r="110" spans="2:2" x14ac:dyDescent="0.75">
      <c r="B110" s="14" t="str">
        <f>IF('PS-ConceptMap-1'!S105=0,"//---END",'PS-ConceptMap-1'!S105)</f>
        <v>* group[=].element[+].code = #PatientSummary.body</v>
      </c>
    </row>
    <row r="111" spans="2:2" x14ac:dyDescent="0.75">
      <c r="B111" s="14" t="str">
        <f>IF('PS-ConceptMap-1'!S106=0,"//---END",'PS-ConceptMap-1'!S106)</f>
        <v>* group[=].element[=].display = ##34#A.2 Patient summary body data elements##34#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v>
      </c>
    </row>
    <row r="117" spans="2:2" x14ac:dyDescent="0.75">
      <c r="B117" s="14" t="str">
        <f>IF('PS-ConceptMap-1'!S112=0,"//---END",'PS-ConceptMap-1'!S112)</f>
        <v>* group[=].element[=].display = ##34#A.2.1 Alerts##34#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#PatientSummary.body.alerts.allergy</v>
      </c>
    </row>
    <row r="123" spans="2:2" x14ac:dyDescent="0.75">
      <c r="B123" s="14" t="str">
        <f>IF('PS-ConceptMap-1'!S118=0,"//---END",'PS-ConceptMap-1'!S118)</f>
        <v>* group[=].element[=].display = ##34#A.2.1.1 Allergy##34#</v>
      </c>
    </row>
    <row r="124" spans="2:2" x14ac:dyDescent="0.75">
      <c r="B124" s="14" t="str">
        <f>IF('PS-ConceptMap-1'!S119=0,"//---END",'PS-ConceptMap-1'!S119)</f>
        <v>* group[=].element[=].target.code = #Composition.section:sectionAllergies</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v>
      </c>
    </row>
    <row r="129" spans="2:2" x14ac:dyDescent="0.75">
      <c r="B129" s="14" t="str">
        <f>IF('PS-ConceptMap-1'!S124=0,"//---END",'PS-ConceptMap-1'!S124)</f>
        <v>* group[=].element[=].display = ##34#A.2.1.2 Medical alert information (other alerts not included in allergies)##34#</v>
      </c>
    </row>
    <row r="130" spans="2:2" x14ac:dyDescent="0.75">
      <c r="B130" s="14" t="str">
        <f>IF('PS-ConceptMap-1'!S125=0,"//---END",'PS-ConceptMap-1'!S125)</f>
        <v>* group[=].element[=].target.code = #Composition.section:sectionAlert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group[=].element[=].target.comment = ##34#Common textual descirption##34#</v>
      </c>
    </row>
    <row r="140" spans="2:2" x14ac:dyDescent="0.75">
      <c r="B140" s="14" t="str">
        <f>IF('PS-ConceptMap-1'!S135=0,"//---END",'PS-ConceptMap-1'!S135)</f>
        <v>* group[=].element[+].code = #PatientSummary.body.alerts.alert.description</v>
      </c>
    </row>
    <row r="141" spans="2:2" x14ac:dyDescent="0.75">
      <c r="B141" s="14" t="str">
        <f>IF('PS-ConceptMap-1'!S136=0,"//---END",'PS-ConceptMap-1'!S136)</f>
        <v>* group[=].element[=].display = ##34#A.2.1.2.1 Healthcare alert description##34#</v>
      </c>
    </row>
    <row r="142" spans="2:2" x14ac:dyDescent="0.75">
      <c r="B142" s="14" t="str">
        <f>IF('PS-ConceptMap-1'!S137=0,"//---END",'PS-ConceptMap-1'!S137)</f>
        <v>* group[=].element[=].target.code = #Composition.section:sectionAlert.entry.code.text</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group[=].element[=].target.comment = ##34#entry level description##34#</v>
      </c>
    </row>
    <row r="146" spans="2:2" x14ac:dyDescent="0.75">
      <c r="B146" s="14" t="str">
        <f>IF('PS-ConceptMap-1'!S141=0,"//---END",'PS-ConceptMap-1'!S141)</f>
        <v>* group[=].element[+].code = #PatientSummary.body.medicalHistory</v>
      </c>
    </row>
    <row r="147" spans="2:2" x14ac:dyDescent="0.75">
      <c r="B147" s="14" t="str">
        <f>IF('PS-ConceptMap-1'!S142=0,"//---END",'PS-ConceptMap-1'!S142)</f>
        <v>* group[=].element[=].display = ##34#A.2.2 Medical history##34#</v>
      </c>
    </row>
    <row r="148" spans="2:2" x14ac:dyDescent="0.75">
      <c r="B148" s="14" t="str">
        <f>IF('PS-ConceptMap-1'!S143=0,"//---END",'PS-ConceptMap-1'!S143)</f>
        <v>* group[=].element[=].target.code = #Composition.section</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#PatientSummary.body.medicalHistory.vaccination</v>
      </c>
    </row>
    <row r="153" spans="2:2" x14ac:dyDescent="0.75">
      <c r="B153" s="14" t="str">
        <f>IF('PS-ConceptMap-1'!S148=0,"//---END",'PS-ConceptMap-1'!S148)</f>
        <v>* group[=].element[=].display = ##34#A.2.2.1 Vaccination/ prophylaxis information##34#</v>
      </c>
    </row>
    <row r="154" spans="2:2" x14ac:dyDescent="0.75">
      <c r="B154" s="14" t="str">
        <f>IF('PS-ConceptMap-1'!S149=0,"//---END",'PS-ConceptMap-1'!S149)</f>
        <v>* group[=].element[=].target.code = #Composition.section:sectionImmunizations</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#PatientSummary.body.medicalHistory.inactiveProblem</v>
      </c>
    </row>
    <row r="159" spans="2:2" x14ac:dyDescent="0.75">
      <c r="B159" s="14" t="str">
        <f>IF('PS-ConceptMap-1'!S154=0,"//---END",'PS-ConceptMap-1'!S154)</f>
        <v>* group[=].element[=].display = ##34#A.2.2.2 Resolved, closed or inactive problems##34#</v>
      </c>
    </row>
    <row r="160" spans="2:2" x14ac:dyDescent="0.75">
      <c r="B160" s="14" t="str">
        <f>IF('PS-ConceptMap-1'!S155=0,"//---END",'PS-ConceptMap-1'!S155)</f>
        <v>* group[=].element[=].target.code = #Composition.section:sectionPastIllnessHx</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#PatientSummary.body.medicalHistory.anamnesis</v>
      </c>
    </row>
    <row r="165" spans="2:2" x14ac:dyDescent="0.75">
      <c r="B165" s="14" t="str">
        <f>IF('PS-ConceptMap-1'!S160=0,"//---END",'PS-ConceptMap-1'!S160)</f>
        <v>* group[=].element[=].display = ##34#A.2.2.3 Medical history##34#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#PatientSummary.body.medicalHistory.anamnesis.details</v>
      </c>
    </row>
    <row r="171" spans="2:2" x14ac:dyDescent="0.75">
      <c r="B171" s="14" t="str">
        <f>IF('PS-ConceptMap-1'!S166=0,"//---END",'PS-ConceptMap-1'!S166)</f>
        <v>* group[=].element[=].display = ##34#A.2.2.3.1 Medical history##34#</v>
      </c>
    </row>
    <row r="172" spans="2:2" x14ac:dyDescent="0.75">
      <c r="B172" s="14" t="str">
        <f>IF('PS-ConceptMap-1'!S167=0,"//---END",'PS-ConceptMap-1'!S167)</f>
        <v>* group[=].element[=].target.code = #Composition.section:section:sectionPatientHx</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v>
      </c>
    </row>
    <row r="177" spans="2:2" x14ac:dyDescent="0.75">
      <c r="B177" s="14" t="str">
        <f>IF('PS-ConceptMap-1'!S172=0,"//---END",'PS-ConceptMap-1'!S172)</f>
        <v>* group[=].element[=].display = ##34#A.2.3 Medical problems##34#</v>
      </c>
    </row>
    <row r="178" spans="2:2" x14ac:dyDescent="0.75">
      <c r="B178" s="14" t="str">
        <f>IF('PS-ConceptMap-1'!S173=0,"//---END",'PS-ConceptMap-1'!S173)</f>
        <v>* group[=].element[=].target.code = #Composition.section</v>
      </c>
    </row>
    <row r="179" spans="2:2" x14ac:dyDescent="0.75">
      <c r="B179" s="14" t="str">
        <f>IF('PS-ConceptMap-1'!S174=0,"//---END",'PS-ConceptMap-1'!S174)</f>
        <v>* group[=].element[=].target.display = ##34###34#</v>
      </c>
    </row>
    <row r="180" spans="2:2" x14ac:dyDescent="0.75">
      <c r="B180" s="14" t="str">
        <f>IF('PS-ConceptMap-1'!S175=0,"//---END",'PS-ConceptMap-1'!S175)</f>
        <v>* group[=].element[=].target.equivalence = #relatedto</v>
      </c>
    </row>
    <row r="181" spans="2:2" x14ac:dyDescent="0.75">
      <c r="B181" s="14" t="str">
        <f>IF('PS-ConceptMap-1'!S176=0,"//---END",'PS-ConceptMap-1'!S176)</f>
        <v/>
      </c>
    </row>
    <row r="182" spans="2:2" x14ac:dyDescent="0.75">
      <c r="B182" s="14" t="str">
        <f>IF('PS-ConceptMap-1'!S177=0,"//---END",'PS-ConceptMap-1'!S177)</f>
        <v>* group[=].element[+].code = #PatientSummary.body.medicalProblems.problems</v>
      </c>
    </row>
    <row r="183" spans="2:2" x14ac:dyDescent="0.75">
      <c r="B183" s="14" t="str">
        <f>IF('PS-ConceptMap-1'!S178=0,"//---END",'PS-ConceptMap-1'!S178)</f>
        <v>* group[=].element[=].display = ##34#A.2.3.1 Current problems##34#</v>
      </c>
    </row>
    <row r="184" spans="2:2" x14ac:dyDescent="0.75">
      <c r="B184" s="14" t="str">
        <f>IF('PS-ConceptMap-1'!S179=0,"//---END",'PS-ConceptMap-1'!S179)</f>
        <v>* group[=].element[=].target.code = #Composition.section:section:sectionProblems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#PatientSummary.body.medicalProblems.medicalDevices</v>
      </c>
    </row>
    <row r="189" spans="2:2" x14ac:dyDescent="0.75">
      <c r="B189" s="14" t="str">
        <f>IF('PS-ConceptMap-1'!S184=0,"//---END",'PS-ConceptMap-1'!S184)</f>
        <v>* group[=].element[=].display = ##34#A.2.3.2 Medical devices and implants##34#</v>
      </c>
    </row>
    <row r="190" spans="2:2" x14ac:dyDescent="0.75">
      <c r="B190" s="14" t="str">
        <f>IF('PS-ConceptMap-1'!S185=0,"//---END",'PS-ConceptMap-1'!S185)</f>
        <v>* group[=].element[=].target.code = #Composition.section:sectionMedicalDevices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#PatientSummary.body.medicalProblems.procedures</v>
      </c>
    </row>
    <row r="195" spans="2:2" x14ac:dyDescent="0.75">
      <c r="B195" s="14" t="str">
        <f>IF('PS-ConceptMap-1'!S190=0,"//---END",'PS-ConceptMap-1'!S190)</f>
        <v>* group[=].element[=].display = ##34#A.2.3.3 Procedures##34#</v>
      </c>
    </row>
    <row r="196" spans="2:2" x14ac:dyDescent="0.75">
      <c r="B196" s="14" t="str">
        <f>IF('PS-ConceptMap-1'!S191=0,"//---END",'PS-ConceptMap-1'!S191)</f>
        <v>* group[=].element[=].target.code = #Composition.section:sectionProceduresHx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#PatientSummary.body.medicalProblems.functionalStatus</v>
      </c>
    </row>
    <row r="201" spans="2:2" x14ac:dyDescent="0.75">
      <c r="B201" s="14" t="str">
        <f>IF('PS-ConceptMap-1'!S196=0,"//---END",'PS-ConceptMap-1'!S196)</f>
        <v>* group[=].element[=].display = ##34#A.2.3.4 Functional status##34#</v>
      </c>
    </row>
    <row r="202" spans="2:2" x14ac:dyDescent="0.75">
      <c r="B202" s="14" t="str">
        <f>IF('PS-ConceptMap-1'!S197=0,"//---END",'PS-ConceptMap-1'!S197)</f>
        <v>* group[=].element[=].target.code = #Composition.section:sectionFunctionalStatus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v>
      </c>
    </row>
    <row r="207" spans="2:2" x14ac:dyDescent="0.75">
      <c r="B207" s="14" t="str">
        <f>IF('PS-ConceptMap-1'!S202=0,"//---END",'PS-ConceptMap-1'!S202)</f>
        <v>* group[=].element[=].display = ##34#A.2.4 Medication summary##34#</v>
      </c>
    </row>
    <row r="208" spans="2:2" x14ac:dyDescent="0.75">
      <c r="B208" s="14" t="str">
        <f>IF('PS-ConceptMap-1'!S203=0,"//---END",'PS-ConceptMap-1'!S203)</f>
        <v>* group[=].element[=].target.code = #Composition.section:sectionMedications</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#PatientSummary.body.medicationSummary.medication</v>
      </c>
    </row>
    <row r="213" spans="2:2" x14ac:dyDescent="0.75">
      <c r="B213" s="14" t="str">
        <f>IF('PS-ConceptMap-1'!S208=0,"//---END",'PS-ConceptMap-1'!S208)</f>
        <v>* group[=].element[=].display = ##34#A.2.4.1 Current and relevant past medicines##34#</v>
      </c>
    </row>
    <row r="214" spans="2:2" x14ac:dyDescent="0.75">
      <c r="B214" s="14" t="str">
        <f>IF('PS-ConceptMap-1'!S209=0,"//---END",'PS-ConceptMap-1'!S209)</f>
        <v>* group[=].element[=].target.code = #Composition.section:sectionMedications.entry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v>
      </c>
    </row>
    <row r="219" spans="2:2" x14ac:dyDescent="0.75">
      <c r="B219" s="14" t="str">
        <f>IF('PS-ConceptMap-1'!S214=0,"//---END",'PS-ConceptMap-1'!S214)</f>
        <v>* group[=].element[=].display = ##34#A.2.5 Social history##34#</v>
      </c>
    </row>
    <row r="220" spans="2:2" x14ac:dyDescent="0.75">
      <c r="B220" s="14" t="str">
        <f>IF('PS-ConceptMap-1'!S215=0,"//---END",'PS-ConceptMap-1'!S215)</f>
        <v>* group[=].element[=].target.code = #Composition.section:sectionSocialHistory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#PatientSummary.body.socialHistory.observation</v>
      </c>
    </row>
    <row r="225" spans="2:2" x14ac:dyDescent="0.75">
      <c r="B225" s="14" t="str">
        <f>IF('PS-ConceptMap-1'!S220=0,"//---END",'PS-ConceptMap-1'!S220)</f>
        <v>* group[=].element[=].display = ##34#A.2.5.1 Social history observations related to health##34#</v>
      </c>
    </row>
    <row r="226" spans="2:2" x14ac:dyDescent="0.75">
      <c r="B226" s="14" t="str">
        <f>IF('PS-ConceptMap-1'!S221=0,"//---END",'PS-ConceptMap-1'!S221)</f>
        <v>* group[=].element[=].target.code = #Composition.section:sectionSocialHistory.entry</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#PatientSummary.body.socialHistory.referenceRange</v>
      </c>
    </row>
    <row r="231" spans="2:2" x14ac:dyDescent="0.75">
      <c r="B231" s="14" t="str">
        <f>IF('PS-ConceptMap-1'!S226=0,"//---END",'PS-ConceptMap-1'!S226)</f>
        <v>* group[=].element[=].display = ##34#A.2.5.2 Reference date range##34#</v>
      </c>
    </row>
    <row r="232" spans="2:2" x14ac:dyDescent="0.75">
      <c r="B232" s="14" t="str">
        <f>IF('PS-ConceptMap-1'!S227=0,"//---END",'PS-ConceptMap-1'!S227)</f>
        <v>* group[=].element[=].target.code = #Composition.section:sectionSocialHistory.entry.effective[x]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#PatientSummary.body.pregnancyHistory</v>
      </c>
    </row>
    <row r="237" spans="2:2" x14ac:dyDescent="0.75">
      <c r="B237" s="14" t="str">
        <f>IF('PS-ConceptMap-1'!S232=0,"//---END",'PS-ConceptMap-1'!S232)</f>
        <v>* group[=].element[=].display = ##34#A.2.6 Pregnancy history##34#</v>
      </c>
    </row>
    <row r="238" spans="2:2" x14ac:dyDescent="0.75">
      <c r="B238" s="14" t="str">
        <f>IF('PS-ConceptMap-1'!S233=0,"//---END",'PS-ConceptMap-1'!S233)</f>
        <v>* group[=].element[=].target.code = #Composition.section:sectionPregnancyHx</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#PatientSummary.body.patientData</v>
      </c>
    </row>
    <row r="243" spans="2:2" x14ac:dyDescent="0.75">
      <c r="B243" s="14" t="str">
        <f>IF('PS-ConceptMap-1'!S238=0,"//---END",'PS-ConceptMap-1'!S238)</f>
        <v>* group[=].element[=].display = ##34#A.2.7 Patient provided data##34#</v>
      </c>
    </row>
    <row r="244" spans="2:2" x14ac:dyDescent="0.75">
      <c r="B244" s="14" t="str">
        <f>IF('PS-ConceptMap-1'!S239=0,"//---END",'PS-ConceptMap-1'!S239)</f>
        <v>* group[=].element[=].target.code = #Composition.section</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v>
      </c>
    </row>
    <row r="249" spans="2:2" x14ac:dyDescent="0.75">
      <c r="B249" s="14" t="str">
        <f>IF('PS-ConceptMap-1'!S244=0,"//---END",'PS-ConceptMap-1'!S244)</f>
        <v>* group[=].element[=].display = ##34#A.2.7.1 Travel history##34#</v>
      </c>
    </row>
    <row r="250" spans="2:2" x14ac:dyDescent="0.75">
      <c r="B250" s="14" t="str">
        <f>IF('PS-ConceptMap-1'!S245=0,"//---END",'PS-ConceptMap-1'!S245)</f>
        <v>* group[=].element[=].target.code = #Composition.section:sectionTravelHx</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c>
    </row>
    <row r="254" spans="2:2" x14ac:dyDescent="0.75">
      <c r="B254" s="14" t="str">
        <f>IF('PS-ConceptMap-1'!S249=0,"//---END",'PS-ConceptMap-1'!S249)</f>
        <v>* group[=].element[+].code = #PatientSummary.body.patientData.travelHistory.country</v>
      </c>
    </row>
    <row r="255" spans="2:2" x14ac:dyDescent="0.75">
      <c r="B255" s="14" t="str">
        <f>IF('PS-ConceptMap-1'!S250=0,"//---END",'PS-ConceptMap-1'!S250)</f>
        <v>* group[=].element[=].display = ##34#A.2.7.1.1 Country##34#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#PatientSummary.body.patientData.travelHistory.period</v>
      </c>
    </row>
    <row r="261" spans="2:2" x14ac:dyDescent="0.75">
      <c r="B261" s="14" t="str">
        <f>IF('PS-ConceptMap-1'!S256=0,"//---END",'PS-ConceptMap-1'!S256)</f>
        <v>* group[=].element[=].display = ##34#A.2.7.1.2 Period##34#</v>
      </c>
    </row>
    <row r="262" spans="2:2" x14ac:dyDescent="0.75">
      <c r="B262" s="14" t="str">
        <f>IF('PS-ConceptMap-1'!S257=0,"//---END",'PS-ConceptMap-1'!S257)</f>
        <v>* group[=].element[=].target.code = #Composition.section:sectionTravelHx.text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##34#if textual description##34#</v>
      </c>
    </row>
    <row r="266" spans="2:2" x14ac:dyDescent="0.75">
      <c r="B266" s="14" t="str">
        <f>IF('PS-ConceptMap-1'!S261=0,"//---END",'PS-ConceptMap-1'!S261)</f>
        <v>* group[=].element[+].code = #PatientSummary.body.patientData.travelHistory.country</v>
      </c>
    </row>
    <row r="267" spans="2:2" x14ac:dyDescent="0.75">
      <c r="B267" s="14" t="str">
        <f>IF('PS-ConceptMap-1'!S262=0,"//---END",'PS-ConceptMap-1'!S262)</f>
        <v>* group[=].element[=].display = ##34#A.2.7.1.1 Country##34#</v>
      </c>
    </row>
    <row r="268" spans="2:2" x14ac:dyDescent="0.75">
      <c r="B268" s="14" t="str">
        <f>IF('PS-ConceptMap-1'!S263=0,"//---END",'PS-ConceptMap-1'!S263)</f>
        <v>* group[=].element[=].target.code = #Composition.section:sectionTravelHx.entry.valueCodeableConcept</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ht="29.5" x14ac:dyDescent="0.75">
      <c r="B271" s="14" t="str">
        <f>IF('PS-ConceptMap-1'!S266=0,"//---END",'PS-ConceptMap-1'!S266)</f>
        <v>* group[=].element[=].target.comment = ##34#entry of type Observation and Obseravtion.code = http://loinc.org#94651-7 'Country of travel [Location]'
TBD##34#</v>
      </c>
    </row>
    <row r="272" spans="2:2" x14ac:dyDescent="0.75">
      <c r="B272" s="14" t="str">
        <f>IF('PS-ConceptMap-1'!S267=0,"//---END",'PS-ConceptMap-1'!S267)</f>
        <v>* group[=].element[+].code = #PatientSummary.body.patientData.travelHistory.period</v>
      </c>
    </row>
    <row r="273" spans="2:2" x14ac:dyDescent="0.75">
      <c r="B273" s="14" t="str">
        <f>IF('PS-ConceptMap-1'!S268=0,"//---END",'PS-ConceptMap-1'!S268)</f>
        <v>* group[=].element[=].display = ##34#A.2.7.1.2 Period##34#</v>
      </c>
    </row>
    <row r="274" spans="2:2" x14ac:dyDescent="0.75">
      <c r="B274" s="14" t="str">
        <f>IF('PS-ConceptMap-1'!S269=0,"//---END",'PS-ConceptMap-1'!S269)</f>
        <v>* group[=].element[=].target.code = #Composition.section:sectionTravelHx.entry.effectivePeriod</v>
      </c>
    </row>
    <row r="275" spans="2:2" x14ac:dyDescent="0.75">
      <c r="B275" s="14" t="str">
        <f>IF('PS-ConceptMap-1'!S270=0,"//---END",'PS-ConceptMap-1'!S270)</f>
        <v>* group[=].element[=].target.display = ##34###34#</v>
      </c>
    </row>
    <row r="276" spans="2:2" x14ac:dyDescent="0.75">
      <c r="B276" s="14" t="str">
        <f>IF('PS-ConceptMap-1'!S271=0,"//---END",'PS-ConceptMap-1'!S271)</f>
        <v>* group[=].element[=].target.equivalence = #relatedto</v>
      </c>
    </row>
    <row r="277" spans="2:2" x14ac:dyDescent="0.75">
      <c r="B277" s="14" t="str">
        <f>IF('PS-ConceptMap-1'!S272=0,"//---END",'PS-ConceptMap-1'!S272)</f>
        <v>* group[=].element[=].target.comment = ##34#OBSERVATION PROFILE TO BE SPECIFIED##34#</v>
      </c>
    </row>
    <row r="278" spans="2:2" x14ac:dyDescent="0.75">
      <c r="B278" s="14" t="str">
        <f>IF('PS-ConceptMap-1'!S273=0,"//---END",'PS-ConceptMap-1'!S273)</f>
        <v>* group[=].element[+].code = #PatientSummary.body.patientData.advanceDirective</v>
      </c>
    </row>
    <row r="279" spans="2:2" x14ac:dyDescent="0.75">
      <c r="B279" s="14" t="str">
        <f>IF('PS-ConceptMap-1'!S274=0,"//---END",'PS-ConceptMap-1'!S274)</f>
        <v>* group[=].element[=].display = ##34#A.2.7.2 Advance Directive##34#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#equivalent</v>
      </c>
    </row>
    <row r="283" spans="2:2" x14ac:dyDescent="0.75">
      <c r="B283" s="14" t="str">
        <f>IF('PS-ConceptMap-1'!S278=0,"//---END",'PS-ConceptMap-1'!S278)</f>
        <v/>
      </c>
    </row>
    <row r="284" spans="2:2" x14ac:dyDescent="0.75">
      <c r="B284" s="14" t="str">
        <f>IF('PS-ConceptMap-1'!S279=0,"//---END",'PS-ConceptMap-1'!S279)</f>
        <v>* group[=].element[+].code = #PatientSummary.body.patientData.advanceDirective.documentation</v>
      </c>
    </row>
    <row r="285" spans="2:2" x14ac:dyDescent="0.75">
      <c r="B285" s="14" t="str">
        <f>IF('PS-ConceptMap-1'!S280=0,"//---END",'PS-ConceptMap-1'!S280)</f>
        <v>* group[=].element[=].display = ##34#A.2.7.2.1 Documentation##34#</v>
      </c>
    </row>
    <row r="286" spans="2:2" x14ac:dyDescent="0.75">
      <c r="B286" s="14" t="str">
        <f>IF('PS-ConceptMap-1'!S281=0,"//---END",'PS-ConceptMap-1'!S281)</f>
        <v>* group[=].element[=].target.code = #Composition.section:sectionAdvanceDirectives</v>
      </c>
    </row>
    <row r="287" spans="2:2" x14ac:dyDescent="0.75">
      <c r="B287" s="14" t="str">
        <f>IF('PS-ConceptMap-1'!S282=0,"//---END",'PS-ConceptMap-1'!S282)</f>
        <v>* group[=].element[=].target.display = ##34###34#</v>
      </c>
    </row>
    <row r="288" spans="2:2" x14ac:dyDescent="0.75">
      <c r="B288" s="14" t="str">
        <f>IF('PS-ConceptMap-1'!S283=0,"//---END",'PS-ConceptMap-1'!S283)</f>
        <v>* group[=].element[=].target.equivalence = #relatedto</v>
      </c>
    </row>
    <row r="289" spans="2:2" x14ac:dyDescent="0.75">
      <c r="B289" s="14" t="str">
        <f>IF('PS-ConceptMap-1'!S284=0,"//---END",'PS-ConceptMap-1'!S284)</f>
        <v>* group[=].element[=].target.comment = ##34#to be reviewed##34#</v>
      </c>
    </row>
    <row r="290" spans="2:2" x14ac:dyDescent="0.75">
      <c r="B290" s="14" t="str">
        <f>IF('PS-ConceptMap-1'!S285=0,"//---END",'PS-ConceptMap-1'!S285)</f>
        <v>* group[=].element[+].code = #PatientSummary.body.results</v>
      </c>
    </row>
    <row r="291" spans="2:2" x14ac:dyDescent="0.75">
      <c r="B291" s="14" t="str">
        <f>IF('PS-ConceptMap-1'!S286=0,"//---END",'PS-ConceptMap-1'!S286)</f>
        <v>* group[=].element[=].display = ##34#A.2.8 Results##34#</v>
      </c>
    </row>
    <row r="292" spans="2:2" x14ac:dyDescent="0.75">
      <c r="B292" s="14" t="str">
        <f>IF('PS-ConceptMap-1'!S287=0,"//---END",'PS-ConceptMap-1'!S287)</f>
        <v>* group[=].element[=].target.code = #Composition.section:sectionResults</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v>
      </c>
    </row>
    <row r="297" spans="2:2" x14ac:dyDescent="0.75">
      <c r="B297" s="14" t="str">
        <f>IF('PS-ConceptMap-1'!S292=0,"//---END",'PS-ConceptMap-1'!S292)</f>
        <v>* group[=].element[=].display = ##34#A.2.9 Plan of Care##34#</v>
      </c>
    </row>
    <row r="298" spans="2:2" x14ac:dyDescent="0.75">
      <c r="B298" s="14" t="str">
        <f>IF('PS-ConceptMap-1'!S293=0,"//---END",'PS-ConceptMap-1'!S293)</f>
        <v>* group[=].element[=].target.code = #Composition.section:sectionPlanOfCare</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 group[=].element[+].code = #PatientSummary.body.planOfCare.carePlan</v>
      </c>
    </row>
    <row r="303" spans="2:2" x14ac:dyDescent="0.75">
      <c r="B303" s="14" t="str">
        <f>IF('PS-ConceptMap-1'!S298=0,"//---END",'PS-ConceptMap-1'!S298)</f>
        <v>* group[=].element[=].display = ##34#A.2.9.1 Plan of care##34#</v>
      </c>
    </row>
    <row r="304" spans="2:2" x14ac:dyDescent="0.75">
      <c r="B304" s="14" t="str">
        <f>IF('PS-ConceptMap-1'!S299=0,"//---END",'PS-ConceptMap-1'!S299)</f>
        <v>* group[=].element[=].target.code = #Composition.section:sectionPlanOfCare.text</v>
      </c>
    </row>
    <row r="305" spans="2:2" x14ac:dyDescent="0.75">
      <c r="B305" s="14" t="str">
        <f>IF('PS-ConceptMap-1'!S300=0,"//---END",'PS-ConceptMap-1'!S300)</f>
        <v>* group[=].element[=].target.display = ##34###34#</v>
      </c>
    </row>
    <row r="306" spans="2:2" x14ac:dyDescent="0.75">
      <c r="B306" s="14" t="str">
        <f>IF('PS-ConceptMap-1'!S301=0,"//---END",'PS-ConceptMap-1'!S301)</f>
        <v>* group[=].element[=].target.equivalence = #equivalent</v>
      </c>
    </row>
    <row r="307" spans="2:2" x14ac:dyDescent="0.75">
      <c r="B307" s="14" t="str">
        <f>IF('PS-ConceptMap-1'!S302=0,"//---END",'PS-ConceptMap-1'!S302)</f>
        <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65"/>
    </row>
    <row r="313" spans="2:2" x14ac:dyDescent="0.75">
      <c r="B313" s="67" t="str">
        <f>"* group[+].source = ##34#"&amp;'PS-ConceptMap-2'!E6&amp;"##34#"</f>
        <v>* group[+].source = ##34#http://hl7.eu/fhir/ig/xpandh/ps/StructureDefinition/PatientSummary##34#</v>
      </c>
    </row>
    <row r="314" spans="2:2" x14ac:dyDescent="0.75">
      <c r="B314" s="67" t="str">
        <f>"* group[=].target = ##34#"&amp;'PS-ConceptMap-2'!E7&amp;"##34#"</f>
        <v>* group[=].target = ##34#http://hl7.eu/fhir/ig/xpandh/ps/StructureDefinition/Condition-ps-xpandh##34#</v>
      </c>
    </row>
    <row r="315" spans="2:2" x14ac:dyDescent="0.75">
      <c r="B315" s="69"/>
    </row>
    <row r="316" spans="2:2" x14ac:dyDescent="0.75">
      <c r="B316" s="14" t="str">
        <f>IF('PS-ConceptMap-2'!S15=0,"//---END",'PS-ConceptMap-2'!S15)</f>
        <v>* group[=].element[+].code = #PatientSummary.header.additionalInfo</v>
      </c>
    </row>
    <row r="317" spans="2:2" x14ac:dyDescent="0.75">
      <c r="B317" s="14" t="str">
        <f>IF('PS-ConceptMap-2'!S16=0,"//---END",'PS-ConceptMap-2'!S16)</f>
        <v>* group[=].element[=].display = ##34#A.1.6 Additional information / Knowledge resources##34#</v>
      </c>
    </row>
    <row r="318" spans="2:2" x14ac:dyDescent="0.75">
      <c r="B318" s="14" t="str">
        <f>IF('PS-ConceptMap-2'!S17=0,"//---END",'PS-ConceptMap-2'!S17)</f>
        <v>* group[=].element[=].target.code = #Condition.extension:supporintInfo</v>
      </c>
    </row>
    <row r="319" spans="2:2" x14ac:dyDescent="0.75">
      <c r="B319" s="14" t="str">
        <f>IF('PS-ConceptMap-2'!S18=0,"//---END",'PS-ConceptMap-2'!S18)</f>
        <v>* group[=].element[=].target.display = ##34###34#</v>
      </c>
    </row>
    <row r="320" spans="2:2" x14ac:dyDescent="0.75">
      <c r="B320" s="14" t="str">
        <f>IF('PS-ConceptMap-2'!S19=0,"//---END",'PS-ConceptMap-2'!S19)</f>
        <v>* group[=].element[=].target.equivalence = #relatedto</v>
      </c>
    </row>
    <row r="321" spans="2:2" x14ac:dyDescent="0.75">
      <c r="B321" s="14" t="str">
        <f>IF('PS-ConceptMap-2'!S20=0,"//---END",'PS-ConceptMap-2'!S20)</f>
        <v/>
      </c>
    </row>
    <row r="322" spans="2:2" x14ac:dyDescent="0.75">
      <c r="B322" s="14" t="str">
        <f>IF('PS-ConceptMap-2'!S21=0,"//---END",'PS-ConceptMap-2'!S21)</f>
        <v>* group[=].element[+].code = #PatientSummary.header.additionalInfo.reference</v>
      </c>
    </row>
    <row r="323" spans="2:2" x14ac:dyDescent="0.75">
      <c r="B323" s="14" t="str">
        <f>IF('PS-ConceptMap-2'!S22=0,"//---END",'PS-ConceptMap-2'!S22)</f>
        <v>* group[=].element[=].display = ##34#A.1.6.1 External reference##34#</v>
      </c>
    </row>
    <row r="324" spans="2:2" x14ac:dyDescent="0.75">
      <c r="B324" s="14" t="str">
        <f>IF('PS-ConceptMap-2'!S23=0,"//---END",'PS-ConceptMap-2'!S23)</f>
        <v>* group[=].element[=].target.code = #Condition.extension:supporintInfo</v>
      </c>
    </row>
    <row r="325" spans="2:2" x14ac:dyDescent="0.75">
      <c r="B325" s="14" t="str">
        <f>IF('PS-ConceptMap-2'!S24=0,"//---END",'PS-ConceptMap-2'!S24)</f>
        <v>* group[=].element[=].target.display = ##34###34#</v>
      </c>
    </row>
    <row r="326" spans="2:2" x14ac:dyDescent="0.75">
      <c r="B326" s="14" t="str">
        <f>IF('PS-ConceptMap-2'!S25=0,"//---END",'PS-ConceptMap-2'!S25)</f>
        <v>* group[=].element[=].target.equivalence = #relatedto</v>
      </c>
    </row>
    <row r="327" spans="2:2" x14ac:dyDescent="0.75">
      <c r="B327" s="14" t="str">
        <f>IF('PS-ConceptMap-2'!S26=0,"//---END",'PS-ConceptMap-2'!S26)</f>
        <v>* group[=].element[=].target.comment = ##34#extension[supporintInfo].resolve().ofType(DocumentReference)##34#</v>
      </c>
    </row>
    <row r="328" spans="2:2" x14ac:dyDescent="0.75">
      <c r="B328" s="14" t="str">
        <f>IF('PS-ConceptMap-2'!S27=0,"//---END",'PS-ConceptMap-2'!S27)</f>
        <v>* group[=].element[+].code = #PatientSummary.header.additionalInfo.relatedWith</v>
      </c>
    </row>
    <row r="329" spans="2:2" x14ac:dyDescent="0.75">
      <c r="B329" s="14" t="str">
        <f>IF('PS-ConceptMap-2'!S28=0,"//---END",'PS-ConceptMap-2'!S28)</f>
        <v>* group[=].element[=].display = ##34#A.1.6.2 Related with##34#</v>
      </c>
    </row>
    <row r="330" spans="2:2" x14ac:dyDescent="0.75">
      <c r="B330" s="14" t="str">
        <f>IF('PS-ConceptMap-2'!S29=0,"//---END",'PS-ConceptMap-2'!S29)</f>
        <v>* group[=].element[=].target.code = #Condition</v>
      </c>
    </row>
    <row r="331" spans="2:2" x14ac:dyDescent="0.75">
      <c r="B331" s="14" t="str">
        <f>IF('PS-ConceptMap-2'!S30=0,"//---END",'PS-ConceptMap-2'!S30)</f>
        <v>* group[=].element[=].target.display = ##34###34#</v>
      </c>
    </row>
    <row r="332" spans="2:2" x14ac:dyDescent="0.75">
      <c r="B332" s="14" t="str">
        <f>IF('PS-ConceptMap-2'!S31=0,"//---END",'PS-ConceptMap-2'!S31)</f>
        <v>* group[=].element[=].target.equivalence = #relatedto</v>
      </c>
    </row>
    <row r="333" spans="2:2" x14ac:dyDescent="0.75">
      <c r="B333" s="14" t="str">
        <f>IF('PS-ConceptMap-2'!S32=0,"//---END",'PS-ConceptMap-2'!S32)</f>
        <v>* group[=].element[=].target.comment = ##34#the containing resource describes the context in this case the Condition##34#</v>
      </c>
    </row>
    <row r="334" spans="2:2" x14ac:dyDescent="0.75">
      <c r="B334" s="14" t="str">
        <f>IF('PS-ConceptMap-2'!S33=0,"//---END",'PS-ConceptMap-2'!S33)</f>
        <v>//---END</v>
      </c>
    </row>
    <row r="335" spans="2:2" x14ac:dyDescent="0.75">
      <c r="B335" s="14" t="str">
        <f>IF('PS-ConceptMap-2'!S34=0,"//---END",'PS-ConceptMap-2'!S34)</f>
        <v>//---END</v>
      </c>
    </row>
    <row r="336" spans="2:2" x14ac:dyDescent="0.75">
      <c r="B336" s="14" t="str">
        <f>IF('PS-ConceptMap-2'!S35=0,"//---END",'PS-ConceptMap-2'!S35)</f>
        <v>//---END</v>
      </c>
    </row>
    <row r="337" spans="2:2" x14ac:dyDescent="0.75">
      <c r="B337" s="14" t="str">
        <f>IF('PS-ConceptMap-2'!S36=0,"//---END",'PS-ConceptMap-2'!S36)</f>
        <v>//---END</v>
      </c>
    </row>
    <row r="338" spans="2:2" x14ac:dyDescent="0.75">
      <c r="B338" s="14" t="str">
        <f>IF('PS-ConceptMap-2'!S37=0,"//---END",'PS-ConceptMap-2'!S37)</f>
        <v>//---END</v>
      </c>
    </row>
    <row r="339" spans="2:2" x14ac:dyDescent="0.75">
      <c r="B339" s="14" t="str">
        <f>IF('PS-ConceptMap-2'!S38=0,"//---END",'PS-ConceptMap-2'!S38)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1244</v>
      </c>
      <c r="I4" s="24" t="str">
        <f>CONCATENATE("Logical: ",B4)</f>
        <v>Logical: PregnancyPsEhn</v>
      </c>
    </row>
    <row r="5" spans="1:11" x14ac:dyDescent="0.75">
      <c r="A5" s="17" t="s">
        <v>19</v>
      </c>
      <c r="B5" s="33" t="s">
        <v>1245</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1220</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1266</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44.25" x14ac:dyDescent="0.75">
      <c r="A9" s="9">
        <v>2</v>
      </c>
      <c r="B9" s="9" t="s">
        <v>1268</v>
      </c>
      <c r="C9" s="9" t="s">
        <v>1250</v>
      </c>
      <c r="D9" s="14" t="s">
        <v>1259</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1269</v>
      </c>
      <c r="C10" s="9" t="s">
        <v>1251</v>
      </c>
      <c r="D10" s="104" t="s">
        <v>1260</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1270</v>
      </c>
      <c r="C11" s="9" t="s">
        <v>1252</v>
      </c>
      <c r="D11" s="14" t="s">
        <v>1261</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1267</v>
      </c>
      <c r="C12" s="9" t="s">
        <v>1253</v>
      </c>
      <c r="D12" s="9" t="s">
        <v>1253</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1271</v>
      </c>
      <c r="C13" s="9" t="s">
        <v>1254</v>
      </c>
      <c r="D13" s="14" t="s">
        <v>1262</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1272</v>
      </c>
      <c r="C14" s="9" t="s">
        <v>1255</v>
      </c>
      <c r="D14" s="9" t="s">
        <v>1255</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1273</v>
      </c>
      <c r="C15" s="9" t="s">
        <v>1256</v>
      </c>
      <c r="D15" s="14" t="s">
        <v>1263</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1274</v>
      </c>
      <c r="C16" s="9" t="s">
        <v>1257</v>
      </c>
      <c r="D16" s="14" t="s">
        <v>1264</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1275</v>
      </c>
      <c r="C17" s="9" t="s">
        <v>1258</v>
      </c>
      <c r="D17" s="104" t="s">
        <v>771</v>
      </c>
      <c r="E17" s="15">
        <v>0</v>
      </c>
      <c r="F17" s="9" t="s">
        <v>11</v>
      </c>
      <c r="G17" s="100" t="s">
        <v>1265</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1248</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44.2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topLeftCell="B15" workbookViewId="0">
      <selection activeCell="C7" sqref="C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1316</v>
      </c>
      <c r="C1" s="167"/>
    </row>
    <row r="2" spans="1:19" ht="15.5" thickBot="1" x14ac:dyDescent="0.9"/>
    <row r="3" spans="1:19" ht="15.5" thickBot="1" x14ac:dyDescent="0.9">
      <c r="B3" s="61" t="s">
        <v>34</v>
      </c>
      <c r="C3" s="47" t="s">
        <v>1246</v>
      </c>
      <c r="D3" s="61" t="s">
        <v>208</v>
      </c>
      <c r="E3" s="165" t="str">
        <f>"http://hl7.eu/fhir/ig/xpandh/ps/StructureDefinition/"&amp;'A.2.3.3 Pregnancy'!B5</f>
        <v>http://hl7.eu/fhir/ig/xpandh/ps/StructureDefinition/Pregnancy</v>
      </c>
      <c r="F3" s="164"/>
      <c r="G3" s="164"/>
    </row>
    <row r="4" spans="1:19" x14ac:dyDescent="0.75">
      <c r="B4" s="61" t="s">
        <v>19</v>
      </c>
      <c r="C4" s="47" t="s">
        <v>1247</v>
      </c>
      <c r="D4" s="61" t="s">
        <v>209</v>
      </c>
      <c r="E4" s="165" t="s">
        <v>1223</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1276</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1277</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1278</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1279</v>
      </c>
      <c r="E18" s="9"/>
      <c r="F18" s="63" t="s">
        <v>192</v>
      </c>
      <c r="G18" s="14" t="s">
        <v>1280</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1281</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73.75" x14ac:dyDescent="0.75">
      <c r="A20" s="22"/>
      <c r="B20" s="9" t="str">
        <f>'A.2.3.3 Pregnancy'!B13</f>
        <v>hxPreviousPregnancies.status</v>
      </c>
      <c r="C20" s="9" t="str">
        <f>'A.2.3.3 Pregnancy'!C13</f>
        <v>A.2.6.2.1 Previous pregnancies status</v>
      </c>
      <c r="D20" s="14" t="s">
        <v>1282</v>
      </c>
      <c r="E20" s="9"/>
      <c r="F20" s="63" t="s">
        <v>193</v>
      </c>
      <c r="G20" s="4" t="s">
        <v>1283</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1281</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1284</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1285</v>
      </c>
      <c r="E23" s="9"/>
      <c r="F23" s="63" t="s">
        <v>192</v>
      </c>
      <c r="G23" s="79" t="s">
        <v>1286</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1287</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94621-A16F-4A63-AA53-66B7027645ED}">
  <sheetPr codeName="Foglio74">
    <tabColor theme="0" tint="-0.499984740745262"/>
  </sheetPr>
  <dimension ref="A1:T78"/>
  <sheetViews>
    <sheetView topLeftCell="D1" workbookViewId="0">
      <selection activeCell="F1" sqref="F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1316</v>
      </c>
      <c r="C1" s="167"/>
      <c r="F1" s="141" t="s">
        <v>1317</v>
      </c>
    </row>
    <row r="2" spans="1:19" ht="15.5" thickBot="1" x14ac:dyDescent="0.9"/>
    <row r="3" spans="1:19" ht="15.5" thickBot="1" x14ac:dyDescent="0.9">
      <c r="B3" s="61" t="s">
        <v>34</v>
      </c>
      <c r="C3" s="47" t="s">
        <v>1246</v>
      </c>
      <c r="D3" s="61" t="s">
        <v>208</v>
      </c>
      <c r="E3" s="165" t="str">
        <f>"http://hl7.eu/fhir/ig/xpandh/ps/StructureDefinition/"&amp;'A.2.3.3 Pregnancy'!B5</f>
        <v>http://hl7.eu/fhir/ig/xpandh/ps/StructureDefinition/Pregnancy</v>
      </c>
      <c r="F3" s="164"/>
      <c r="G3" s="164"/>
    </row>
    <row r="4" spans="1:19" x14ac:dyDescent="0.75">
      <c r="B4" s="61" t="s">
        <v>19</v>
      </c>
      <c r="C4" s="47" t="s">
        <v>1247</v>
      </c>
      <c r="D4" s="61" t="s">
        <v>209</v>
      </c>
      <c r="E4" s="168" t="s">
        <v>1223</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s="140" t="s">
        <v>245</v>
      </c>
      <c r="E14" s="110"/>
      <c r="F14" s="3"/>
      <c r="I14" s="14"/>
      <c r="J14" s="9"/>
      <c r="K14" s="9"/>
      <c r="L14" s="9"/>
      <c r="M14" s="59"/>
      <c r="N14" s="62"/>
    </row>
    <row r="15" spans="1:19" ht="44.25" x14ac:dyDescent="0.75">
      <c r="A15" s="22"/>
      <c r="B15" s="9" t="str">
        <f>'A.2.3.3 Pregnancy'!B8</f>
        <v>pregnancyStatus</v>
      </c>
      <c r="C15" s="9" t="str">
        <f>'A.2.3.3 Pregnancy'!C8</f>
        <v>A.2.6.1 Current pregnancy status</v>
      </c>
      <c r="D15" s="14"/>
      <c r="E15" s="9"/>
      <c r="F15" s="63" t="s">
        <v>193</v>
      </c>
      <c r="G15" s="14"/>
      <c r="H15" s="64"/>
      <c r="I15" s="14" t="str">
        <f>"* group[=].element[+].code = #"&amp;$B$14&amp;"."&amp;B15</f>
        <v>* group[=].element[+].code = #Pregnancy.pregnancyStatus</v>
      </c>
      <c r="J15" s="14" t="str">
        <f t="shared" ref="J15" si="0">"* group[=].element[=].display = ##34#"&amp;C15&amp;"##34#"</f>
        <v>* group[=].element[=].display = ##34#A.2.6.1 Current pregnancy status##34#</v>
      </c>
      <c r="K15" s="14" t="str">
        <f t="shared" ref="K15" si="1">IF(F15="unmatched","//-- unmatched","* group[=].element[=].target.code = #"&amp;$D$14&amp;"."&amp;D15)</f>
        <v>* group[=].element[=].target.code = #Observation.</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18" si="4">IF(G15&lt;&gt;"",CONCATENATE("* group[=].element[=].target.comment = ","##34#",G15,"##34#"),"")</f>
        <v/>
      </c>
      <c r="P15" s="9">
        <v>1</v>
      </c>
      <c r="Q15" s="9">
        <f>IF(MOD(P15,$Q$8)=0,P15/$Q$8-1,INT(P15/$Q$8))</f>
        <v>0</v>
      </c>
      <c r="R15" s="9">
        <f>IF(MOD(P15,$Q$8)=0,$Q$8,MOD(P15,$Q$8))</f>
        <v>1</v>
      </c>
      <c r="S15" s="14" t="str" cm="1">
        <f t="array" ref="S15">INDEX('Pregnancy-ConceptMap-2'!$I$15:$N$120,Q15+1,R15)</f>
        <v>* group[=].element[+].code = #Pregnancy.pregnancyStatus</v>
      </c>
    </row>
    <row r="16" spans="1:19" ht="58.25" customHeight="1" x14ac:dyDescent="0.75">
      <c r="A16" s="22"/>
      <c r="B16" s="9" t="str">
        <f>'A.2.3.3 Pregnancy'!B9</f>
        <v>pregnancyStatus.dateOfObservation</v>
      </c>
      <c r="C16" s="9" t="str">
        <f>'A.2.3.3 Pregnancy'!C9</f>
        <v>A.2.6.1.1 Date of observation</v>
      </c>
      <c r="D16" s="14" t="s">
        <v>1098</v>
      </c>
      <c r="E16" s="14"/>
      <c r="F16" s="63" t="s">
        <v>192</v>
      </c>
      <c r="G16" s="14"/>
      <c r="H16" s="64"/>
      <c r="I16" s="14" t="str">
        <f t="shared" ref="I16:I18" si="5">"* group[=].element[+].code = #"&amp;$B$14&amp;"."&amp;B16</f>
        <v>* group[=].element[+].code = #Pregnancy.pregnancyStatus.dateOfObservation</v>
      </c>
      <c r="J16" s="14" t="str">
        <f t="shared" ref="J16:J18" si="6">"* group[=].element[=].display = ##34#"&amp;C16&amp;"##34#"</f>
        <v>* group[=].element[=].display = ##34#A.2.6.1.1 Date of observation##34#</v>
      </c>
      <c r="K16" s="14" t="str">
        <f t="shared" ref="K16:K18" si="7">IF(F16="unmatched","//-- unmatched","* group[=].element[=].target.code = #"&amp;$D$14&amp;"."&amp;D16)</f>
        <v>* group[=].element[=].target.code = #Observation.effectiveDateTime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si="4"/>
        <v/>
      </c>
      <c r="P16" s="9">
        <v>2</v>
      </c>
      <c r="Q16" s="9">
        <f t="shared" ref="Q16:Q78" si="10">IF(MOD(P16,$Q$8)=0,P16/$Q$8-1,INT(P16/$Q$8))</f>
        <v>0</v>
      </c>
      <c r="R16" s="9">
        <f t="shared" ref="R16:R78" si="11">IF(MOD(P16,$Q$8)=0,$Q$8,MOD(P16,$Q$8))</f>
        <v>2</v>
      </c>
      <c r="S16" s="14" t="str" cm="1">
        <f t="array" ref="S16">INDEX('Pregnancy-ConceptMap-2'!$I$15:$N$120,Q16+1,R16)</f>
        <v>* group[=].element[=].display = ##34#A.2.6.1 Current pregnancy status##34#</v>
      </c>
    </row>
    <row r="17" spans="1:20" ht="57.5" customHeight="1" x14ac:dyDescent="0.75">
      <c r="A17" s="22"/>
      <c r="B17" s="9" t="str">
        <f>'A.2.3.3 Pregnancy'!B10</f>
        <v>pregnancyStatus.status</v>
      </c>
      <c r="C17" s="9" t="str">
        <f>'A.2.3.3 Pregnancy'!C10</f>
        <v>A.2.6.1.2 Status</v>
      </c>
      <c r="D17" s="14" t="s">
        <v>1318</v>
      </c>
      <c r="E17" s="9"/>
      <c r="F17" s="63" t="s">
        <v>192</v>
      </c>
      <c r="G17" s="14"/>
      <c r="H17" s="64"/>
      <c r="I17" s="14" t="str">
        <f t="shared" si="5"/>
        <v>* group[=].element[+].code = #Pregnancy.pregnancyStatus.status</v>
      </c>
      <c r="J17" s="14" t="str">
        <f t="shared" si="6"/>
        <v>* group[=].element[=].display = ##34#A.2.6.1.2 Status##34#</v>
      </c>
      <c r="K17" s="14" t="str">
        <f t="shared" si="7"/>
        <v>* group[=].element[=].target.code = #Observation.valueCodeabelConcept</v>
      </c>
      <c r="L17" s="14" t="str">
        <f t="shared" si="8"/>
        <v>* group[=].element[=].target.display = ##34###34#</v>
      </c>
      <c r="M17" s="14" t="str">
        <f t="shared" si="9"/>
        <v>* group[=].element[=].target.equivalence = #equivalent</v>
      </c>
      <c r="N17" s="14" t="str">
        <f t="shared" si="4"/>
        <v/>
      </c>
      <c r="P17" s="9">
        <v>3</v>
      </c>
      <c r="Q17" s="9">
        <f t="shared" si="10"/>
        <v>0</v>
      </c>
      <c r="R17" s="9">
        <f t="shared" si="11"/>
        <v>3</v>
      </c>
      <c r="S17" s="14" t="str" cm="1">
        <f t="array" ref="S17">INDEX('Pregnancy-ConceptMap-2'!$I$15:$N$120,Q17+1,R17)</f>
        <v>* group[=].element[=].target.code = #Observation.</v>
      </c>
    </row>
    <row r="18" spans="1:20" ht="137.5" customHeight="1" x14ac:dyDescent="0.75">
      <c r="A18" s="22"/>
      <c r="B18" s="9" t="str">
        <f>'A.2.3.3 Pregnancy'!B11</f>
        <v>pregnancyStatus.deliveryDate</v>
      </c>
      <c r="C18" s="9" t="str">
        <f>'A.2.3.3 Pregnancy'!C11</f>
        <v>A.2.6.1.3 Expected date of delivery</v>
      </c>
      <c r="D18" s="14" t="s">
        <v>1319</v>
      </c>
      <c r="E18" s="9"/>
      <c r="F18" s="63" t="s">
        <v>192</v>
      </c>
      <c r="G18" s="14" t="s">
        <v>1320</v>
      </c>
      <c r="H18" s="64"/>
      <c r="I18" s="14" t="str">
        <f t="shared" si="5"/>
        <v>* group[=].element[+].code = #Pregnancy.pregnancyStatus.deliveryDate</v>
      </c>
      <c r="J18" s="14" t="str">
        <f t="shared" si="6"/>
        <v>* group[=].element[=].display = ##34#A.2.6.1.3 Expected date of delivery##34#</v>
      </c>
      <c r="K18" s="14" t="str">
        <f t="shared" si="7"/>
        <v>* group[=].element[=].target.code = #Observation.hasMember.valueDateTime</v>
      </c>
      <c r="L18" s="14" t="str">
        <f t="shared" si="8"/>
        <v>* group[=].element[=].target.display = ##34###34#</v>
      </c>
      <c r="M18" s="14" t="str">
        <f t="shared" si="9"/>
        <v>* group[=].element[=].target.equivalence = #equivalent</v>
      </c>
      <c r="N18" s="14" t="str">
        <f t="shared" si="4"/>
        <v>* group[=].element[=].target.comment = ##34#Where hasMember.code IN PregnancyExpectedDeliveryDateMethodUvIps value set##34#</v>
      </c>
      <c r="P18" s="9">
        <v>4</v>
      </c>
      <c r="Q18" s="9">
        <f t="shared" si="10"/>
        <v>0</v>
      </c>
      <c r="R18" s="9">
        <f t="shared" si="11"/>
        <v>4</v>
      </c>
      <c r="S18" s="14" t="str" cm="1">
        <f t="array" ref="S18">INDEX('Pregnancy-ConceptMap-2'!$I$15:$N$120,Q18+1,R18)</f>
        <v>* group[=].element[=].target.display = ##34###34#</v>
      </c>
    </row>
    <row r="19" spans="1:20" x14ac:dyDescent="0.75">
      <c r="A19" s="22"/>
      <c r="B19" s="22"/>
      <c r="C19" s="22"/>
      <c r="D19" s="22"/>
      <c r="E19" s="14"/>
      <c r="F19" s="63"/>
      <c r="G19" s="70"/>
      <c r="H19" s="64"/>
      <c r="I19" s="14"/>
      <c r="J19" s="14"/>
      <c r="K19" s="14"/>
      <c r="L19" s="14"/>
      <c r="M19" s="14"/>
      <c r="N19" s="14"/>
      <c r="P19" s="9">
        <v>5</v>
      </c>
      <c r="Q19" s="9">
        <f t="shared" si="10"/>
        <v>0</v>
      </c>
      <c r="R19" s="9">
        <f t="shared" si="11"/>
        <v>5</v>
      </c>
      <c r="S19" s="14" t="str" cm="1">
        <f t="array" ref="S19">INDEX('Pregnancy-ConceptMap-2'!$I$15:$N$120,Q19+1,R19)</f>
        <v>* group[=].element[=].target.equivalence = #relatedto</v>
      </c>
    </row>
    <row r="20" spans="1:20" x14ac:dyDescent="0.75">
      <c r="D20"/>
      <c r="E20" s="14"/>
      <c r="F20" s="63"/>
      <c r="G20" s="70"/>
      <c r="H20" s="64"/>
      <c r="I20" s="14"/>
      <c r="J20" s="14"/>
      <c r="K20" s="14"/>
      <c r="L20" s="14"/>
      <c r="M20" s="14"/>
      <c r="N20" s="14"/>
      <c r="P20" s="9">
        <v>6</v>
      </c>
      <c r="Q20" s="9">
        <f t="shared" si="10"/>
        <v>0</v>
      </c>
      <c r="R20" s="9">
        <f t="shared" si="11"/>
        <v>6</v>
      </c>
      <c r="S20" s="14" t="str" cm="1">
        <f t="array" ref="S20">INDEX('Pregnancy-ConceptMap-2'!$I$15:$N$120,Q20+1,R20)</f>
        <v/>
      </c>
    </row>
    <row r="21" spans="1:20" x14ac:dyDescent="0.75">
      <c r="D21"/>
      <c r="E21" s="14"/>
      <c r="F21" s="63"/>
      <c r="G21" s="70"/>
      <c r="H21" s="64"/>
      <c r="I21" s="14"/>
      <c r="J21" s="14"/>
      <c r="K21" s="14"/>
      <c r="L21" s="14"/>
      <c r="M21" s="14"/>
      <c r="N21" s="14" t="str">
        <f t="shared" ref="N21:N40" si="12">IF(G21&lt;&gt;"",CONCATENATE("* group[=].element[=].target.comment = ","##34#",G21,"##34#"),"")</f>
        <v/>
      </c>
      <c r="P21" s="9">
        <v>7</v>
      </c>
      <c r="Q21" s="9">
        <f t="shared" si="10"/>
        <v>1</v>
      </c>
      <c r="R21" s="9">
        <f t="shared" si="11"/>
        <v>1</v>
      </c>
      <c r="S21" s="14" t="str" cm="1">
        <f t="array" ref="S21">INDEX('Pregnancy-ConceptMap-2'!$I$15:$N$120,Q21+1,R21)</f>
        <v>* group[=].element[+].code = #Pregnancy.pregnancyStatus.dateOfObservation</v>
      </c>
    </row>
    <row r="22" spans="1:20" x14ac:dyDescent="0.75">
      <c r="B22" s="9"/>
      <c r="C22" s="9"/>
      <c r="D22" s="14"/>
      <c r="E22" s="14"/>
      <c r="F22" s="63"/>
      <c r="G22" s="70"/>
      <c r="H22" s="64"/>
      <c r="I22" s="14"/>
      <c r="J22" s="14"/>
      <c r="K22" s="14"/>
      <c r="L22" s="14"/>
      <c r="M22" s="14"/>
      <c r="N22" s="14" t="str">
        <f t="shared" si="12"/>
        <v/>
      </c>
      <c r="P22" s="9">
        <v>8</v>
      </c>
      <c r="Q22" s="9">
        <f t="shared" si="10"/>
        <v>1</v>
      </c>
      <c r="R22" s="9">
        <f t="shared" si="11"/>
        <v>2</v>
      </c>
      <c r="S22" s="14" t="str" cm="1">
        <f t="array" ref="S22">INDEX('Pregnancy-ConceptMap-2'!$I$15:$N$120,Q22+1,R22)</f>
        <v>* group[=].element[=].display = ##34#A.2.6.1.1 Date of observation##34#</v>
      </c>
    </row>
    <row r="23" spans="1:20" x14ac:dyDescent="0.75">
      <c r="B23" s="9"/>
      <c r="C23" s="9"/>
      <c r="D23" s="14"/>
      <c r="E23" s="14"/>
      <c r="F23" s="63"/>
      <c r="G23" s="70"/>
      <c r="H23" s="64"/>
      <c r="I23" s="14"/>
      <c r="J23" s="14"/>
      <c r="K23" s="14"/>
      <c r="L23" s="14"/>
      <c r="M23" s="14"/>
      <c r="N23" s="14" t="str">
        <f t="shared" si="12"/>
        <v/>
      </c>
      <c r="P23" s="9">
        <v>9</v>
      </c>
      <c r="Q23" s="9">
        <f t="shared" si="10"/>
        <v>1</v>
      </c>
      <c r="R23" s="9">
        <f t="shared" si="11"/>
        <v>3</v>
      </c>
      <c r="S23" s="14" t="str" cm="1">
        <f t="array" ref="S23">INDEX('Pregnancy-ConceptMap-2'!$I$15:$N$120,Q23+1,R23)</f>
        <v>* group[=].element[=].target.code = #Observation.effectiveDateTime</v>
      </c>
    </row>
    <row r="24" spans="1:20" x14ac:dyDescent="0.75">
      <c r="B24" s="9"/>
      <c r="C24" s="9"/>
      <c r="D24" s="14"/>
      <c r="E24" s="14"/>
      <c r="F24" s="63"/>
      <c r="G24" s="70"/>
      <c r="H24" s="64"/>
      <c r="I24" s="14"/>
      <c r="J24" s="14"/>
      <c r="K24" s="14"/>
      <c r="L24" s="14"/>
      <c r="M24" s="14"/>
      <c r="N24" s="14" t="str">
        <f t="shared" si="12"/>
        <v/>
      </c>
      <c r="P24" s="9">
        <v>10</v>
      </c>
      <c r="Q24" s="9">
        <f t="shared" si="10"/>
        <v>1</v>
      </c>
      <c r="R24" s="9">
        <f t="shared" si="11"/>
        <v>4</v>
      </c>
      <c r="S24" s="14" t="str" cm="1">
        <f t="array" ref="S24">INDEX('Pregnancy-ConceptMap-2'!$I$15:$N$120,Q24+1,R24)</f>
        <v>* group[=].element[=].target.display = ##34###34#</v>
      </c>
    </row>
    <row r="25" spans="1:20" x14ac:dyDescent="0.75">
      <c r="B25" s="9"/>
      <c r="C25" s="9"/>
      <c r="D25" s="14"/>
      <c r="E25" s="14"/>
      <c r="F25" s="63"/>
      <c r="G25" s="70"/>
      <c r="H25" s="64"/>
      <c r="I25" s="14"/>
      <c r="J25" s="14"/>
      <c r="K25" s="14"/>
      <c r="L25" s="14"/>
      <c r="M25" s="14"/>
      <c r="N25" s="14" t="str">
        <f t="shared" si="12"/>
        <v/>
      </c>
      <c r="P25" s="9">
        <v>11</v>
      </c>
      <c r="Q25" s="9">
        <f t="shared" si="10"/>
        <v>1</v>
      </c>
      <c r="R25" s="9">
        <f t="shared" si="11"/>
        <v>5</v>
      </c>
      <c r="S25" s="14" t="str" cm="1">
        <f t="array" ref="S25">INDEX('Pregnancy-ConceptMap-2'!$I$15:$N$120,Q25+1,R25)</f>
        <v>* group[=].element[=].target.equivalence = #equivalent</v>
      </c>
    </row>
    <row r="26" spans="1:20" x14ac:dyDescent="0.75">
      <c r="B26" s="9"/>
      <c r="C26" s="9"/>
      <c r="D26" s="14"/>
      <c r="E26" s="14"/>
      <c r="F26" s="63"/>
      <c r="G26" s="70"/>
      <c r="H26" s="64"/>
      <c r="I26" s="14"/>
      <c r="J26" s="14"/>
      <c r="K26" s="14"/>
      <c r="L26" s="14"/>
      <c r="M26" s="14"/>
      <c r="N26" s="14" t="str">
        <f t="shared" si="12"/>
        <v/>
      </c>
      <c r="P26" s="9">
        <v>12</v>
      </c>
      <c r="Q26" s="9">
        <f t="shared" si="10"/>
        <v>1</v>
      </c>
      <c r="R26" s="9">
        <f t="shared" si="11"/>
        <v>6</v>
      </c>
      <c r="S26" s="14" t="str" cm="1">
        <f t="array" ref="S26">INDEX('Pregnancy-ConceptMap-2'!$I$15:$N$120,Q26+1,R26)</f>
        <v/>
      </c>
    </row>
    <row r="27" spans="1:20" x14ac:dyDescent="0.75">
      <c r="B27" s="9"/>
      <c r="C27" s="9"/>
      <c r="D27" s="14"/>
      <c r="E27" s="14"/>
      <c r="F27" s="63"/>
      <c r="G27" s="70"/>
      <c r="H27" s="64"/>
      <c r="I27" s="14"/>
      <c r="J27" s="14"/>
      <c r="K27" s="14"/>
      <c r="L27" s="14"/>
      <c r="M27" s="14"/>
      <c r="N27" s="14" t="str">
        <f t="shared" si="12"/>
        <v/>
      </c>
      <c r="P27" s="9">
        <v>13</v>
      </c>
      <c r="Q27" s="9">
        <f t="shared" si="10"/>
        <v>2</v>
      </c>
      <c r="R27" s="9">
        <f t="shared" si="11"/>
        <v>1</v>
      </c>
      <c r="S27" s="14" t="str" cm="1">
        <f t="array" ref="S27">INDEX('Pregnancy-ConceptMap-2'!$I$15:$N$120,Q27+1,R27)</f>
        <v>* group[=].element[+].code = #Pregnancy.pregnancyStatus.status</v>
      </c>
    </row>
    <row r="28" spans="1:20" x14ac:dyDescent="0.75">
      <c r="B28" s="9"/>
      <c r="C28" s="9"/>
      <c r="D28" s="14"/>
      <c r="E28" s="14"/>
      <c r="F28" s="63"/>
      <c r="G28" s="70"/>
      <c r="H28" s="64"/>
      <c r="I28" s="14"/>
      <c r="J28" s="14"/>
      <c r="K28" s="14"/>
      <c r="L28" s="14"/>
      <c r="M28" s="14"/>
      <c r="N28" s="14" t="str">
        <f t="shared" si="12"/>
        <v/>
      </c>
      <c r="P28" s="9">
        <v>14</v>
      </c>
      <c r="Q28" s="9">
        <f t="shared" si="10"/>
        <v>2</v>
      </c>
      <c r="R28" s="9">
        <f t="shared" si="11"/>
        <v>2</v>
      </c>
      <c r="S28" s="14" t="str" cm="1">
        <f t="array" ref="S28">INDEX('Pregnancy-ConceptMap-2'!$I$15:$N$120,Q28+1,R28)</f>
        <v>* group[=].element[=].display = ##34#A.2.6.1.2 Status##34#</v>
      </c>
    </row>
    <row r="29" spans="1:20" x14ac:dyDescent="0.75">
      <c r="B29" s="9"/>
      <c r="C29" s="9"/>
      <c r="D29" s="14"/>
      <c r="E29" s="14"/>
      <c r="F29" s="63"/>
      <c r="G29" s="70"/>
      <c r="H29" s="64"/>
      <c r="I29" s="14"/>
      <c r="J29" s="14"/>
      <c r="K29" s="14"/>
      <c r="L29" s="14"/>
      <c r="M29" s="14"/>
      <c r="N29" s="14" t="str">
        <f t="shared" si="12"/>
        <v/>
      </c>
      <c r="P29" s="9">
        <v>15</v>
      </c>
      <c r="Q29" s="9">
        <f t="shared" si="10"/>
        <v>2</v>
      </c>
      <c r="R29" s="9">
        <f t="shared" si="11"/>
        <v>3</v>
      </c>
      <c r="S29" s="14" t="str" cm="1">
        <f t="array" ref="S29">INDEX('Pregnancy-ConceptMap-2'!$I$15:$N$120,Q29+1,R29)</f>
        <v>* group[=].element[=].target.code = #Observation.valueCodeabelConcept</v>
      </c>
    </row>
    <row r="30" spans="1:20" x14ac:dyDescent="0.75">
      <c r="B30" s="9"/>
      <c r="C30" s="9"/>
      <c r="D30" s="14"/>
      <c r="E30" s="14"/>
      <c r="F30" s="63"/>
      <c r="G30" s="70"/>
      <c r="H30" s="64"/>
      <c r="I30" s="14"/>
      <c r="J30" s="14"/>
      <c r="K30" s="14"/>
      <c r="L30" s="14"/>
      <c r="M30" s="14"/>
      <c r="N30" s="14" t="str">
        <f t="shared" si="12"/>
        <v/>
      </c>
      <c r="P30" s="9">
        <v>16</v>
      </c>
      <c r="Q30" s="9">
        <f t="shared" si="10"/>
        <v>2</v>
      </c>
      <c r="R30" s="9">
        <f t="shared" si="11"/>
        <v>4</v>
      </c>
      <c r="S30" s="14" t="str" cm="1">
        <f t="array" ref="S30">INDEX('Pregnancy-ConceptMap-2'!$I$15:$N$120,Q30+1,R30)</f>
        <v>* group[=].element[=].target.display = ##34###34#</v>
      </c>
    </row>
    <row r="31" spans="1:20" x14ac:dyDescent="0.75">
      <c r="B31" s="9"/>
      <c r="C31" s="9"/>
      <c r="D31" s="14"/>
      <c r="E31" s="14"/>
      <c r="F31" s="63"/>
      <c r="G31" s="70"/>
      <c r="H31" s="64"/>
      <c r="I31" s="14"/>
      <c r="J31" s="14"/>
      <c r="K31" s="14"/>
      <c r="L31" s="14"/>
      <c r="M31" s="14"/>
      <c r="N31" s="14" t="str">
        <f t="shared" si="12"/>
        <v/>
      </c>
      <c r="P31" s="9">
        <v>17</v>
      </c>
      <c r="Q31" s="9">
        <f t="shared" si="10"/>
        <v>2</v>
      </c>
      <c r="R31" s="9">
        <f t="shared" si="11"/>
        <v>5</v>
      </c>
      <c r="S31" s="14" t="str" cm="1">
        <f t="array" ref="S31">INDEX('Pregnancy-ConceptMap-2'!$I$15:$N$120,Q31+1,R31)</f>
        <v>* group[=].element[=].target.equivalence = #equivalent</v>
      </c>
    </row>
    <row r="32" spans="1:20" s="1" customFormat="1" x14ac:dyDescent="0.75">
      <c r="A32"/>
      <c r="B32" s="9"/>
      <c r="C32" s="9"/>
      <c r="D32" s="14"/>
      <c r="E32" s="14"/>
      <c r="F32" s="63"/>
      <c r="G32" s="81"/>
      <c r="H32" s="64"/>
      <c r="I32" s="14"/>
      <c r="J32" s="14"/>
      <c r="K32" s="14"/>
      <c r="L32" s="14"/>
      <c r="M32" s="14"/>
      <c r="N32" s="14" t="str">
        <f t="shared" si="12"/>
        <v/>
      </c>
      <c r="P32" s="9">
        <v>18</v>
      </c>
      <c r="Q32" s="9">
        <f t="shared" si="10"/>
        <v>2</v>
      </c>
      <c r="R32" s="9">
        <f t="shared" si="11"/>
        <v>6</v>
      </c>
      <c r="S32" s="14" t="str" cm="1">
        <f t="array" ref="S32">INDEX('Pregnancy-ConceptMap-2'!$I$15:$N$120,Q32+1,R32)</f>
        <v/>
      </c>
      <c r="T32"/>
    </row>
    <row r="33" spans="1:20" s="1" customFormat="1" x14ac:dyDescent="0.75">
      <c r="A33"/>
      <c r="B33" s="9"/>
      <c r="C33" s="9"/>
      <c r="D33" s="52"/>
      <c r="F33" s="64"/>
      <c r="G33" s="81"/>
      <c r="H33" s="64"/>
      <c r="I33" s="14"/>
      <c r="J33" s="14"/>
      <c r="K33" s="14"/>
      <c r="L33" s="14"/>
      <c r="M33" s="14"/>
      <c r="N33" s="14" t="str">
        <f t="shared" si="12"/>
        <v/>
      </c>
      <c r="P33" s="9">
        <v>19</v>
      </c>
      <c r="Q33" s="9">
        <f t="shared" si="10"/>
        <v>3</v>
      </c>
      <c r="R33" s="9">
        <f t="shared" si="11"/>
        <v>1</v>
      </c>
      <c r="S33" s="14" t="str" cm="1">
        <f t="array" ref="S33">INDEX('Pregnancy-ConceptMap-2'!$I$15:$N$120,Q33+1,R33)</f>
        <v>* group[=].element[+].code = #Pregnancy.pregnancyStatus.deliveryDate</v>
      </c>
      <c r="T33"/>
    </row>
    <row r="34" spans="1:20" s="1" customFormat="1" x14ac:dyDescent="0.75">
      <c r="A34"/>
      <c r="B34" s="9"/>
      <c r="C34" s="9"/>
      <c r="F34" s="64"/>
      <c r="G34" s="81"/>
      <c r="H34" s="64"/>
      <c r="I34" s="14"/>
      <c r="J34" s="14"/>
      <c r="K34" s="14"/>
      <c r="L34" s="14"/>
      <c r="M34" s="14"/>
      <c r="N34" s="14" t="str">
        <f t="shared" si="12"/>
        <v/>
      </c>
      <c r="P34" s="9">
        <v>20</v>
      </c>
      <c r="Q34" s="9">
        <f t="shared" si="10"/>
        <v>3</v>
      </c>
      <c r="R34" s="9">
        <f t="shared" si="11"/>
        <v>2</v>
      </c>
      <c r="S34" s="14" t="str" cm="1">
        <f t="array" ref="S34">INDEX('Pregnancy-ConceptMap-2'!$I$15:$N$120,Q34+1,R34)</f>
        <v>* group[=].element[=].display = ##34#A.2.6.1.3 Expected date of delivery##34#</v>
      </c>
      <c r="T34"/>
    </row>
    <row r="35" spans="1:20" s="1" customFormat="1" x14ac:dyDescent="0.75">
      <c r="A35"/>
      <c r="B35" s="9"/>
      <c r="C35" s="9"/>
      <c r="F35" s="64"/>
      <c r="G35" s="81"/>
      <c r="H35" s="64"/>
      <c r="I35" s="14"/>
      <c r="J35" s="14"/>
      <c r="K35" s="14"/>
      <c r="L35" s="14"/>
      <c r="M35" s="14"/>
      <c r="N35" s="14" t="str">
        <f t="shared" si="12"/>
        <v/>
      </c>
      <c r="P35" s="9">
        <v>21</v>
      </c>
      <c r="Q35" s="9">
        <f t="shared" si="10"/>
        <v>3</v>
      </c>
      <c r="R35" s="9">
        <f t="shared" si="11"/>
        <v>3</v>
      </c>
      <c r="S35" s="14" t="str" cm="1">
        <f t="array" ref="S35">INDEX('Pregnancy-ConceptMap-2'!$I$15:$N$120,Q35+1,R35)</f>
        <v>* group[=].element[=].target.code = #Observation.hasMember.valueDateTime</v>
      </c>
      <c r="T35"/>
    </row>
    <row r="36" spans="1:20" s="1" customFormat="1" x14ac:dyDescent="0.75">
      <c r="A36"/>
      <c r="B36" s="9"/>
      <c r="C36" s="9"/>
      <c r="F36" s="64"/>
      <c r="G36" s="81"/>
      <c r="H36" s="64"/>
      <c r="I36" s="14"/>
      <c r="J36" s="14"/>
      <c r="K36" s="14"/>
      <c r="L36" s="14"/>
      <c r="M36" s="14"/>
      <c r="N36" s="14" t="str">
        <f t="shared" si="12"/>
        <v/>
      </c>
      <c r="P36" s="9">
        <v>22</v>
      </c>
      <c r="Q36" s="9">
        <f t="shared" si="10"/>
        <v>3</v>
      </c>
      <c r="R36" s="9">
        <f t="shared" si="11"/>
        <v>4</v>
      </c>
      <c r="S36" s="14" t="str" cm="1">
        <f t="array" ref="S36">INDEX('Pregnancy-ConceptMap-2'!$I$15:$N$120,Q36+1,R36)</f>
        <v>* group[=].element[=].target.display = ##34###34#</v>
      </c>
      <c r="T36"/>
    </row>
    <row r="37" spans="1:20" s="1" customFormat="1" x14ac:dyDescent="0.75">
      <c r="A37"/>
      <c r="B37" s="9"/>
      <c r="C37" s="9"/>
      <c r="F37" s="64"/>
      <c r="G37" s="81"/>
      <c r="H37" s="64"/>
      <c r="I37" s="14"/>
      <c r="J37" s="14"/>
      <c r="K37" s="14"/>
      <c r="L37" s="14"/>
      <c r="M37" s="14"/>
      <c r="N37" s="14" t="str">
        <f t="shared" si="12"/>
        <v/>
      </c>
      <c r="P37" s="9">
        <v>23</v>
      </c>
      <c r="Q37" s="9">
        <f t="shared" si="10"/>
        <v>3</v>
      </c>
      <c r="R37" s="9">
        <f t="shared" si="11"/>
        <v>5</v>
      </c>
      <c r="S37" s="14" t="str" cm="1">
        <f t="array" ref="S37">INDEX('Pregnancy-ConceptMap-2'!$I$15:$N$120,Q37+1,R37)</f>
        <v>* group[=].element[=].target.equivalence = #equivalent</v>
      </c>
      <c r="T37"/>
    </row>
    <row r="38" spans="1:20" s="1" customFormat="1" ht="29.5" x14ac:dyDescent="0.75">
      <c r="A38"/>
      <c r="B38" s="9"/>
      <c r="C38" s="9"/>
      <c r="F38" s="64"/>
      <c r="G38" s="81"/>
      <c r="H38" s="64"/>
      <c r="I38" s="14"/>
      <c r="J38" s="14"/>
      <c r="K38" s="14"/>
      <c r="L38" s="14"/>
      <c r="M38" s="14"/>
      <c r="N38" s="14" t="str">
        <f t="shared" si="12"/>
        <v/>
      </c>
      <c r="P38" s="9">
        <v>24</v>
      </c>
      <c r="Q38" s="9">
        <f t="shared" si="10"/>
        <v>3</v>
      </c>
      <c r="R38" s="9">
        <f t="shared" si="11"/>
        <v>6</v>
      </c>
      <c r="S38" s="14" t="str" cm="1">
        <f t="array" ref="S38">INDEX('Pregnancy-ConceptMap-2'!$I$15:$N$120,Q38+1,R38)</f>
        <v>* group[=].element[=].target.comment = ##34#Where hasMember.code IN PregnancyExpectedDeliveryDateMethodUvIps value set##34#</v>
      </c>
      <c r="T38"/>
    </row>
    <row r="39" spans="1:20" s="1" customFormat="1" x14ac:dyDescent="0.75">
      <c r="A39"/>
      <c r="B39" s="9"/>
      <c r="C39"/>
      <c r="F39" s="64"/>
      <c r="G39" s="81"/>
      <c r="H39" s="64"/>
      <c r="I39" s="14"/>
      <c r="J39" s="14"/>
      <c r="K39" s="14"/>
      <c r="L39" s="14"/>
      <c r="M39" s="14"/>
      <c r="N39" s="14" t="str">
        <f t="shared" si="12"/>
        <v/>
      </c>
      <c r="P39" s="9">
        <v>25</v>
      </c>
      <c r="Q39" s="9">
        <f t="shared" si="10"/>
        <v>4</v>
      </c>
      <c r="R39" s="9">
        <f t="shared" si="11"/>
        <v>1</v>
      </c>
      <c r="S39" s="14" cm="1">
        <f t="array" ref="S39">INDEX('Pregnancy-ConceptMap-2'!$I$15:$N$120,Q39+1,R39)</f>
        <v>0</v>
      </c>
      <c r="T39"/>
    </row>
    <row r="40" spans="1:20" s="1" customFormat="1" x14ac:dyDescent="0.75">
      <c r="A40"/>
      <c r="B40" s="9"/>
      <c r="C40"/>
      <c r="F40" s="64"/>
      <c r="G40" s="81"/>
      <c r="H40" s="64"/>
      <c r="I40" s="14"/>
      <c r="J40" s="14"/>
      <c r="K40" s="14"/>
      <c r="L40" s="14"/>
      <c r="M40" s="14"/>
      <c r="N40" s="14" t="str">
        <f t="shared" si="12"/>
        <v/>
      </c>
      <c r="P40" s="9">
        <v>26</v>
      </c>
      <c r="Q40" s="9">
        <f t="shared" si="10"/>
        <v>4</v>
      </c>
      <c r="R40" s="9">
        <f t="shared" si="11"/>
        <v>2</v>
      </c>
      <c r="S40" s="14" cm="1">
        <f t="array" ref="S40">INDEX('Pregnancy-ConceptMap-2'!$I$15:$N$120,Q40+1,R40)</f>
        <v>0</v>
      </c>
      <c r="T40"/>
    </row>
    <row r="41" spans="1:20" x14ac:dyDescent="0.75">
      <c r="P41" s="9">
        <v>27</v>
      </c>
      <c r="Q41" s="9">
        <f t="shared" si="10"/>
        <v>4</v>
      </c>
      <c r="R41" s="9">
        <f t="shared" si="11"/>
        <v>3</v>
      </c>
      <c r="S41" s="14" cm="1">
        <f t="array" ref="S41">INDEX('Pregnancy-ConceptMap-2'!$I$15:$N$120,Q41+1,R41)</f>
        <v>0</v>
      </c>
    </row>
    <row r="42" spans="1:20" x14ac:dyDescent="0.75">
      <c r="P42" s="9">
        <v>28</v>
      </c>
      <c r="Q42" s="9">
        <f t="shared" si="10"/>
        <v>4</v>
      </c>
      <c r="R42" s="9">
        <f t="shared" si="11"/>
        <v>4</v>
      </c>
      <c r="S42" s="14" cm="1">
        <f t="array" ref="S42">INDEX('Pregnancy-ConceptMap-2'!$I$15:$N$120,Q42+1,R42)</f>
        <v>0</v>
      </c>
    </row>
    <row r="43" spans="1:20" x14ac:dyDescent="0.75">
      <c r="P43" s="9">
        <v>29</v>
      </c>
      <c r="Q43" s="9">
        <f t="shared" si="10"/>
        <v>4</v>
      </c>
      <c r="R43" s="9">
        <f t="shared" si="11"/>
        <v>5</v>
      </c>
      <c r="S43" s="14" cm="1">
        <f t="array" ref="S43">INDEX('Pregnancy-ConceptMap-2'!$I$15:$N$120,Q43+1,R43)</f>
        <v>0</v>
      </c>
    </row>
    <row r="44" spans="1:20" x14ac:dyDescent="0.75">
      <c r="P44" s="9">
        <v>30</v>
      </c>
      <c r="Q44" s="9">
        <f t="shared" si="10"/>
        <v>4</v>
      </c>
      <c r="R44" s="9">
        <f t="shared" si="11"/>
        <v>6</v>
      </c>
      <c r="S44" s="14" cm="1">
        <f t="array" ref="S44">INDEX('Pregnancy-ConceptMap-2'!$I$15:$N$120,Q44+1,R44)</f>
        <v>0</v>
      </c>
    </row>
    <row r="45" spans="1:20" x14ac:dyDescent="0.75">
      <c r="P45" s="9">
        <v>31</v>
      </c>
      <c r="Q45" s="9">
        <f t="shared" si="10"/>
        <v>5</v>
      </c>
      <c r="R45" s="9">
        <f t="shared" si="11"/>
        <v>1</v>
      </c>
      <c r="S45" s="14" cm="1">
        <f t="array" ref="S45">INDEX('Pregnancy-ConceptMap-2'!$I$15:$N$120,Q45+1,R45)</f>
        <v>0</v>
      </c>
    </row>
    <row r="46" spans="1:20" x14ac:dyDescent="0.75">
      <c r="P46" s="9">
        <v>32</v>
      </c>
      <c r="Q46" s="9">
        <f t="shared" si="10"/>
        <v>5</v>
      </c>
      <c r="R46" s="9">
        <f t="shared" si="11"/>
        <v>2</v>
      </c>
      <c r="S46" s="14" cm="1">
        <f t="array" ref="S46">INDEX('Pregnancy-ConceptMap-2'!$I$15:$N$120,Q46+1,R46)</f>
        <v>0</v>
      </c>
    </row>
    <row r="47" spans="1:20" x14ac:dyDescent="0.75">
      <c r="P47" s="9">
        <v>33</v>
      </c>
      <c r="Q47" s="9">
        <f t="shared" si="10"/>
        <v>5</v>
      </c>
      <c r="R47" s="9">
        <f t="shared" si="11"/>
        <v>3</v>
      </c>
      <c r="S47" s="14" cm="1">
        <f t="array" ref="S47">INDEX('Pregnancy-ConceptMap-2'!$I$15:$N$120,Q47+1,R47)</f>
        <v>0</v>
      </c>
    </row>
    <row r="48" spans="1:20" x14ac:dyDescent="0.75">
      <c r="P48" s="9">
        <v>34</v>
      </c>
      <c r="Q48" s="9">
        <f t="shared" si="10"/>
        <v>5</v>
      </c>
      <c r="R48" s="9">
        <f t="shared" si="11"/>
        <v>4</v>
      </c>
      <c r="S48" s="14" cm="1">
        <f t="array" ref="S48">INDEX('Pregnancy-ConceptMap-2'!$I$15:$N$120,Q48+1,R48)</f>
        <v>0</v>
      </c>
    </row>
    <row r="49" spans="16:19" x14ac:dyDescent="0.75">
      <c r="P49" s="9">
        <v>35</v>
      </c>
      <c r="Q49" s="9">
        <f t="shared" si="10"/>
        <v>5</v>
      </c>
      <c r="R49" s="9">
        <f t="shared" si="11"/>
        <v>5</v>
      </c>
      <c r="S49" s="14" cm="1">
        <f t="array" ref="S49">INDEX('Pregnancy-ConceptMap-2'!$I$15:$N$120,Q49+1,R49)</f>
        <v>0</v>
      </c>
    </row>
    <row r="50" spans="16:19" x14ac:dyDescent="0.75">
      <c r="P50" s="9">
        <v>36</v>
      </c>
      <c r="Q50" s="9">
        <f t="shared" si="10"/>
        <v>5</v>
      </c>
      <c r="R50" s="9">
        <f t="shared" si="11"/>
        <v>6</v>
      </c>
      <c r="S50" s="14" cm="1">
        <f t="array" ref="S50">INDEX('Pregnancy-ConceptMap-2'!$I$15:$N$120,Q50+1,R50)</f>
        <v>0</v>
      </c>
    </row>
    <row r="51" spans="16:19" x14ac:dyDescent="0.75">
      <c r="P51" s="9">
        <v>37</v>
      </c>
      <c r="Q51" s="9">
        <f t="shared" si="10"/>
        <v>6</v>
      </c>
      <c r="R51" s="9">
        <f t="shared" si="11"/>
        <v>1</v>
      </c>
      <c r="S51" s="14" cm="1">
        <f t="array" ref="S51">INDEX('Pregnancy-ConceptMap-2'!$I$15:$N$120,Q51+1,R51)</f>
        <v>0</v>
      </c>
    </row>
    <row r="52" spans="16:19" x14ac:dyDescent="0.75">
      <c r="P52" s="9">
        <v>38</v>
      </c>
      <c r="Q52" s="9">
        <f t="shared" si="10"/>
        <v>6</v>
      </c>
      <c r="R52" s="9">
        <f t="shared" si="11"/>
        <v>2</v>
      </c>
      <c r="S52" s="14" cm="1">
        <f t="array" ref="S52">INDEX('Pregnancy-ConceptMap-2'!$I$15:$N$120,Q52+1,R52)</f>
        <v>0</v>
      </c>
    </row>
    <row r="53" spans="16:19" x14ac:dyDescent="0.75">
      <c r="P53" s="9">
        <v>39</v>
      </c>
      <c r="Q53" s="9">
        <f t="shared" si="10"/>
        <v>6</v>
      </c>
      <c r="R53" s="9">
        <f t="shared" si="11"/>
        <v>3</v>
      </c>
      <c r="S53" s="14" cm="1">
        <f t="array" ref="S53">INDEX('Pregnancy-ConceptMap-2'!$I$15:$N$120,Q53+1,R53)</f>
        <v>0</v>
      </c>
    </row>
    <row r="54" spans="16:19" x14ac:dyDescent="0.75">
      <c r="P54" s="9">
        <v>40</v>
      </c>
      <c r="Q54" s="9">
        <f t="shared" si="10"/>
        <v>6</v>
      </c>
      <c r="R54" s="9">
        <f t="shared" si="11"/>
        <v>4</v>
      </c>
      <c r="S54" s="14" cm="1">
        <f t="array" ref="S54">INDEX('Pregnancy-ConceptMap-2'!$I$15:$N$120,Q54+1,R54)</f>
        <v>0</v>
      </c>
    </row>
    <row r="55" spans="16:19" x14ac:dyDescent="0.75">
      <c r="P55" s="9">
        <v>41</v>
      </c>
      <c r="Q55" s="9">
        <f t="shared" si="10"/>
        <v>6</v>
      </c>
      <c r="R55" s="9">
        <f t="shared" si="11"/>
        <v>5</v>
      </c>
      <c r="S55" s="14" cm="1">
        <f t="array" ref="S55">INDEX('Pregnancy-ConceptMap-2'!$I$15:$N$120,Q55+1,R55)</f>
        <v>0</v>
      </c>
    </row>
    <row r="56" spans="16:19" x14ac:dyDescent="0.75">
      <c r="P56" s="9">
        <v>42</v>
      </c>
      <c r="Q56" s="9">
        <f t="shared" si="10"/>
        <v>6</v>
      </c>
      <c r="R56" s="9">
        <f t="shared" si="11"/>
        <v>6</v>
      </c>
      <c r="S56" s="14" t="str" cm="1">
        <f t="array" ref="S56">INDEX('Pregnancy-ConceptMap-2'!$I$15:$N$120,Q56+1,R56)</f>
        <v/>
      </c>
    </row>
    <row r="57" spans="16:19" x14ac:dyDescent="0.75">
      <c r="P57" s="9">
        <v>43</v>
      </c>
      <c r="Q57" s="9">
        <f t="shared" si="10"/>
        <v>7</v>
      </c>
      <c r="R57" s="9">
        <f t="shared" si="11"/>
        <v>1</v>
      </c>
      <c r="S57" s="14" cm="1">
        <f t="array" ref="S57">INDEX('Pregnancy-ConceptMap-2'!$I$15:$N$120,Q57+1,R57)</f>
        <v>0</v>
      </c>
    </row>
    <row r="58" spans="16:19" x14ac:dyDescent="0.75">
      <c r="P58" s="9">
        <v>44</v>
      </c>
      <c r="Q58" s="9">
        <f t="shared" si="10"/>
        <v>7</v>
      </c>
      <c r="R58" s="9">
        <f t="shared" si="11"/>
        <v>2</v>
      </c>
      <c r="S58" s="14" cm="1">
        <f t="array" ref="S58">INDEX('Pregnancy-ConceptMap-2'!$I$15:$N$120,Q58+1,R58)</f>
        <v>0</v>
      </c>
    </row>
    <row r="59" spans="16:19" x14ac:dyDescent="0.75">
      <c r="P59" s="9">
        <v>45</v>
      </c>
      <c r="Q59" s="9">
        <f t="shared" si="10"/>
        <v>7</v>
      </c>
      <c r="R59" s="9">
        <f t="shared" si="11"/>
        <v>3</v>
      </c>
      <c r="S59" s="14" cm="1">
        <f t="array" ref="S59">INDEX('Pregnancy-ConceptMap-2'!$I$15:$N$120,Q59+1,R59)</f>
        <v>0</v>
      </c>
    </row>
    <row r="60" spans="16:19" x14ac:dyDescent="0.75">
      <c r="P60" s="9">
        <v>46</v>
      </c>
      <c r="Q60" s="9">
        <f t="shared" si="10"/>
        <v>7</v>
      </c>
      <c r="R60" s="9">
        <f t="shared" si="11"/>
        <v>4</v>
      </c>
      <c r="S60" s="14" cm="1">
        <f t="array" ref="S60">INDEX('Pregnancy-ConceptMap-2'!$I$15:$N$120,Q60+1,R60)</f>
        <v>0</v>
      </c>
    </row>
    <row r="61" spans="16:19" x14ac:dyDescent="0.75">
      <c r="P61" s="9">
        <v>47</v>
      </c>
      <c r="Q61" s="9">
        <f t="shared" si="10"/>
        <v>7</v>
      </c>
      <c r="R61" s="9">
        <f t="shared" si="11"/>
        <v>5</v>
      </c>
      <c r="S61" s="14" cm="1">
        <f t="array" ref="S61">INDEX('Pregnancy-ConceptMap-2'!$I$15:$N$120,Q61+1,R61)</f>
        <v>0</v>
      </c>
    </row>
    <row r="62" spans="16:19" x14ac:dyDescent="0.75">
      <c r="P62" s="9">
        <v>48</v>
      </c>
      <c r="Q62" s="9">
        <f t="shared" si="10"/>
        <v>7</v>
      </c>
      <c r="R62" s="9">
        <f t="shared" si="11"/>
        <v>6</v>
      </c>
      <c r="S62" s="14" t="str" cm="1">
        <f t="array" ref="S62">INDEX('Pregnancy-ConceptMap-2'!$I$15:$N$120,Q62+1,R62)</f>
        <v/>
      </c>
    </row>
    <row r="63" spans="16:19" x14ac:dyDescent="0.75">
      <c r="P63" s="9">
        <v>49</v>
      </c>
      <c r="Q63" s="9">
        <f t="shared" si="10"/>
        <v>8</v>
      </c>
      <c r="R63" s="9">
        <f t="shared" si="11"/>
        <v>1</v>
      </c>
      <c r="S63" s="14" cm="1">
        <f t="array" ref="S63">INDEX('Pregnancy-ConceptMap-2'!$I$15:$N$120,Q63+1,R63)</f>
        <v>0</v>
      </c>
    </row>
    <row r="64" spans="16:19" x14ac:dyDescent="0.75">
      <c r="P64" s="9">
        <v>50</v>
      </c>
      <c r="Q64" s="9">
        <f t="shared" si="10"/>
        <v>8</v>
      </c>
      <c r="R64" s="9">
        <f t="shared" si="11"/>
        <v>2</v>
      </c>
      <c r="S64" s="14" cm="1">
        <f t="array" ref="S64">INDEX('Pregnancy-ConceptMap-2'!$I$15:$N$120,Q64+1,R64)</f>
        <v>0</v>
      </c>
    </row>
    <row r="65" spans="16:19" x14ac:dyDescent="0.75">
      <c r="P65" s="9">
        <v>51</v>
      </c>
      <c r="Q65" s="9">
        <f t="shared" si="10"/>
        <v>8</v>
      </c>
      <c r="R65" s="9">
        <f t="shared" si="11"/>
        <v>3</v>
      </c>
      <c r="S65" s="14" cm="1">
        <f t="array" ref="S65">INDEX('Pregnancy-ConceptMap-2'!$I$15:$N$120,Q65+1,R65)</f>
        <v>0</v>
      </c>
    </row>
    <row r="66" spans="16:19" x14ac:dyDescent="0.75">
      <c r="P66" s="9">
        <v>52</v>
      </c>
      <c r="Q66" s="9">
        <f t="shared" si="10"/>
        <v>8</v>
      </c>
      <c r="R66" s="9">
        <f t="shared" si="11"/>
        <v>4</v>
      </c>
      <c r="S66" s="14" cm="1">
        <f t="array" ref="S66">INDEX('Pregnancy-ConceptMap-2'!$I$15:$N$120,Q66+1,R66)</f>
        <v>0</v>
      </c>
    </row>
    <row r="67" spans="16:19" x14ac:dyDescent="0.75">
      <c r="P67" s="9">
        <v>53</v>
      </c>
      <c r="Q67" s="9">
        <f t="shared" si="10"/>
        <v>8</v>
      </c>
      <c r="R67" s="9">
        <f t="shared" si="11"/>
        <v>5</v>
      </c>
      <c r="S67" s="14" cm="1">
        <f t="array" ref="S67">INDEX('Pregnancy-ConceptMap-2'!$I$15:$N$120,Q67+1,R67)</f>
        <v>0</v>
      </c>
    </row>
    <row r="68" spans="16:19" x14ac:dyDescent="0.75">
      <c r="P68" s="9">
        <v>54</v>
      </c>
      <c r="Q68" s="9">
        <f t="shared" si="10"/>
        <v>8</v>
      </c>
      <c r="R68" s="9">
        <f t="shared" si="11"/>
        <v>6</v>
      </c>
      <c r="S68" s="14" t="str" cm="1">
        <f t="array" ref="S68">INDEX('Pregnancy-ConceptMap-2'!$I$15:$N$120,Q68+1,R68)</f>
        <v/>
      </c>
    </row>
    <row r="69" spans="16:19" x14ac:dyDescent="0.75">
      <c r="P69" s="9">
        <v>55</v>
      </c>
      <c r="Q69" s="9">
        <f t="shared" si="10"/>
        <v>9</v>
      </c>
      <c r="R69" s="9">
        <f t="shared" si="11"/>
        <v>1</v>
      </c>
      <c r="S69" s="14" cm="1">
        <f t="array" ref="S69">INDEX('Pregnancy-ConceptMap-2'!$I$15:$N$120,Q69+1,R69)</f>
        <v>0</v>
      </c>
    </row>
    <row r="70" spans="16:19" x14ac:dyDescent="0.75">
      <c r="P70" s="9">
        <v>56</v>
      </c>
      <c r="Q70" s="9">
        <f t="shared" si="10"/>
        <v>9</v>
      </c>
      <c r="R70" s="9">
        <f t="shared" si="11"/>
        <v>2</v>
      </c>
      <c r="S70" s="14" cm="1">
        <f t="array" ref="S70">INDEX('Pregnancy-ConceptMap-2'!$I$15:$N$120,Q70+1,R70)</f>
        <v>0</v>
      </c>
    </row>
    <row r="71" spans="16:19" x14ac:dyDescent="0.75">
      <c r="P71" s="9">
        <v>57</v>
      </c>
      <c r="Q71" s="9">
        <f t="shared" si="10"/>
        <v>9</v>
      </c>
      <c r="R71" s="9">
        <f t="shared" si="11"/>
        <v>3</v>
      </c>
      <c r="S71" s="14" cm="1">
        <f t="array" ref="S71">INDEX('Pregnancy-ConceptMap-2'!$I$15:$N$120,Q71+1,R71)</f>
        <v>0</v>
      </c>
    </row>
    <row r="72" spans="16:19" x14ac:dyDescent="0.75">
      <c r="P72" s="9">
        <v>58</v>
      </c>
      <c r="Q72" s="9">
        <f t="shared" si="10"/>
        <v>9</v>
      </c>
      <c r="R72" s="9">
        <f t="shared" si="11"/>
        <v>4</v>
      </c>
      <c r="S72" s="14" cm="1">
        <f t="array" ref="S72">INDEX('Pregnancy-ConceptMap-2'!$I$15:$N$120,Q72+1,R72)</f>
        <v>0</v>
      </c>
    </row>
    <row r="73" spans="16:19" x14ac:dyDescent="0.75">
      <c r="P73" s="9">
        <v>59</v>
      </c>
      <c r="Q73" s="9">
        <f t="shared" si="10"/>
        <v>9</v>
      </c>
      <c r="R73" s="9">
        <f t="shared" si="11"/>
        <v>5</v>
      </c>
      <c r="S73" s="14" cm="1">
        <f t="array" ref="S73">INDEX('Pregnancy-ConceptMap-2'!$I$15:$N$120,Q73+1,R73)</f>
        <v>0</v>
      </c>
    </row>
    <row r="74" spans="16:19" x14ac:dyDescent="0.75">
      <c r="P74" s="9">
        <v>60</v>
      </c>
      <c r="Q74" s="9">
        <f t="shared" si="10"/>
        <v>9</v>
      </c>
      <c r="R74" s="9">
        <f t="shared" si="11"/>
        <v>6</v>
      </c>
      <c r="S74" s="14" t="str" cm="1">
        <f t="array" ref="S74">INDEX('Pregnancy-ConceptMap-2'!$I$15:$N$120,Q74+1,R74)</f>
        <v/>
      </c>
    </row>
    <row r="75" spans="16:19" x14ac:dyDescent="0.75">
      <c r="P75" s="9">
        <v>61</v>
      </c>
      <c r="Q75" s="9">
        <f t="shared" si="10"/>
        <v>10</v>
      </c>
      <c r="R75" s="9">
        <f t="shared" si="11"/>
        <v>1</v>
      </c>
      <c r="S75" s="14" cm="1">
        <f t="array" ref="S75">INDEX('Pregnancy-ConceptMap-2'!$I$15:$N$120,Q75+1,R75)</f>
        <v>0</v>
      </c>
    </row>
    <row r="76" spans="16:19" x14ac:dyDescent="0.75">
      <c r="P76" s="9">
        <v>62</v>
      </c>
      <c r="Q76" s="9">
        <f t="shared" si="10"/>
        <v>10</v>
      </c>
      <c r="R76" s="9">
        <f t="shared" si="11"/>
        <v>2</v>
      </c>
      <c r="S76" s="14" cm="1">
        <f t="array" ref="S76">INDEX('Pregnancy-ConceptMap-2'!$I$15:$N$120,Q76+1,R76)</f>
        <v>0</v>
      </c>
    </row>
    <row r="77" spans="16:19" x14ac:dyDescent="0.75">
      <c r="P77" s="9">
        <v>63</v>
      </c>
      <c r="Q77" s="9">
        <f t="shared" si="10"/>
        <v>10</v>
      </c>
      <c r="R77" s="9">
        <f t="shared" si="11"/>
        <v>3</v>
      </c>
      <c r="S77" s="14" cm="1">
        <f t="array" ref="S77">INDEX('Pregnancy-ConceptMap-2'!$I$15:$N$120,Q77+1,R77)</f>
        <v>0</v>
      </c>
    </row>
    <row r="78" spans="16:19" x14ac:dyDescent="0.75">
      <c r="P78" s="9">
        <v>64</v>
      </c>
      <c r="Q78" s="9">
        <f t="shared" si="10"/>
        <v>10</v>
      </c>
      <c r="R78" s="9">
        <f t="shared" si="11"/>
        <v>4</v>
      </c>
      <c r="S78" s="14" cm="1">
        <f t="array" ref="S78">INDEX('Pregnancy-ConceptMap-2'!$I$15:$N$120,Q78+1,R78)</f>
        <v>0</v>
      </c>
    </row>
  </sheetData>
  <mergeCells count="5">
    <mergeCell ref="B1:C1"/>
    <mergeCell ref="E3:G3"/>
    <mergeCell ref="E4:G4"/>
    <mergeCell ref="E6:G6"/>
    <mergeCell ref="E7:G7"/>
  </mergeCells>
  <hyperlinks>
    <hyperlink ref="E3" r:id="rId1" display="http://hl7.eu/fhir/laboratory/StructureDefinition/LeaglAu" xr:uid="{A3711A53-F4D5-4EB4-A263-654EC7664AAC}"/>
    <hyperlink ref="E6" r:id="rId2" display="http://hl7.eu/fhir/laboratory/StructureDefinition/Recipient" xr:uid="{E40C68BF-A85E-4574-9AFC-9411DD098943}"/>
    <hyperlink ref="E7" r:id="rId3" display="http://hl7.eu/fhir/StructureDefinition/information-recipient" xr:uid="{7097B404-E48B-4FAB-8404-DF5528007BB5}"/>
    <hyperlink ref="E4" r:id="rId4" xr:uid="{10D1DBFF-5B66-4559-8138-889887C31D6B}"/>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BD-BCB1-4116-920B-1B32794F80BC}">
  <sheetPr codeName="Foglio75">
    <tabColor theme="0" tint="-0.499984740745262"/>
  </sheetPr>
  <dimension ref="A1:T80"/>
  <sheetViews>
    <sheetView topLeftCell="N11" zoomScale="78"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1316</v>
      </c>
      <c r="C1" s="167"/>
      <c r="E1" s="141" t="s">
        <v>1317</v>
      </c>
    </row>
    <row r="2" spans="1:19" ht="15.5" thickBot="1" x14ac:dyDescent="0.9"/>
    <row r="3" spans="1:19" ht="15.5" thickBot="1" x14ac:dyDescent="0.9">
      <c r="B3" s="61" t="s">
        <v>34</v>
      </c>
      <c r="C3" s="47" t="s">
        <v>1246</v>
      </c>
      <c r="D3" s="61" t="s">
        <v>208</v>
      </c>
      <c r="E3" s="165" t="str">
        <f>"http://hl7.eu/fhir/ig/xpandh/ps/StructureDefinition/"&amp;'A.2.3.3 Pregnancy'!B5</f>
        <v>http://hl7.eu/fhir/ig/xpandh/ps/StructureDefinition/Pregnancy</v>
      </c>
      <c r="F3" s="164"/>
      <c r="G3" s="164"/>
    </row>
    <row r="4" spans="1:19" x14ac:dyDescent="0.75">
      <c r="B4" s="61" t="s">
        <v>19</v>
      </c>
      <c r="C4" s="47" t="s">
        <v>1247</v>
      </c>
      <c r="D4" s="61" t="s">
        <v>209</v>
      </c>
      <c r="E4" s="168" t="s">
        <v>1223</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245</v>
      </c>
      <c r="E14" s="110"/>
      <c r="F14" s="3"/>
      <c r="I14" s="14"/>
      <c r="J14" s="9"/>
      <c r="K14" s="9"/>
      <c r="L14" s="9"/>
      <c r="M14" s="59"/>
      <c r="N14" s="62"/>
    </row>
    <row r="15" spans="1:19" ht="88.5" x14ac:dyDescent="0.75">
      <c r="A15" s="22"/>
      <c r="B15" s="9" t="str">
        <f>'A.2.3.3 Pregnancy'!B12</f>
        <v>hxPreviousPregnancies</v>
      </c>
      <c r="C15" s="9" t="str">
        <f>'A.2.3.3 Pregnancy'!C12</f>
        <v>A.2.6.2 History of previous pregnancies</v>
      </c>
      <c r="D15" s="4"/>
      <c r="E15" s="9"/>
      <c r="F15" s="63" t="s">
        <v>193</v>
      </c>
      <c r="G15" s="14"/>
      <c r="H15" s="64"/>
      <c r="I15" s="14" t="str">
        <f t="shared" ref="I15" si="0">"* group[=].element[+].code = #"&amp;$B$14&amp;"."&amp;B15</f>
        <v>* group[=].element[+].code = #Pregnancy.hxPreviousPregnancies</v>
      </c>
      <c r="J15" s="14" t="str">
        <f t="shared" ref="J15" si="1">"* group[=].element[=].display = ##34#"&amp;C15&amp;"##34#"</f>
        <v>* group[=].element[=].display = ##34#A.2.6.2 History of previous pregnancies##34#</v>
      </c>
      <c r="K15" s="14" t="str">
        <f t="shared" ref="K15" si="2">IF(F15="unmatched","//-- unmatched","* group[=].element[=].target.code = #"&amp;$D$14&amp;"."&amp;D15)</f>
        <v>* group[=].element[=].target.code = #Observation.</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INDEX('Pregnancy-ConceptMap-3'!$I$15:$N$122,Q15+1,R15)</f>
        <v>* group[=].element[+].code = #Pregnancy.hxPreviousPregnancies</v>
      </c>
    </row>
    <row r="16" spans="1:19" ht="73.75" x14ac:dyDescent="0.75">
      <c r="A16" s="22"/>
      <c r="B16" s="9" t="str">
        <f>'A.2.3.3 Pregnancy'!B13</f>
        <v>hxPreviousPregnancies.status</v>
      </c>
      <c r="C16" s="9" t="str">
        <f>'A.2.3.3 Pregnancy'!C13</f>
        <v>A.2.6.2.1 Previous pregnancies status</v>
      </c>
      <c r="D16" s="4" t="s">
        <v>1282</v>
      </c>
      <c r="E16" s="9"/>
      <c r="F16" s="63" t="s">
        <v>193</v>
      </c>
      <c r="G16" s="4" t="s">
        <v>1283</v>
      </c>
      <c r="H16" s="64"/>
      <c r="I16" s="14" t="str">
        <f t="shared" ref="I16:I20" si="8">"* group[=].element[+].code = #"&amp;$B$14&amp;"."&amp;B16</f>
        <v>* group[=].element[+].code = #Pregnancy.hxPreviousPregnancies.status</v>
      </c>
      <c r="J16" s="14" t="str">
        <f t="shared" ref="J16:J20" si="9">"* group[=].element[=].display = ##34#"&amp;C16&amp;"##34#"</f>
        <v>* group[=].element[=].display = ##34#A.2.6.2.1 Previous pregnancies status##34#</v>
      </c>
      <c r="K16" s="14" t="str">
        <f t="shared" ref="K16:K20" si="10">IF(F16="unmatched","//-- unmatched","* group[=].element[=].target.code = #"&amp;$D$14&amp;"."&amp;D16)</f>
        <v>* group[=].element[=].target.code = #Observation.section:sectionPregnancyHx.entry</v>
      </c>
      <c r="L16" s="14" t="str">
        <f t="shared" ref="L16:L20" si="11">IF(F16="unmatched","//-- unmatched","* group[=].element[=].target.display = ##34#"&amp;E16&amp;"##34#")</f>
        <v>* group[=].element[=].target.display = ##34###34#</v>
      </c>
      <c r="M16" s="14" t="str">
        <f t="shared" ref="M16:M20" si="12">"* group[=].element[=].target.equivalence = #"&amp;F16</f>
        <v>* group[=].element[=].target.equivalence = #relatedto</v>
      </c>
      <c r="N16" s="14" t="str">
        <f t="shared" ref="N16:N20" si="13">IF(G16&lt;&gt;"",CONCATENATE("* group[=].element[=].target.comment = ","##34#",G16,"##34#"),"")</f>
        <v>* group[=].element[=].target.comment = ##34#Observation profile to be added##34#</v>
      </c>
      <c r="P16" s="9">
        <v>2</v>
      </c>
      <c r="Q16" s="9">
        <f t="shared" ref="Q16:Q79" si="14">IF(MOD(P16,$Q$8)=0,P16/$Q$8-1,INT(P16/$Q$8))</f>
        <v>0</v>
      </c>
      <c r="R16" s="9">
        <f t="shared" ref="R16:R79" si="15">IF(MOD(P16,$Q$8)=0,$Q$8,MOD(P16,$Q$8))</f>
        <v>2</v>
      </c>
      <c r="S16" s="14" t="str" cm="1">
        <f t="array" ref="S16">INDEX('Pregnancy-ConceptMap-3'!$I$15:$N$122,Q16+1,R16)</f>
        <v>* group[=].element[=].display = ##34#A.2.6.2 History of previous pregnancies##34#</v>
      </c>
    </row>
    <row r="17" spans="1:19" ht="44.25" x14ac:dyDescent="0.75">
      <c r="A17" s="22"/>
      <c r="B17" s="9" t="str">
        <f>'A.2.3.3 Pregnancy'!B14</f>
        <v>hxPreviousPregnancies.description</v>
      </c>
      <c r="C17" s="9" t="str">
        <f>'A.2.3.3 Pregnancy'!C14</f>
        <v>A.2.6.2.2 Previous pregnancies description</v>
      </c>
      <c r="D17" s="4"/>
      <c r="E17" s="9"/>
      <c r="F17" s="63" t="s">
        <v>193</v>
      </c>
      <c r="G17" s="79" t="s">
        <v>515</v>
      </c>
      <c r="H17" s="64"/>
      <c r="I17" s="14" t="str">
        <f t="shared" si="8"/>
        <v>* group[=].element[+].code = #Pregnancy.hxPreviousPregnancies.description</v>
      </c>
      <c r="J17" s="14" t="str">
        <f t="shared" si="9"/>
        <v>* group[=].element[=].display = ##34#A.2.6.2.2 Previous pregnancies description##34#</v>
      </c>
      <c r="K17" s="14" t="str">
        <f t="shared" si="10"/>
        <v>* group[=].element[=].target.code = #Observation.</v>
      </c>
      <c r="L17" s="14" t="str">
        <f t="shared" si="11"/>
        <v>* group[=].element[=].target.display = ##34###34#</v>
      </c>
      <c r="M17" s="14" t="str">
        <f t="shared" si="12"/>
        <v>* group[=].element[=].target.equivalence = #relatedto</v>
      </c>
      <c r="N17" s="14" t="str">
        <f t="shared" si="13"/>
        <v>* group[=].element[=].target.comment = ##34#To be checked##34#</v>
      </c>
      <c r="P17" s="9">
        <v>3</v>
      </c>
      <c r="Q17" s="9">
        <f t="shared" si="14"/>
        <v>0</v>
      </c>
      <c r="R17" s="9">
        <f t="shared" si="15"/>
        <v>3</v>
      </c>
      <c r="S17" s="14" t="str" cm="1">
        <f t="array" ref="S17">INDEX('Pregnancy-ConceptMap-3'!$I$15:$N$122,Q17+1,R17)</f>
        <v>* group[=].element[=].target.code = #Observation.</v>
      </c>
    </row>
    <row r="18" spans="1:19" ht="59" x14ac:dyDescent="0.75">
      <c r="A18" s="22"/>
      <c r="B18" s="9" t="str">
        <f>'A.2.3.3 Pregnancy'!B15</f>
        <v>hxPreviousPregnancies.description.outcomeDate</v>
      </c>
      <c r="C18" s="9" t="str">
        <f>'A.2.3.3 Pregnancy'!C15</f>
        <v>A.2.6.2.2.1 Outcome date</v>
      </c>
      <c r="D18" s="14" t="s">
        <v>1098</v>
      </c>
      <c r="E18" s="9"/>
      <c r="F18" s="63" t="s">
        <v>192</v>
      </c>
      <c r="G18" s="70"/>
      <c r="H18" s="64"/>
      <c r="I18" s="14" t="str">
        <f t="shared" si="8"/>
        <v>* group[=].element[+].code = #Pregnancy.hxPreviousPregnancies.description.outcomeDate</v>
      </c>
      <c r="J18" s="14" t="str">
        <f t="shared" si="9"/>
        <v>* group[=].element[=].display = ##34#A.2.6.2.2.1 Outcome date##34#</v>
      </c>
      <c r="K18" s="14" t="str">
        <f t="shared" si="10"/>
        <v>* group[=].element[=].target.code = #Observation.effectiveDateTime</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INDEX('Pregnancy-ConceptMap-3'!$I$15:$N$122,Q18+1,R18)</f>
        <v>* group[=].element[=].target.display = ##34###34#</v>
      </c>
    </row>
    <row r="19" spans="1:19" ht="44.25" x14ac:dyDescent="0.75">
      <c r="A19" s="22"/>
      <c r="B19" s="9" t="str">
        <f>'A.2.3.3 Pregnancy'!B16</f>
        <v>hxPreviousPregnancies.description.outcome</v>
      </c>
      <c r="C19" s="9" t="str">
        <f>'A.2.3.3 Pregnancy'!C16</f>
        <v>A.2.6.2.2.2 Outcome</v>
      </c>
      <c r="D19" s="14" t="s">
        <v>189</v>
      </c>
      <c r="E19" s="9"/>
      <c r="F19" s="63" t="s">
        <v>192</v>
      </c>
      <c r="G19" s="79" t="s">
        <v>1286</v>
      </c>
      <c r="H19" s="64"/>
      <c r="I19" s="14" t="str">
        <f t="shared" si="8"/>
        <v>* group[=].element[+].code = #Pregnancy.hxPreviousPregnancies.description.outcome</v>
      </c>
      <c r="J19" s="14" t="str">
        <f t="shared" si="9"/>
        <v>* group[=].element[=].display = ##34#A.2.6.2.2.2 Outcome##34#</v>
      </c>
      <c r="K19" s="14" t="str">
        <f t="shared" si="10"/>
        <v>* group[=].element[=].target.code = #Observation.code</v>
      </c>
      <c r="L19" s="14" t="str">
        <f t="shared" si="11"/>
        <v>* group[=].element[=].target.display = ##34###34#</v>
      </c>
      <c r="M19" s="14" t="str">
        <f t="shared" si="12"/>
        <v>* group[=].element[=].target.equivalence = #equivalent</v>
      </c>
      <c r="N19" s="14" t="str">
        <f t="shared" si="13"/>
        <v>* group[=].element[=].target.comment = ##34#to be checked##34#</v>
      </c>
      <c r="P19" s="9">
        <v>5</v>
      </c>
      <c r="Q19" s="9">
        <f t="shared" si="14"/>
        <v>0</v>
      </c>
      <c r="R19" s="9">
        <f t="shared" si="15"/>
        <v>5</v>
      </c>
      <c r="S19" s="14" t="str" cm="1">
        <f t="array" ref="S19">INDEX('Pregnancy-ConceptMap-3'!$I$15:$N$122,Q19+1,R19)</f>
        <v>* group[=].element[=].target.equivalence = #relatedto</v>
      </c>
    </row>
    <row r="20" spans="1:19" ht="44.25" x14ac:dyDescent="0.75">
      <c r="A20" s="22"/>
      <c r="B20" s="9" t="str">
        <f>'A.2.3.3 Pregnancy'!B17</f>
        <v>hxPreviousPregnancies.description.numberOfChildren</v>
      </c>
      <c r="C20" s="9" t="str">
        <f>'A.2.3.3 Pregnancy'!C17</f>
        <v>A.2.6.2.2.3 Number of children</v>
      </c>
      <c r="D20" s="14" t="s">
        <v>1321</v>
      </c>
      <c r="E20" s="14"/>
      <c r="F20" s="63" t="s">
        <v>192</v>
      </c>
      <c r="G20" s="70"/>
      <c r="H20" s="64"/>
      <c r="I20" s="14" t="str">
        <f t="shared" si="8"/>
        <v>* group[=].element[+].code = #Pregnancy.hxPreviousPregnancies.description.numberOfChildren</v>
      </c>
      <c r="J20" s="14" t="str">
        <f t="shared" si="9"/>
        <v>* group[=].element[=].display = ##34#A.2.6.2.2.3 Number of children##34#</v>
      </c>
      <c r="K20" s="14" t="str">
        <f t="shared" si="10"/>
        <v>* group[=].element[=].target.code = #Observation.valueQuentity</v>
      </c>
      <c r="L20" s="14" t="str">
        <f t="shared" si="11"/>
        <v>* group[=].element[=].target.display = ##34###34#</v>
      </c>
      <c r="M20" s="14" t="str">
        <f t="shared" si="12"/>
        <v>* group[=].element[=].target.equivalence = #equivalent</v>
      </c>
      <c r="N20" s="14" t="str">
        <f t="shared" si="13"/>
        <v/>
      </c>
      <c r="P20" s="9">
        <v>6</v>
      </c>
      <c r="Q20" s="9">
        <f t="shared" si="14"/>
        <v>0</v>
      </c>
      <c r="R20" s="9">
        <f t="shared" si="15"/>
        <v>6</v>
      </c>
      <c r="S20" s="14" t="str" cm="1">
        <f t="array" ref="S20">INDEX('Pregnancy-ConceptMap-3'!$I$15:$N$122,Q20+1,R20)</f>
        <v/>
      </c>
    </row>
    <row r="21" spans="1:19" x14ac:dyDescent="0.75">
      <c r="A21" s="22"/>
      <c r="B21" s="22"/>
      <c r="C21" s="22"/>
      <c r="D21" s="22"/>
      <c r="E21" s="14"/>
      <c r="F21" s="63"/>
      <c r="G21" s="70"/>
      <c r="H21" s="64"/>
      <c r="I21" s="14"/>
      <c r="J21" s="14"/>
      <c r="K21" s="14"/>
      <c r="L21" s="14"/>
      <c r="M21" s="14"/>
      <c r="N21" s="14"/>
      <c r="P21" s="9">
        <v>7</v>
      </c>
      <c r="Q21" s="9">
        <f t="shared" si="14"/>
        <v>1</v>
      </c>
      <c r="R21" s="9">
        <f t="shared" si="15"/>
        <v>1</v>
      </c>
      <c r="S21" s="14" t="str" cm="1">
        <f t="array" ref="S21">INDEX('Pregnancy-ConceptMap-3'!$I$15:$N$122,Q21+1,R21)</f>
        <v>* group[=].element[+].code = #Pregnancy.hxPreviousPregnancies.status</v>
      </c>
    </row>
    <row r="22" spans="1:19" x14ac:dyDescent="0.75">
      <c r="D22"/>
      <c r="E22" s="14"/>
      <c r="F22" s="63"/>
      <c r="G22" s="70"/>
      <c r="H22" s="64"/>
      <c r="I22" s="14"/>
      <c r="J22" s="14"/>
      <c r="K22" s="14"/>
      <c r="L22" s="14"/>
      <c r="M22" s="14"/>
      <c r="N22" s="14"/>
      <c r="P22" s="9">
        <v>8</v>
      </c>
      <c r="Q22" s="9">
        <f t="shared" si="14"/>
        <v>1</v>
      </c>
      <c r="R22" s="9">
        <f t="shared" si="15"/>
        <v>2</v>
      </c>
      <c r="S22" s="14" t="str" cm="1">
        <f t="array" ref="S22">INDEX('Pregnancy-ConceptMap-3'!$I$15:$N$122,Q22+1,R22)</f>
        <v>* group[=].element[=].display = ##34#A.2.6.2.1 Previous pregnancies status##34#</v>
      </c>
    </row>
    <row r="23" spans="1:19" x14ac:dyDescent="0.75">
      <c r="D23"/>
      <c r="E23" s="14"/>
      <c r="F23" s="63"/>
      <c r="G23" s="70"/>
      <c r="H23" s="64"/>
      <c r="I23" s="14"/>
      <c r="J23" s="14"/>
      <c r="K23" s="14"/>
      <c r="L23" s="14"/>
      <c r="M23" s="14"/>
      <c r="N23" s="14" t="str">
        <f t="shared" ref="N23:N42" si="16">IF(G23&lt;&gt;"",CONCATENATE("* group[=].element[=].target.comment = ","##34#",G23,"##34#"),"")</f>
        <v/>
      </c>
      <c r="P23" s="9">
        <v>9</v>
      </c>
      <c r="Q23" s="9">
        <f t="shared" si="14"/>
        <v>1</v>
      </c>
      <c r="R23" s="9">
        <f t="shared" si="15"/>
        <v>3</v>
      </c>
      <c r="S23" s="14" t="str" cm="1">
        <f t="array" ref="S23">INDEX('Pregnancy-ConceptMap-3'!$I$15:$N$122,Q23+1,R23)</f>
        <v>* group[=].element[=].target.code = #Observation.section:sectionPregnancyHx.entry</v>
      </c>
    </row>
    <row r="24" spans="1:19" x14ac:dyDescent="0.75">
      <c r="B24" s="9"/>
      <c r="C24" s="9"/>
      <c r="D24" s="14"/>
      <c r="E24" s="14"/>
      <c r="F24" s="63"/>
      <c r="G24" s="70"/>
      <c r="H24" s="64"/>
      <c r="I24" s="14"/>
      <c r="J24" s="14"/>
      <c r="K24" s="14"/>
      <c r="L24" s="14"/>
      <c r="M24" s="14"/>
      <c r="N24" s="14" t="str">
        <f t="shared" si="16"/>
        <v/>
      </c>
      <c r="P24" s="9">
        <v>10</v>
      </c>
      <c r="Q24" s="9">
        <f t="shared" si="14"/>
        <v>1</v>
      </c>
      <c r="R24" s="9">
        <f t="shared" si="15"/>
        <v>4</v>
      </c>
      <c r="S24" s="14" t="str" cm="1">
        <f t="array" ref="S24">INDEX('Pregnancy-ConceptMap-3'!$I$15:$N$122,Q24+1,R24)</f>
        <v>* group[=].element[=].target.display = ##34###34#</v>
      </c>
    </row>
    <row r="25" spans="1:19" x14ac:dyDescent="0.75">
      <c r="B25" s="9"/>
      <c r="C25" s="9"/>
      <c r="D25" s="14"/>
      <c r="E25" s="14"/>
      <c r="F25" s="63"/>
      <c r="G25" s="70"/>
      <c r="H25" s="64"/>
      <c r="I25" s="14"/>
      <c r="J25" s="14"/>
      <c r="K25" s="14"/>
      <c r="L25" s="14"/>
      <c r="M25" s="14"/>
      <c r="N25" s="14" t="str">
        <f t="shared" si="16"/>
        <v/>
      </c>
      <c r="P25" s="9">
        <v>11</v>
      </c>
      <c r="Q25" s="9">
        <f t="shared" si="14"/>
        <v>1</v>
      </c>
      <c r="R25" s="9">
        <f t="shared" si="15"/>
        <v>5</v>
      </c>
      <c r="S25" s="14" t="str" cm="1">
        <f t="array" ref="S25">INDEX('Pregnancy-ConceptMap-3'!$I$15:$N$122,Q25+1,R25)</f>
        <v>* group[=].element[=].target.equivalence = #relatedto</v>
      </c>
    </row>
    <row r="26" spans="1:19" x14ac:dyDescent="0.75">
      <c r="B26" s="9"/>
      <c r="C26" s="9"/>
      <c r="D26" s="14"/>
      <c r="E26" s="14"/>
      <c r="F26" s="63"/>
      <c r="G26" s="70"/>
      <c r="H26" s="64"/>
      <c r="I26" s="14"/>
      <c r="J26" s="14"/>
      <c r="K26" s="14"/>
      <c r="L26" s="14"/>
      <c r="M26" s="14"/>
      <c r="N26" s="14" t="str">
        <f t="shared" si="16"/>
        <v/>
      </c>
      <c r="P26" s="9">
        <v>12</v>
      </c>
      <c r="Q26" s="9">
        <f t="shared" si="14"/>
        <v>1</v>
      </c>
      <c r="R26" s="9">
        <f t="shared" si="15"/>
        <v>6</v>
      </c>
      <c r="S26" s="14" t="str" cm="1">
        <f t="array" ref="S26">INDEX('Pregnancy-ConceptMap-3'!$I$15:$N$122,Q26+1,R26)</f>
        <v>* group[=].element[=].target.comment = ##34#Observation profile to be added##34#</v>
      </c>
    </row>
    <row r="27" spans="1:19" x14ac:dyDescent="0.75">
      <c r="B27" s="9"/>
      <c r="C27" s="9"/>
      <c r="D27" s="14"/>
      <c r="E27" s="14"/>
      <c r="F27" s="63"/>
      <c r="G27" s="70"/>
      <c r="H27" s="64"/>
      <c r="I27" s="14"/>
      <c r="J27" s="14"/>
      <c r="K27" s="14"/>
      <c r="L27" s="14"/>
      <c r="M27" s="14"/>
      <c r="N27" s="14" t="str">
        <f t="shared" si="16"/>
        <v/>
      </c>
      <c r="P27" s="9">
        <v>13</v>
      </c>
      <c r="Q27" s="9">
        <f t="shared" si="14"/>
        <v>2</v>
      </c>
      <c r="R27" s="9">
        <f t="shared" si="15"/>
        <v>1</v>
      </c>
      <c r="S27" s="14" t="str" cm="1">
        <f t="array" ref="S27">INDEX('Pregnancy-ConceptMap-3'!$I$15:$N$122,Q27+1,R27)</f>
        <v>* group[=].element[+].code = #Pregnancy.hxPreviousPregnancies.description</v>
      </c>
    </row>
    <row r="28" spans="1:19" ht="29.5" x14ac:dyDescent="0.75">
      <c r="B28" s="9"/>
      <c r="C28" s="9"/>
      <c r="D28" s="14"/>
      <c r="E28" s="14"/>
      <c r="F28" s="63"/>
      <c r="G28" s="70"/>
      <c r="H28" s="64"/>
      <c r="I28" s="14"/>
      <c r="J28" s="14"/>
      <c r="K28" s="14"/>
      <c r="L28" s="14"/>
      <c r="M28" s="14"/>
      <c r="N28" s="14" t="str">
        <f t="shared" si="16"/>
        <v/>
      </c>
      <c r="P28" s="9">
        <v>14</v>
      </c>
      <c r="Q28" s="9">
        <f t="shared" si="14"/>
        <v>2</v>
      </c>
      <c r="R28" s="9">
        <f t="shared" si="15"/>
        <v>2</v>
      </c>
      <c r="S28" s="14" t="str" cm="1">
        <f t="array" ref="S28">INDEX('Pregnancy-ConceptMap-3'!$I$15:$N$122,Q28+1,R28)</f>
        <v>* group[=].element[=].display = ##34#A.2.6.2.2 Previous pregnancies description##34#</v>
      </c>
    </row>
    <row r="29" spans="1:19" x14ac:dyDescent="0.75">
      <c r="B29" s="9"/>
      <c r="C29" s="9"/>
      <c r="D29" s="14"/>
      <c r="E29" s="14"/>
      <c r="F29" s="63"/>
      <c r="G29" s="70"/>
      <c r="H29" s="64"/>
      <c r="I29" s="14"/>
      <c r="J29" s="14"/>
      <c r="K29" s="14"/>
      <c r="L29" s="14"/>
      <c r="M29" s="14"/>
      <c r="N29" s="14" t="str">
        <f t="shared" si="16"/>
        <v/>
      </c>
      <c r="P29" s="9">
        <v>15</v>
      </c>
      <c r="Q29" s="9">
        <f t="shared" si="14"/>
        <v>2</v>
      </c>
      <c r="R29" s="9">
        <f t="shared" si="15"/>
        <v>3</v>
      </c>
      <c r="S29" s="14" t="str" cm="1">
        <f t="array" ref="S29">INDEX('Pregnancy-ConceptMap-3'!$I$15:$N$122,Q29+1,R29)</f>
        <v>* group[=].element[=].target.code = #Observation.</v>
      </c>
    </row>
    <row r="30" spans="1:19" x14ac:dyDescent="0.75">
      <c r="B30" s="9"/>
      <c r="C30" s="9"/>
      <c r="D30" s="14"/>
      <c r="E30" s="14"/>
      <c r="F30" s="63"/>
      <c r="G30" s="70"/>
      <c r="H30" s="64"/>
      <c r="I30" s="14"/>
      <c r="J30" s="14"/>
      <c r="K30" s="14"/>
      <c r="L30" s="14"/>
      <c r="M30" s="14"/>
      <c r="N30" s="14" t="str">
        <f t="shared" si="16"/>
        <v/>
      </c>
      <c r="P30" s="9">
        <v>16</v>
      </c>
      <c r="Q30" s="9">
        <f t="shared" si="14"/>
        <v>2</v>
      </c>
      <c r="R30" s="9">
        <f t="shared" si="15"/>
        <v>4</v>
      </c>
      <c r="S30" s="14" t="str" cm="1">
        <f t="array" ref="S30">INDEX('Pregnancy-ConceptMap-3'!$I$15:$N$122,Q30+1,R30)</f>
        <v>* group[=].element[=].target.display = ##34###34#</v>
      </c>
    </row>
    <row r="31" spans="1:19" x14ac:dyDescent="0.75">
      <c r="B31" s="9"/>
      <c r="C31" s="9"/>
      <c r="D31" s="14"/>
      <c r="E31" s="14"/>
      <c r="F31" s="63"/>
      <c r="G31" s="70"/>
      <c r="H31" s="64"/>
      <c r="I31" s="14"/>
      <c r="J31" s="14"/>
      <c r="K31" s="14"/>
      <c r="L31" s="14"/>
      <c r="M31" s="14"/>
      <c r="N31" s="14" t="str">
        <f t="shared" si="16"/>
        <v/>
      </c>
      <c r="P31" s="9">
        <v>17</v>
      </c>
      <c r="Q31" s="9">
        <f t="shared" si="14"/>
        <v>2</v>
      </c>
      <c r="R31" s="9">
        <f t="shared" si="15"/>
        <v>5</v>
      </c>
      <c r="S31" s="14" t="str" cm="1">
        <f t="array" ref="S31">INDEX('Pregnancy-ConceptMap-3'!$I$15:$N$122,Q31+1,R31)</f>
        <v>* group[=].element[=].target.equivalence = #relatedto</v>
      </c>
    </row>
    <row r="32" spans="1:19" x14ac:dyDescent="0.75">
      <c r="B32" s="9"/>
      <c r="C32" s="9"/>
      <c r="D32" s="14"/>
      <c r="E32" s="14"/>
      <c r="F32" s="63"/>
      <c r="G32" s="70"/>
      <c r="H32" s="64"/>
      <c r="I32" s="14"/>
      <c r="J32" s="14"/>
      <c r="K32" s="14"/>
      <c r="L32" s="14"/>
      <c r="M32" s="14"/>
      <c r="N32" s="14" t="str">
        <f t="shared" si="16"/>
        <v/>
      </c>
      <c r="P32" s="9">
        <v>18</v>
      </c>
      <c r="Q32" s="9">
        <f t="shared" si="14"/>
        <v>2</v>
      </c>
      <c r="R32" s="9">
        <f t="shared" si="15"/>
        <v>6</v>
      </c>
      <c r="S32" s="14" t="str" cm="1">
        <f t="array" ref="S32">INDEX('Pregnancy-ConceptMap-3'!$I$15:$N$122,Q32+1,R32)</f>
        <v>* group[=].element[=].target.comment = ##34#To be checked##34#</v>
      </c>
    </row>
    <row r="33" spans="1:20" ht="29.5" x14ac:dyDescent="0.75">
      <c r="B33" s="9"/>
      <c r="C33" s="9"/>
      <c r="D33" s="14"/>
      <c r="E33" s="14"/>
      <c r="F33" s="63"/>
      <c r="G33" s="70"/>
      <c r="H33" s="64"/>
      <c r="I33" s="14"/>
      <c r="J33" s="14"/>
      <c r="K33" s="14"/>
      <c r="L33" s="14"/>
      <c r="M33" s="14"/>
      <c r="N33" s="14" t="str">
        <f t="shared" si="16"/>
        <v/>
      </c>
      <c r="P33" s="9">
        <v>19</v>
      </c>
      <c r="Q33" s="9">
        <f t="shared" si="14"/>
        <v>3</v>
      </c>
      <c r="R33" s="9">
        <f t="shared" si="15"/>
        <v>1</v>
      </c>
      <c r="S33" s="14" t="str" cm="1">
        <f t="array" ref="S33">INDEX('Pregnancy-ConceptMap-3'!$I$15:$N$122,Q33+1,R33)</f>
        <v>* group[=].element[+].code = #Pregnancy.hxPreviousPregnancies.description.outcomeDate</v>
      </c>
    </row>
    <row r="34" spans="1:20" s="1" customFormat="1" x14ac:dyDescent="0.75">
      <c r="A34"/>
      <c r="B34" s="9"/>
      <c r="C34" s="9"/>
      <c r="D34" s="14"/>
      <c r="E34" s="14"/>
      <c r="F34" s="63"/>
      <c r="G34" s="81"/>
      <c r="H34" s="64"/>
      <c r="I34" s="14"/>
      <c r="J34" s="14"/>
      <c r="K34" s="14"/>
      <c r="L34" s="14"/>
      <c r="M34" s="14"/>
      <c r="N34" s="14" t="str">
        <f t="shared" si="16"/>
        <v/>
      </c>
      <c r="P34" s="9">
        <v>20</v>
      </c>
      <c r="Q34" s="9">
        <f t="shared" si="14"/>
        <v>3</v>
      </c>
      <c r="R34" s="9">
        <f t="shared" si="15"/>
        <v>2</v>
      </c>
      <c r="S34" s="14" t="str" cm="1">
        <f t="array" ref="S34">INDEX('Pregnancy-ConceptMap-3'!$I$15:$N$122,Q34+1,R34)</f>
        <v>* group[=].element[=].display = ##34#A.2.6.2.2.1 Outcome date##34#</v>
      </c>
      <c r="T34"/>
    </row>
    <row r="35" spans="1:20" s="1" customFormat="1" x14ac:dyDescent="0.75">
      <c r="A35"/>
      <c r="B35" s="9"/>
      <c r="C35" s="9"/>
      <c r="D35" s="52"/>
      <c r="F35" s="64"/>
      <c r="G35" s="81"/>
      <c r="H35" s="64"/>
      <c r="I35" s="14"/>
      <c r="J35" s="14"/>
      <c r="K35" s="14"/>
      <c r="L35" s="14"/>
      <c r="M35" s="14"/>
      <c r="N35" s="14" t="str">
        <f t="shared" si="16"/>
        <v/>
      </c>
      <c r="P35" s="9">
        <v>21</v>
      </c>
      <c r="Q35" s="9">
        <f t="shared" si="14"/>
        <v>3</v>
      </c>
      <c r="R35" s="9">
        <f t="shared" si="15"/>
        <v>3</v>
      </c>
      <c r="S35" s="14" t="str" cm="1">
        <f t="array" ref="S35">INDEX('Pregnancy-ConceptMap-3'!$I$15:$N$122,Q35+1,R35)</f>
        <v>* group[=].element[=].target.code = #Observation.effectiveDateTime</v>
      </c>
      <c r="T35"/>
    </row>
    <row r="36" spans="1:20" s="1" customFormat="1" x14ac:dyDescent="0.75">
      <c r="A36"/>
      <c r="B36" s="9"/>
      <c r="C36" s="9"/>
      <c r="F36" s="64"/>
      <c r="G36" s="81"/>
      <c r="H36" s="64"/>
      <c r="I36" s="14"/>
      <c r="J36" s="14"/>
      <c r="K36" s="14"/>
      <c r="L36" s="14"/>
      <c r="M36" s="14"/>
      <c r="N36" s="14" t="str">
        <f t="shared" si="16"/>
        <v/>
      </c>
      <c r="P36" s="9">
        <v>22</v>
      </c>
      <c r="Q36" s="9">
        <f t="shared" si="14"/>
        <v>3</v>
      </c>
      <c r="R36" s="9">
        <f t="shared" si="15"/>
        <v>4</v>
      </c>
      <c r="S36" s="14" t="str" cm="1">
        <f t="array" ref="S36">INDEX('Pregnancy-ConceptMap-3'!$I$15:$N$122,Q36+1,R36)</f>
        <v>* group[=].element[=].target.display = ##34###34#</v>
      </c>
      <c r="T36"/>
    </row>
    <row r="37" spans="1:20" s="1" customFormat="1" x14ac:dyDescent="0.75">
      <c r="A37"/>
      <c r="B37" s="9"/>
      <c r="C37" s="9"/>
      <c r="F37" s="64"/>
      <c r="G37" s="81"/>
      <c r="H37" s="64"/>
      <c r="I37" s="14"/>
      <c r="J37" s="14"/>
      <c r="K37" s="14"/>
      <c r="L37" s="14"/>
      <c r="M37" s="14"/>
      <c r="N37" s="14" t="str">
        <f t="shared" si="16"/>
        <v/>
      </c>
      <c r="P37" s="9">
        <v>23</v>
      </c>
      <c r="Q37" s="9">
        <f t="shared" si="14"/>
        <v>3</v>
      </c>
      <c r="R37" s="9">
        <f t="shared" si="15"/>
        <v>5</v>
      </c>
      <c r="S37" s="14" t="str" cm="1">
        <f t="array" ref="S37">INDEX('Pregnancy-ConceptMap-3'!$I$15:$N$122,Q37+1,R37)</f>
        <v>* group[=].element[=].target.equivalence = #equivalent</v>
      </c>
      <c r="T37"/>
    </row>
    <row r="38" spans="1:20" s="1" customFormat="1" x14ac:dyDescent="0.75">
      <c r="A38"/>
      <c r="B38" s="9"/>
      <c r="C38" s="9"/>
      <c r="F38" s="64"/>
      <c r="G38" s="81"/>
      <c r="H38" s="64"/>
      <c r="I38" s="14"/>
      <c r="J38" s="14"/>
      <c r="K38" s="14"/>
      <c r="L38" s="14"/>
      <c r="M38" s="14"/>
      <c r="N38" s="14" t="str">
        <f t="shared" si="16"/>
        <v/>
      </c>
      <c r="P38" s="9">
        <v>24</v>
      </c>
      <c r="Q38" s="9">
        <f t="shared" si="14"/>
        <v>3</v>
      </c>
      <c r="R38" s="9">
        <f t="shared" si="15"/>
        <v>6</v>
      </c>
      <c r="S38" s="14" t="str" cm="1">
        <f t="array" ref="S38">INDEX('Pregnancy-ConceptMap-3'!$I$15:$N$122,Q38+1,R38)</f>
        <v/>
      </c>
      <c r="T38"/>
    </row>
    <row r="39" spans="1:20" s="1" customFormat="1" ht="29.5" x14ac:dyDescent="0.75">
      <c r="A39"/>
      <c r="B39" s="9"/>
      <c r="C39" s="9"/>
      <c r="F39" s="64"/>
      <c r="G39" s="81"/>
      <c r="H39" s="64"/>
      <c r="I39" s="14"/>
      <c r="J39" s="14"/>
      <c r="K39" s="14"/>
      <c r="L39" s="14"/>
      <c r="M39" s="14"/>
      <c r="N39" s="14" t="str">
        <f t="shared" si="16"/>
        <v/>
      </c>
      <c r="P39" s="9">
        <v>25</v>
      </c>
      <c r="Q39" s="9">
        <f t="shared" si="14"/>
        <v>4</v>
      </c>
      <c r="R39" s="9">
        <f t="shared" si="15"/>
        <v>1</v>
      </c>
      <c r="S39" s="14" t="str" cm="1">
        <f t="array" ref="S39">INDEX('Pregnancy-ConceptMap-3'!$I$15:$N$122,Q39+1,R39)</f>
        <v>* group[=].element[+].code = #Pregnancy.hxPreviousPregnancies.description.outcome</v>
      </c>
      <c r="T39"/>
    </row>
    <row r="40" spans="1:20" s="1" customFormat="1" x14ac:dyDescent="0.75">
      <c r="A40"/>
      <c r="B40" s="9"/>
      <c r="C40" s="9"/>
      <c r="F40" s="64"/>
      <c r="G40" s="81"/>
      <c r="H40" s="64"/>
      <c r="I40" s="14"/>
      <c r="J40" s="14"/>
      <c r="K40" s="14"/>
      <c r="L40" s="14"/>
      <c r="M40" s="14"/>
      <c r="N40" s="14" t="str">
        <f t="shared" si="16"/>
        <v/>
      </c>
      <c r="P40" s="9">
        <v>26</v>
      </c>
      <c r="Q40" s="9">
        <f t="shared" si="14"/>
        <v>4</v>
      </c>
      <c r="R40" s="9">
        <f t="shared" si="15"/>
        <v>2</v>
      </c>
      <c r="S40" s="14" t="str" cm="1">
        <f t="array" ref="S40">INDEX('Pregnancy-ConceptMap-3'!$I$15:$N$122,Q40+1,R40)</f>
        <v>* group[=].element[=].display = ##34#A.2.6.2.2.2 Outcome##34#</v>
      </c>
      <c r="T40"/>
    </row>
    <row r="41" spans="1:20" s="1" customFormat="1" x14ac:dyDescent="0.75">
      <c r="A41"/>
      <c r="B41" s="9"/>
      <c r="C41"/>
      <c r="F41" s="64"/>
      <c r="G41" s="81"/>
      <c r="H41" s="64"/>
      <c r="I41" s="14"/>
      <c r="J41" s="14"/>
      <c r="K41" s="14"/>
      <c r="L41" s="14"/>
      <c r="M41" s="14"/>
      <c r="N41" s="14" t="str">
        <f t="shared" si="16"/>
        <v/>
      </c>
      <c r="P41" s="9">
        <v>27</v>
      </c>
      <c r="Q41" s="9">
        <f t="shared" si="14"/>
        <v>4</v>
      </c>
      <c r="R41" s="9">
        <f t="shared" si="15"/>
        <v>3</v>
      </c>
      <c r="S41" s="14" t="str" cm="1">
        <f t="array" ref="S41">INDEX('Pregnancy-ConceptMap-3'!$I$15:$N$122,Q41+1,R41)</f>
        <v>* group[=].element[=].target.code = #Observation.code</v>
      </c>
      <c r="T41"/>
    </row>
    <row r="42" spans="1:20" s="1" customFormat="1" x14ac:dyDescent="0.75">
      <c r="A42"/>
      <c r="B42" s="9"/>
      <c r="C42"/>
      <c r="F42" s="64"/>
      <c r="G42" s="81"/>
      <c r="H42" s="64"/>
      <c r="I42" s="14"/>
      <c r="J42" s="14"/>
      <c r="K42" s="14"/>
      <c r="L42" s="14"/>
      <c r="M42" s="14"/>
      <c r="N42" s="14" t="str">
        <f t="shared" si="16"/>
        <v/>
      </c>
      <c r="P42" s="9">
        <v>28</v>
      </c>
      <c r="Q42" s="9">
        <f t="shared" si="14"/>
        <v>4</v>
      </c>
      <c r="R42" s="9">
        <f t="shared" si="15"/>
        <v>4</v>
      </c>
      <c r="S42" s="14" t="str" cm="1">
        <f t="array" ref="S42">INDEX('Pregnancy-ConceptMap-3'!$I$15:$N$122,Q42+1,R42)</f>
        <v>* group[=].element[=].target.display = ##34###34#</v>
      </c>
      <c r="T42"/>
    </row>
    <row r="43" spans="1:20" x14ac:dyDescent="0.75">
      <c r="P43" s="9">
        <v>29</v>
      </c>
      <c r="Q43" s="9">
        <f t="shared" si="14"/>
        <v>4</v>
      </c>
      <c r="R43" s="9">
        <f t="shared" si="15"/>
        <v>5</v>
      </c>
      <c r="S43" s="14" t="str" cm="1">
        <f t="array" ref="S43">INDEX('Pregnancy-ConceptMap-3'!$I$15:$N$122,Q43+1,R43)</f>
        <v>* group[=].element[=].target.equivalence = #equivalent</v>
      </c>
    </row>
    <row r="44" spans="1:20" x14ac:dyDescent="0.75">
      <c r="P44" s="9">
        <v>30</v>
      </c>
      <c r="Q44" s="9">
        <f t="shared" si="14"/>
        <v>4</v>
      </c>
      <c r="R44" s="9">
        <f t="shared" si="15"/>
        <v>6</v>
      </c>
      <c r="S44" s="14" t="str" cm="1">
        <f t="array" ref="S44">INDEX('Pregnancy-ConceptMap-3'!$I$15:$N$122,Q44+1,R44)</f>
        <v>* group[=].element[=].target.comment = ##34#to be checked##34#</v>
      </c>
    </row>
    <row r="45" spans="1:20" ht="29.5" x14ac:dyDescent="0.75">
      <c r="P45" s="9">
        <v>31</v>
      </c>
      <c r="Q45" s="9">
        <f t="shared" si="14"/>
        <v>5</v>
      </c>
      <c r="R45" s="9">
        <f t="shared" si="15"/>
        <v>1</v>
      </c>
      <c r="S45" s="14" t="str" cm="1">
        <f t="array" ref="S45">INDEX('Pregnancy-ConceptMap-3'!$I$15:$N$122,Q45+1,R45)</f>
        <v>* group[=].element[+].code = #Pregnancy.hxPreviousPregnancies.description.numberOfChildren</v>
      </c>
    </row>
    <row r="46" spans="1:20" x14ac:dyDescent="0.75">
      <c r="P46" s="9">
        <v>32</v>
      </c>
      <c r="Q46" s="9">
        <f t="shared" si="14"/>
        <v>5</v>
      </c>
      <c r="R46" s="9">
        <f t="shared" si="15"/>
        <v>2</v>
      </c>
      <c r="S46" s="14" t="str" cm="1">
        <f t="array" ref="S46">INDEX('Pregnancy-ConceptMap-3'!$I$15:$N$122,Q46+1,R46)</f>
        <v>* group[=].element[=].display = ##34#A.2.6.2.2.3 Number of children##34#</v>
      </c>
    </row>
    <row r="47" spans="1:20" x14ac:dyDescent="0.75">
      <c r="P47" s="9">
        <v>33</v>
      </c>
      <c r="Q47" s="9">
        <f t="shared" si="14"/>
        <v>5</v>
      </c>
      <c r="R47" s="9">
        <f t="shared" si="15"/>
        <v>3</v>
      </c>
      <c r="S47" s="14" t="str" cm="1">
        <f t="array" ref="S47">INDEX('Pregnancy-ConceptMap-3'!$I$15:$N$122,Q47+1,R47)</f>
        <v>* group[=].element[=].target.code = #Observation.valueQuentity</v>
      </c>
    </row>
    <row r="48" spans="1:20" x14ac:dyDescent="0.75">
      <c r="P48" s="9">
        <v>34</v>
      </c>
      <c r="Q48" s="9">
        <f t="shared" si="14"/>
        <v>5</v>
      </c>
      <c r="R48" s="9">
        <f t="shared" si="15"/>
        <v>4</v>
      </c>
      <c r="S48" s="14" t="str" cm="1">
        <f t="array" ref="S48">INDEX('Pregnancy-ConceptMap-3'!$I$15:$N$122,Q48+1,R48)</f>
        <v>* group[=].element[=].target.display = ##34###34#</v>
      </c>
    </row>
    <row r="49" spans="16:19" x14ac:dyDescent="0.75">
      <c r="P49" s="9">
        <v>35</v>
      </c>
      <c r="Q49" s="9">
        <f t="shared" si="14"/>
        <v>5</v>
      </c>
      <c r="R49" s="9">
        <f t="shared" si="15"/>
        <v>5</v>
      </c>
      <c r="S49" s="14" t="str" cm="1">
        <f t="array" ref="S49">INDEX('Pregnancy-ConceptMap-3'!$I$15:$N$122,Q49+1,R49)</f>
        <v>* group[=].element[=].target.equivalence = #equivalent</v>
      </c>
    </row>
    <row r="50" spans="16:19" x14ac:dyDescent="0.75">
      <c r="P50" s="9">
        <v>36</v>
      </c>
      <c r="Q50" s="9">
        <f t="shared" si="14"/>
        <v>5</v>
      </c>
      <c r="R50" s="9">
        <f t="shared" si="15"/>
        <v>6</v>
      </c>
      <c r="S50" s="14" t="str" cm="1">
        <f t="array" ref="S50">INDEX('Pregnancy-ConceptMap-3'!$I$15:$N$122,Q50+1,R50)</f>
        <v/>
      </c>
    </row>
    <row r="51" spans="16:19" x14ac:dyDescent="0.75">
      <c r="P51" s="9">
        <v>37</v>
      </c>
      <c r="Q51" s="9">
        <f t="shared" si="14"/>
        <v>6</v>
      </c>
      <c r="R51" s="9">
        <f t="shared" si="15"/>
        <v>1</v>
      </c>
      <c r="S51" s="14" cm="1">
        <f t="array" ref="S51">INDEX('Pregnancy-ConceptMap-3'!$I$15:$N$122,Q51+1,R51)</f>
        <v>0</v>
      </c>
    </row>
    <row r="52" spans="16:19" x14ac:dyDescent="0.75">
      <c r="P52" s="9">
        <v>38</v>
      </c>
      <c r="Q52" s="9">
        <f t="shared" si="14"/>
        <v>6</v>
      </c>
      <c r="R52" s="9">
        <f t="shared" si="15"/>
        <v>2</v>
      </c>
      <c r="S52" s="14" cm="1">
        <f t="array" ref="S52">INDEX('Pregnancy-ConceptMap-3'!$I$15:$N$122,Q52+1,R52)</f>
        <v>0</v>
      </c>
    </row>
    <row r="53" spans="16:19" x14ac:dyDescent="0.75">
      <c r="P53" s="9">
        <v>39</v>
      </c>
      <c r="Q53" s="9">
        <f t="shared" si="14"/>
        <v>6</v>
      </c>
      <c r="R53" s="9">
        <f t="shared" si="15"/>
        <v>3</v>
      </c>
      <c r="S53" s="14" cm="1">
        <f t="array" ref="S53">INDEX('Pregnancy-ConceptMap-3'!$I$15:$N$122,Q53+1,R53)</f>
        <v>0</v>
      </c>
    </row>
    <row r="54" spans="16:19" x14ac:dyDescent="0.75">
      <c r="P54" s="9">
        <v>40</v>
      </c>
      <c r="Q54" s="9">
        <f t="shared" si="14"/>
        <v>6</v>
      </c>
      <c r="R54" s="9">
        <f t="shared" si="15"/>
        <v>4</v>
      </c>
      <c r="S54" s="14" cm="1">
        <f t="array" ref="S54">INDEX('Pregnancy-ConceptMap-3'!$I$15:$N$122,Q54+1,R54)</f>
        <v>0</v>
      </c>
    </row>
    <row r="55" spans="16:19" x14ac:dyDescent="0.75">
      <c r="P55" s="9">
        <v>41</v>
      </c>
      <c r="Q55" s="9">
        <f t="shared" si="14"/>
        <v>6</v>
      </c>
      <c r="R55" s="9">
        <f t="shared" si="15"/>
        <v>5</v>
      </c>
      <c r="S55" s="14" cm="1">
        <f t="array" ref="S55">INDEX('Pregnancy-ConceptMap-3'!$I$15:$N$122,Q55+1,R55)</f>
        <v>0</v>
      </c>
    </row>
    <row r="56" spans="16:19" x14ac:dyDescent="0.75">
      <c r="P56" s="9">
        <v>42</v>
      </c>
      <c r="Q56" s="9">
        <f t="shared" si="14"/>
        <v>6</v>
      </c>
      <c r="R56" s="9">
        <f t="shared" si="15"/>
        <v>6</v>
      </c>
      <c r="S56" s="14" cm="1">
        <f t="array" ref="S56">INDEX('Pregnancy-ConceptMap-3'!$I$15:$N$122,Q56+1,R56)</f>
        <v>0</v>
      </c>
    </row>
    <row r="57" spans="16:19" x14ac:dyDescent="0.75">
      <c r="P57" s="9">
        <v>43</v>
      </c>
      <c r="Q57" s="9">
        <f t="shared" si="14"/>
        <v>7</v>
      </c>
      <c r="R57" s="9">
        <f t="shared" si="15"/>
        <v>1</v>
      </c>
      <c r="S57" s="14" cm="1">
        <f t="array" ref="S57">INDEX('Pregnancy-ConceptMap-3'!$I$15:$N$122,Q57+1,R57)</f>
        <v>0</v>
      </c>
    </row>
    <row r="58" spans="16:19" x14ac:dyDescent="0.75">
      <c r="P58" s="9">
        <v>44</v>
      </c>
      <c r="Q58" s="9">
        <f t="shared" si="14"/>
        <v>7</v>
      </c>
      <c r="R58" s="9">
        <f t="shared" si="15"/>
        <v>2</v>
      </c>
      <c r="S58" s="14" cm="1">
        <f t="array" ref="S58">INDEX('Pregnancy-ConceptMap-3'!$I$15:$N$122,Q58+1,R58)</f>
        <v>0</v>
      </c>
    </row>
    <row r="59" spans="16:19" x14ac:dyDescent="0.75">
      <c r="P59" s="9">
        <v>45</v>
      </c>
      <c r="Q59" s="9">
        <f t="shared" si="14"/>
        <v>7</v>
      </c>
      <c r="R59" s="9">
        <f t="shared" si="15"/>
        <v>3</v>
      </c>
      <c r="S59" s="14" cm="1">
        <f t="array" ref="S59">INDEX('Pregnancy-ConceptMap-3'!$I$15:$N$122,Q59+1,R59)</f>
        <v>0</v>
      </c>
    </row>
    <row r="60" spans="16:19" x14ac:dyDescent="0.75">
      <c r="P60" s="9">
        <v>46</v>
      </c>
      <c r="Q60" s="9">
        <f t="shared" si="14"/>
        <v>7</v>
      </c>
      <c r="R60" s="9">
        <f t="shared" si="15"/>
        <v>4</v>
      </c>
      <c r="S60" s="14" cm="1">
        <f t="array" ref="S60">INDEX('Pregnancy-ConceptMap-3'!$I$15:$N$122,Q60+1,R60)</f>
        <v>0</v>
      </c>
    </row>
    <row r="61" spans="16:19" x14ac:dyDescent="0.75">
      <c r="P61" s="9">
        <v>47</v>
      </c>
      <c r="Q61" s="9">
        <f t="shared" si="14"/>
        <v>7</v>
      </c>
      <c r="R61" s="9">
        <f t="shared" si="15"/>
        <v>5</v>
      </c>
      <c r="S61" s="14" cm="1">
        <f t="array" ref="S61">INDEX('Pregnancy-ConceptMap-3'!$I$15:$N$122,Q61+1,R61)</f>
        <v>0</v>
      </c>
    </row>
    <row r="62" spans="16:19" x14ac:dyDescent="0.75">
      <c r="P62" s="9">
        <v>48</v>
      </c>
      <c r="Q62" s="9">
        <f t="shared" si="14"/>
        <v>7</v>
      </c>
      <c r="R62" s="9">
        <f t="shared" si="15"/>
        <v>6</v>
      </c>
      <c r="S62" s="14" cm="1">
        <f t="array" ref="S62">INDEX('Pregnancy-ConceptMap-3'!$I$15:$N$122,Q62+1,R62)</f>
        <v>0</v>
      </c>
    </row>
    <row r="63" spans="16:19" x14ac:dyDescent="0.75">
      <c r="P63" s="9">
        <v>49</v>
      </c>
      <c r="Q63" s="9">
        <f t="shared" si="14"/>
        <v>8</v>
      </c>
      <c r="R63" s="9">
        <f t="shared" si="15"/>
        <v>1</v>
      </c>
      <c r="S63" s="14" cm="1">
        <f t="array" ref="S63">INDEX('Pregnancy-ConceptMap-3'!$I$15:$N$122,Q63+1,R63)</f>
        <v>0</v>
      </c>
    </row>
    <row r="64" spans="16:19" x14ac:dyDescent="0.75">
      <c r="P64" s="9">
        <v>50</v>
      </c>
      <c r="Q64" s="9">
        <f t="shared" si="14"/>
        <v>8</v>
      </c>
      <c r="R64" s="9">
        <f t="shared" si="15"/>
        <v>2</v>
      </c>
      <c r="S64" s="14" cm="1">
        <f t="array" ref="S64">INDEX('Pregnancy-ConceptMap-3'!$I$15:$N$122,Q64+1,R64)</f>
        <v>0</v>
      </c>
    </row>
    <row r="65" spans="16:19" x14ac:dyDescent="0.75">
      <c r="P65" s="9">
        <v>51</v>
      </c>
      <c r="Q65" s="9">
        <f t="shared" si="14"/>
        <v>8</v>
      </c>
      <c r="R65" s="9">
        <f t="shared" si="15"/>
        <v>3</v>
      </c>
      <c r="S65" s="14" cm="1">
        <f t="array" ref="S65">INDEX('Pregnancy-ConceptMap-3'!$I$15:$N$122,Q65+1,R65)</f>
        <v>0</v>
      </c>
    </row>
    <row r="66" spans="16:19" x14ac:dyDescent="0.75">
      <c r="P66" s="9">
        <v>52</v>
      </c>
      <c r="Q66" s="9">
        <f t="shared" si="14"/>
        <v>8</v>
      </c>
      <c r="R66" s="9">
        <f t="shared" si="15"/>
        <v>4</v>
      </c>
      <c r="S66" s="14" cm="1">
        <f t="array" ref="S66">INDEX('Pregnancy-ConceptMap-3'!$I$15:$N$122,Q66+1,R66)</f>
        <v>0</v>
      </c>
    </row>
    <row r="67" spans="16:19" x14ac:dyDescent="0.75">
      <c r="P67" s="9">
        <v>53</v>
      </c>
      <c r="Q67" s="9">
        <f t="shared" si="14"/>
        <v>8</v>
      </c>
      <c r="R67" s="9">
        <f t="shared" si="15"/>
        <v>5</v>
      </c>
      <c r="S67" s="14" cm="1">
        <f t="array" ref="S67">INDEX('Pregnancy-ConceptMap-3'!$I$15:$N$122,Q67+1,R67)</f>
        <v>0</v>
      </c>
    </row>
    <row r="68" spans="16:19" x14ac:dyDescent="0.75">
      <c r="P68" s="9">
        <v>54</v>
      </c>
      <c r="Q68" s="9">
        <f t="shared" si="14"/>
        <v>8</v>
      </c>
      <c r="R68" s="9">
        <f t="shared" si="15"/>
        <v>6</v>
      </c>
      <c r="S68" s="14" t="str" cm="1">
        <f t="array" ref="S68">INDEX('Pregnancy-ConceptMap-3'!$I$15:$N$122,Q68+1,R68)</f>
        <v/>
      </c>
    </row>
    <row r="69" spans="16:19" x14ac:dyDescent="0.75">
      <c r="P69" s="9">
        <v>55</v>
      </c>
      <c r="Q69" s="9">
        <f t="shared" si="14"/>
        <v>9</v>
      </c>
      <c r="R69" s="9">
        <f t="shared" si="15"/>
        <v>1</v>
      </c>
      <c r="S69" s="14" cm="1">
        <f t="array" ref="S69">INDEX('Pregnancy-ConceptMap-3'!$I$15:$N$122,Q69+1,R69)</f>
        <v>0</v>
      </c>
    </row>
    <row r="70" spans="16:19" x14ac:dyDescent="0.75">
      <c r="P70" s="9">
        <v>56</v>
      </c>
      <c r="Q70" s="9">
        <f t="shared" si="14"/>
        <v>9</v>
      </c>
      <c r="R70" s="9">
        <f t="shared" si="15"/>
        <v>2</v>
      </c>
      <c r="S70" s="14" cm="1">
        <f t="array" ref="S70">INDEX('Pregnancy-ConceptMap-3'!$I$15:$N$122,Q70+1,R70)</f>
        <v>0</v>
      </c>
    </row>
    <row r="71" spans="16:19" x14ac:dyDescent="0.75">
      <c r="P71" s="9">
        <v>57</v>
      </c>
      <c r="Q71" s="9">
        <f t="shared" si="14"/>
        <v>9</v>
      </c>
      <c r="R71" s="9">
        <f t="shared" si="15"/>
        <v>3</v>
      </c>
      <c r="S71" s="14" cm="1">
        <f t="array" ref="S71">INDEX('Pregnancy-ConceptMap-3'!$I$15:$N$122,Q71+1,R71)</f>
        <v>0</v>
      </c>
    </row>
    <row r="72" spans="16:19" x14ac:dyDescent="0.75">
      <c r="P72" s="9">
        <v>58</v>
      </c>
      <c r="Q72" s="9">
        <f t="shared" si="14"/>
        <v>9</v>
      </c>
      <c r="R72" s="9">
        <f t="shared" si="15"/>
        <v>4</v>
      </c>
      <c r="S72" s="14" cm="1">
        <f t="array" ref="S72">INDEX('Pregnancy-ConceptMap-3'!$I$15:$N$122,Q72+1,R72)</f>
        <v>0</v>
      </c>
    </row>
    <row r="73" spans="16:19" x14ac:dyDescent="0.75">
      <c r="P73" s="9">
        <v>59</v>
      </c>
      <c r="Q73" s="9">
        <f t="shared" si="14"/>
        <v>9</v>
      </c>
      <c r="R73" s="9">
        <f t="shared" si="15"/>
        <v>5</v>
      </c>
      <c r="S73" s="14" cm="1">
        <f t="array" ref="S73">INDEX('Pregnancy-ConceptMap-3'!$I$15:$N$122,Q73+1,R73)</f>
        <v>0</v>
      </c>
    </row>
    <row r="74" spans="16:19" x14ac:dyDescent="0.75">
      <c r="P74" s="9">
        <v>60</v>
      </c>
      <c r="Q74" s="9">
        <f t="shared" si="14"/>
        <v>9</v>
      </c>
      <c r="R74" s="9">
        <f t="shared" si="15"/>
        <v>6</v>
      </c>
      <c r="S74" s="14" t="str" cm="1">
        <f t="array" ref="S74">INDEX('Pregnancy-ConceptMap-3'!$I$15:$N$122,Q74+1,R74)</f>
        <v/>
      </c>
    </row>
    <row r="75" spans="16:19" x14ac:dyDescent="0.75">
      <c r="P75" s="9">
        <v>61</v>
      </c>
      <c r="Q75" s="9">
        <f t="shared" si="14"/>
        <v>10</v>
      </c>
      <c r="R75" s="9">
        <f t="shared" si="15"/>
        <v>1</v>
      </c>
      <c r="S75" s="14" cm="1">
        <f t="array" ref="S75">INDEX('Pregnancy-ConceptMap-3'!$I$15:$N$122,Q75+1,R75)</f>
        <v>0</v>
      </c>
    </row>
    <row r="76" spans="16:19" x14ac:dyDescent="0.75">
      <c r="P76" s="9">
        <v>62</v>
      </c>
      <c r="Q76" s="9">
        <f t="shared" si="14"/>
        <v>10</v>
      </c>
      <c r="R76" s="9">
        <f t="shared" si="15"/>
        <v>2</v>
      </c>
      <c r="S76" s="14" cm="1">
        <f t="array" ref="S76">INDEX('Pregnancy-ConceptMap-3'!$I$15:$N$122,Q76+1,R76)</f>
        <v>0</v>
      </c>
    </row>
    <row r="77" spans="16:19" x14ac:dyDescent="0.75">
      <c r="P77" s="9">
        <v>63</v>
      </c>
      <c r="Q77" s="9">
        <f t="shared" si="14"/>
        <v>10</v>
      </c>
      <c r="R77" s="9">
        <f t="shared" si="15"/>
        <v>3</v>
      </c>
      <c r="S77" s="14" cm="1">
        <f t="array" ref="S77">INDEX('Pregnancy-ConceptMap-3'!$I$15:$N$122,Q77+1,R77)</f>
        <v>0</v>
      </c>
    </row>
    <row r="78" spans="16:19" x14ac:dyDescent="0.75">
      <c r="P78" s="9">
        <v>64</v>
      </c>
      <c r="Q78" s="9">
        <f t="shared" si="14"/>
        <v>10</v>
      </c>
      <c r="R78" s="9">
        <f t="shared" si="15"/>
        <v>4</v>
      </c>
      <c r="S78" s="14" cm="1">
        <f t="array" ref="S78">INDEX('Pregnancy-ConceptMap-3'!$I$15:$N$122,Q78+1,R78)</f>
        <v>0</v>
      </c>
    </row>
    <row r="79" spans="16:19" x14ac:dyDescent="0.75">
      <c r="P79" s="9">
        <v>65</v>
      </c>
      <c r="Q79" s="9">
        <f t="shared" si="14"/>
        <v>10</v>
      </c>
      <c r="R79" s="9">
        <f t="shared" si="15"/>
        <v>5</v>
      </c>
      <c r="S79" s="14" cm="1">
        <f t="array" ref="S79">INDEX('Pregnancy-ConceptMap-3'!$I$15:$N$122,Q79+1,R79)</f>
        <v>0</v>
      </c>
    </row>
    <row r="80" spans="16:19" x14ac:dyDescent="0.75">
      <c r="P80" s="9">
        <v>66</v>
      </c>
      <c r="Q80" s="9">
        <f t="shared" ref="Q80" si="17">IF(MOD(P80,$Q$8)=0,P80/$Q$8-1,INT(P80/$Q$8))</f>
        <v>10</v>
      </c>
      <c r="R80" s="9">
        <f t="shared" ref="R80" si="18">IF(MOD(P80,$Q$8)=0,$Q$8,MOD(P80,$Q$8))</f>
        <v>6</v>
      </c>
      <c r="S80" s="14" t="str" cm="1">
        <f t="array" ref="S80">INDEX('Pregnancy-ConceptMap-3'!$I$15:$N$122,Q80+1,R80)</f>
        <v/>
      </c>
    </row>
  </sheetData>
  <mergeCells count="5">
    <mergeCell ref="B1:C1"/>
    <mergeCell ref="E3:G3"/>
    <mergeCell ref="E4:G4"/>
    <mergeCell ref="E6:G6"/>
    <mergeCell ref="E7:G7"/>
  </mergeCells>
  <hyperlinks>
    <hyperlink ref="E3" r:id="rId1" display="http://hl7.eu/fhir/laboratory/StructureDefinition/LeaglAu" xr:uid="{4462510D-2ABE-48D6-A1BA-02AC7E5093E8}"/>
    <hyperlink ref="E6" r:id="rId2" display="http://hl7.eu/fhir/laboratory/StructureDefinition/Recipient" xr:uid="{A4842D9D-E401-4D5B-A801-247FE022F1FA}"/>
    <hyperlink ref="E7" r:id="rId3" display="http://hl7.eu/fhir/StructureDefinition/information-recipient" xr:uid="{F0109F9F-1AF7-4CD4-85EE-8C50D9BBB499}"/>
    <hyperlink ref="E4" r:id="rId4" xr:uid="{E660722F-682B-4FC6-9236-BBA152E2B6AC}"/>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163"/>
  <sheetViews>
    <sheetView topLeftCell="A151" workbookViewId="0">
      <selection activeCell="B165" sqref="B1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1249</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row r="87" spans="2:2" x14ac:dyDescent="0.75">
      <c r="B87" s="65"/>
    </row>
    <row r="88" spans="2:2" x14ac:dyDescent="0.75">
      <c r="B88" s="67" t="str">
        <f>"* group[+].source = ##34#"&amp;'Pregnancy-ConceptMap-2'!E6&amp;"##34#"</f>
        <v>* group[+].source = ##34#http://hl7.eu/fhir/ig/xpandh/ps/StructureDefinition/Pregnancy##34#</v>
      </c>
    </row>
    <row r="89" spans="2:2" x14ac:dyDescent="0.75">
      <c r="B89" s="67" t="str">
        <f>"* group[=].target = ##34#"&amp;'Pregnancy-ConceptMap-2'!E7&amp;"##34#"</f>
        <v>* group[=].target = ##34#http://hl7.eu/fhir/ig/xpandh/ps/StructureDefinition/Composition-ps-xpandh##34#</v>
      </c>
    </row>
    <row r="90" spans="2:2" x14ac:dyDescent="0.75">
      <c r="B90" s="69"/>
    </row>
    <row r="91" spans="2:2" x14ac:dyDescent="0.75">
      <c r="B91" t="str">
        <f>IF('Pregnancy-ConceptMap-2'!S15=0,"//---END",'Pregnancy-ConceptMap-2'!S15)</f>
        <v>* group[=].element[+].code = #Pregnancy.pregnancyStatus</v>
      </c>
    </row>
    <row r="92" spans="2:2" x14ac:dyDescent="0.75">
      <c r="B92" t="str">
        <f>IF('Pregnancy-ConceptMap-2'!S16=0,"//---END",'Pregnancy-ConceptMap-2'!S16)</f>
        <v>* group[=].element[=].display = ##34#A.2.6.1 Current pregnancy status##34#</v>
      </c>
    </row>
    <row r="93" spans="2:2" x14ac:dyDescent="0.75">
      <c r="B93" t="str">
        <f>IF('Pregnancy-ConceptMap-2'!S17=0,"//---END",'Pregnancy-ConceptMap-2'!S17)</f>
        <v>* group[=].element[=].target.code = #Observation.</v>
      </c>
    </row>
    <row r="94" spans="2:2" x14ac:dyDescent="0.75">
      <c r="B94" t="str">
        <f>IF('Pregnancy-ConceptMap-2'!S18=0,"//---END",'Pregnancy-ConceptMap-2'!S18)</f>
        <v>* group[=].element[=].target.display = ##34###34#</v>
      </c>
    </row>
    <row r="95" spans="2:2" x14ac:dyDescent="0.75">
      <c r="B95" t="str">
        <f>IF('Pregnancy-ConceptMap-2'!S19=0,"//---END",'Pregnancy-ConceptMap-2'!S19)</f>
        <v>* group[=].element[=].target.equivalence = #relatedto</v>
      </c>
    </row>
    <row r="96" spans="2:2" x14ac:dyDescent="0.75">
      <c r="B96" t="str">
        <f>IF('Pregnancy-ConceptMap-2'!S20=0,"//---END",'Pregnancy-ConceptMap-2'!S20)</f>
        <v/>
      </c>
    </row>
    <row r="97" spans="2:2" x14ac:dyDescent="0.75">
      <c r="B97" t="str">
        <f>IF('Pregnancy-ConceptMap-2'!S21=0,"//---END",'Pregnancy-ConceptMap-2'!S21)</f>
        <v>* group[=].element[+].code = #Pregnancy.pregnancyStatus.dateOfObservation</v>
      </c>
    </row>
    <row r="98" spans="2:2" x14ac:dyDescent="0.75">
      <c r="B98" t="str">
        <f>IF('Pregnancy-ConceptMap-2'!S22=0,"//---END",'Pregnancy-ConceptMap-2'!S22)</f>
        <v>* group[=].element[=].display = ##34#A.2.6.1.1 Date of observation##34#</v>
      </c>
    </row>
    <row r="99" spans="2:2" x14ac:dyDescent="0.75">
      <c r="B99" t="str">
        <f>IF('Pregnancy-ConceptMap-2'!S23=0,"//---END",'Pregnancy-ConceptMap-2'!S23)</f>
        <v>* group[=].element[=].target.code = #Observation.effectiveDateTime</v>
      </c>
    </row>
    <row r="100" spans="2:2" x14ac:dyDescent="0.75">
      <c r="B100" t="str">
        <f>IF('Pregnancy-ConceptMap-2'!S24=0,"//---END",'Pregnancy-ConceptMap-2'!S24)</f>
        <v>* group[=].element[=].target.display = ##34###34#</v>
      </c>
    </row>
    <row r="101" spans="2:2" x14ac:dyDescent="0.75">
      <c r="B101" t="str">
        <f>IF('Pregnancy-ConceptMap-2'!S25=0,"//---END",'Pregnancy-ConceptMap-2'!S25)</f>
        <v>* group[=].element[=].target.equivalence = #equivalent</v>
      </c>
    </row>
    <row r="102" spans="2:2" x14ac:dyDescent="0.75">
      <c r="B102" t="str">
        <f>IF('Pregnancy-ConceptMap-2'!S26=0,"//---END",'Pregnancy-ConceptMap-2'!S26)</f>
        <v/>
      </c>
    </row>
    <row r="103" spans="2:2" x14ac:dyDescent="0.75">
      <c r="B103" t="str">
        <f>IF('Pregnancy-ConceptMap-2'!S27=0,"//---END",'Pregnancy-ConceptMap-2'!S27)</f>
        <v>* group[=].element[+].code = #Pregnancy.pregnancyStatus.status</v>
      </c>
    </row>
    <row r="104" spans="2:2" x14ac:dyDescent="0.75">
      <c r="B104" t="str">
        <f>IF('Pregnancy-ConceptMap-2'!S28=0,"//---END",'Pregnancy-ConceptMap-2'!S28)</f>
        <v>* group[=].element[=].display = ##34#A.2.6.1.2 Status##34#</v>
      </c>
    </row>
    <row r="105" spans="2:2" x14ac:dyDescent="0.75">
      <c r="B105" t="str">
        <f>IF('Pregnancy-ConceptMap-2'!S29=0,"//---END",'Pregnancy-ConceptMap-2'!S29)</f>
        <v>* group[=].element[=].target.code = #Observation.valueCodeabelConcept</v>
      </c>
    </row>
    <row r="106" spans="2:2" x14ac:dyDescent="0.75">
      <c r="B106" t="str">
        <f>IF('Pregnancy-ConceptMap-2'!S30=0,"//---END",'Pregnancy-ConceptMap-2'!S30)</f>
        <v>* group[=].element[=].target.display = ##34###34#</v>
      </c>
    </row>
    <row r="107" spans="2:2" x14ac:dyDescent="0.75">
      <c r="B107" t="str">
        <f>IF('Pregnancy-ConceptMap-2'!S31=0,"//---END",'Pregnancy-ConceptMap-2'!S31)</f>
        <v>* group[=].element[=].target.equivalence = #equivalent</v>
      </c>
    </row>
    <row r="108" spans="2:2" x14ac:dyDescent="0.75">
      <c r="B108" t="str">
        <f>IF('Pregnancy-ConceptMap-2'!S32=0,"//---END",'Pregnancy-ConceptMap-2'!S32)</f>
        <v/>
      </c>
    </row>
    <row r="109" spans="2:2" x14ac:dyDescent="0.75">
      <c r="B109" t="str">
        <f>IF('Pregnancy-ConceptMap-2'!S33=0,"//---END",'Pregnancy-ConceptMap-2'!S33)</f>
        <v>* group[=].element[+].code = #Pregnancy.pregnancyStatus.deliveryDate</v>
      </c>
    </row>
    <row r="110" spans="2:2" x14ac:dyDescent="0.75">
      <c r="B110" t="str">
        <f>IF('Pregnancy-ConceptMap-2'!S34=0,"//---END",'Pregnancy-ConceptMap-2'!S34)</f>
        <v>* group[=].element[=].display = ##34#A.2.6.1.3 Expected date of delivery##34#</v>
      </c>
    </row>
    <row r="111" spans="2:2" x14ac:dyDescent="0.75">
      <c r="B111" t="str">
        <f>IF('Pregnancy-ConceptMap-2'!S35=0,"//---END",'Pregnancy-ConceptMap-2'!S35)</f>
        <v>* group[=].element[=].target.code = #Observation.hasMember.valueDateTime</v>
      </c>
    </row>
    <row r="112" spans="2:2" x14ac:dyDescent="0.75">
      <c r="B112" t="str">
        <f>IF('Pregnancy-ConceptMap-2'!S36=0,"//---END",'Pregnancy-ConceptMap-2'!S36)</f>
        <v>* group[=].element[=].target.display = ##34###34#</v>
      </c>
    </row>
    <row r="113" spans="2:2" x14ac:dyDescent="0.75">
      <c r="B113" t="str">
        <f>IF('Pregnancy-ConceptMap-2'!S37=0,"//---END",'Pregnancy-ConceptMap-2'!S37)</f>
        <v>* group[=].element[=].target.equivalence = #equivalent</v>
      </c>
    </row>
    <row r="114" spans="2:2" x14ac:dyDescent="0.75">
      <c r="B114" t="str">
        <f>IF('Pregnancy-ConceptMap-2'!S38=0,"//---END",'Pregnancy-ConceptMap-2'!S38)</f>
        <v>* group[=].element[=].target.comment = ##34#Where hasMember.code IN PregnancyExpectedDeliveryDateMethodUvIps value set##34#</v>
      </c>
    </row>
    <row r="115" spans="2:2" x14ac:dyDescent="0.75">
      <c r="B115" t="str">
        <f>IF('Pregnancy-ConceptMap-2'!S39=0,"//---END",'Pregnancy-ConceptMap-2'!S39)</f>
        <v>//---END</v>
      </c>
    </row>
    <row r="116" spans="2:2" x14ac:dyDescent="0.75">
      <c r="B116" t="str">
        <f>IF('Pregnancy-ConceptMap-2'!S40=0,"//---END",'Pregnancy-ConceptMap-2'!S40)</f>
        <v>//---END</v>
      </c>
    </row>
    <row r="117" spans="2:2" x14ac:dyDescent="0.75">
      <c r="B117" t="str">
        <f>IF('Pregnancy-ConceptMap-2'!S41=0,"//---END",'Pregnancy-ConceptMap-2'!S41)</f>
        <v>//---END</v>
      </c>
    </row>
    <row r="118" spans="2:2" x14ac:dyDescent="0.75">
      <c r="B118" t="str">
        <f>IF('Pregnancy-ConceptMap-2'!S42=0,"//---END",'Pregnancy-ConceptMap-2'!S42)</f>
        <v>//---END</v>
      </c>
    </row>
    <row r="119" spans="2:2" x14ac:dyDescent="0.75">
      <c r="B119" t="str">
        <f>IF('Pregnancy-ConceptMap-2'!S43=0,"//---END",'Pregnancy-ConceptMap-2'!S43)</f>
        <v>//---END</v>
      </c>
    </row>
    <row r="120" spans="2:2" x14ac:dyDescent="0.75">
      <c r="B120" t="str">
        <f>IF('Pregnancy-ConceptMap-2'!S44=0,"//---END",'Pregnancy-ConceptMap-2'!S44)</f>
        <v>//---END</v>
      </c>
    </row>
    <row r="121" spans="2:2" x14ac:dyDescent="0.75">
      <c r="B121" s="65"/>
    </row>
    <row r="122" spans="2:2" x14ac:dyDescent="0.75">
      <c r="B122" s="67" t="str">
        <f>"* group[+].source = ##34#"&amp;'Pregnancy-ConceptMap-3'!E6&amp;"##34#"</f>
        <v>* group[+].source = ##34#http://hl7.eu/fhir/ig/xpandh/ps/StructureDefinition/Pregnancy##34#</v>
      </c>
    </row>
    <row r="123" spans="2:2" x14ac:dyDescent="0.75">
      <c r="B123" s="67" t="str">
        <f>"* group[=].target = ##34#"&amp;'Pregnancy-ConceptMap-3'!E7&amp;"##34#"</f>
        <v>* group[=].target = ##34#http://hl7.eu/fhir/ig/xpandh/ps/StructureDefinition/Composition-ps-xpandh##34#</v>
      </c>
    </row>
    <row r="124" spans="2:2" x14ac:dyDescent="0.75">
      <c r="B124" s="69"/>
    </row>
    <row r="125" spans="2:2" x14ac:dyDescent="0.75">
      <c r="B125" t="str">
        <f>IF('Pregnancy-ConceptMap-3'!S15=0,"//---END",'Pregnancy-ConceptMap-3'!S15)</f>
        <v>* group[=].element[+].code = #Pregnancy.hxPreviousPregnancies</v>
      </c>
    </row>
    <row r="126" spans="2:2" x14ac:dyDescent="0.75">
      <c r="B126" t="str">
        <f>IF('Pregnancy-ConceptMap-3'!S16=0,"//---END",'Pregnancy-ConceptMap-3'!S16)</f>
        <v>* group[=].element[=].display = ##34#A.2.6.2 History of previous pregnancies##34#</v>
      </c>
    </row>
    <row r="127" spans="2:2" x14ac:dyDescent="0.75">
      <c r="B127" t="str">
        <f>IF('Pregnancy-ConceptMap-3'!S17=0,"//---END",'Pregnancy-ConceptMap-3'!S17)</f>
        <v>* group[=].element[=].target.code = #Observation.</v>
      </c>
    </row>
    <row r="128" spans="2:2" x14ac:dyDescent="0.75">
      <c r="B128" t="str">
        <f>IF('Pregnancy-ConceptMap-3'!S18=0,"//---END",'Pregnancy-ConceptMap-3'!S18)</f>
        <v>* group[=].element[=].target.display = ##34###34#</v>
      </c>
    </row>
    <row r="129" spans="2:2" x14ac:dyDescent="0.75">
      <c r="B129" t="str">
        <f>IF('Pregnancy-ConceptMap-3'!S19=0,"//---END",'Pregnancy-ConceptMap-3'!S19)</f>
        <v>* group[=].element[=].target.equivalence = #relatedto</v>
      </c>
    </row>
    <row r="130" spans="2:2" x14ac:dyDescent="0.75">
      <c r="B130" t="str">
        <f>IF('Pregnancy-ConceptMap-3'!S20=0,"//---END",'Pregnancy-ConceptMap-3'!S20)</f>
        <v/>
      </c>
    </row>
    <row r="131" spans="2:2" x14ac:dyDescent="0.75">
      <c r="B131" t="str">
        <f>IF('Pregnancy-ConceptMap-3'!S21=0,"//---END",'Pregnancy-ConceptMap-3'!S21)</f>
        <v>* group[=].element[+].code = #Pregnancy.hxPreviousPregnancies.status</v>
      </c>
    </row>
    <row r="132" spans="2:2" x14ac:dyDescent="0.75">
      <c r="B132" t="str">
        <f>IF('Pregnancy-ConceptMap-3'!S22=0,"//---END",'Pregnancy-ConceptMap-3'!S22)</f>
        <v>* group[=].element[=].display = ##34#A.2.6.2.1 Previous pregnancies status##34#</v>
      </c>
    </row>
    <row r="133" spans="2:2" x14ac:dyDescent="0.75">
      <c r="B133" t="str">
        <f>IF('Pregnancy-ConceptMap-3'!S23=0,"//---END",'Pregnancy-ConceptMap-3'!S23)</f>
        <v>* group[=].element[=].target.code = #Observation.section:sectionPregnancyHx.entry</v>
      </c>
    </row>
    <row r="134" spans="2:2" x14ac:dyDescent="0.75">
      <c r="B134" t="str">
        <f>IF('Pregnancy-ConceptMap-3'!S24=0,"//---END",'Pregnancy-ConceptMap-3'!S24)</f>
        <v>* group[=].element[=].target.display = ##34###34#</v>
      </c>
    </row>
    <row r="135" spans="2:2" x14ac:dyDescent="0.75">
      <c r="B135" t="str">
        <f>IF('Pregnancy-ConceptMap-3'!S25=0,"//---END",'Pregnancy-ConceptMap-3'!S25)</f>
        <v>* group[=].element[=].target.equivalence = #relatedto</v>
      </c>
    </row>
    <row r="136" spans="2:2" x14ac:dyDescent="0.75">
      <c r="B136" t="str">
        <f>IF('Pregnancy-ConceptMap-3'!S26=0,"//---END",'Pregnancy-ConceptMap-3'!S26)</f>
        <v>* group[=].element[=].target.comment = ##34#Observation profile to be added##34#</v>
      </c>
    </row>
    <row r="137" spans="2:2" x14ac:dyDescent="0.75">
      <c r="B137" t="str">
        <f>IF('Pregnancy-ConceptMap-3'!S27=0,"//---END",'Pregnancy-ConceptMap-3'!S27)</f>
        <v>* group[=].element[+].code = #Pregnancy.hxPreviousPregnancies.description</v>
      </c>
    </row>
    <row r="138" spans="2:2" x14ac:dyDescent="0.75">
      <c r="B138" t="str">
        <f>IF('Pregnancy-ConceptMap-3'!S28=0,"//---END",'Pregnancy-ConceptMap-3'!S28)</f>
        <v>* group[=].element[=].display = ##34#A.2.6.2.2 Previous pregnancies description##34#</v>
      </c>
    </row>
    <row r="139" spans="2:2" x14ac:dyDescent="0.75">
      <c r="B139" t="str">
        <f>IF('Pregnancy-ConceptMap-3'!S29=0,"//---END",'Pregnancy-ConceptMap-3'!S29)</f>
        <v>* group[=].element[=].target.code = #Observation.</v>
      </c>
    </row>
    <row r="140" spans="2:2" x14ac:dyDescent="0.75">
      <c r="B140" t="str">
        <f>IF('Pregnancy-ConceptMap-3'!S30=0,"//---END",'Pregnancy-ConceptMap-3'!S30)</f>
        <v>* group[=].element[=].target.display = ##34###34#</v>
      </c>
    </row>
    <row r="141" spans="2:2" x14ac:dyDescent="0.75">
      <c r="B141" t="str">
        <f>IF('Pregnancy-ConceptMap-3'!S31=0,"//---END",'Pregnancy-ConceptMap-3'!S31)</f>
        <v>* group[=].element[=].target.equivalence = #relatedto</v>
      </c>
    </row>
    <row r="142" spans="2:2" x14ac:dyDescent="0.75">
      <c r="B142" t="str">
        <f>IF('Pregnancy-ConceptMap-3'!S32=0,"//---END",'Pregnancy-ConceptMap-3'!S32)</f>
        <v>* group[=].element[=].target.comment = ##34#To be checked##34#</v>
      </c>
    </row>
    <row r="143" spans="2:2" x14ac:dyDescent="0.75">
      <c r="B143" t="str">
        <f>IF('Pregnancy-ConceptMap-3'!S33=0,"//---END",'Pregnancy-ConceptMap-3'!S33)</f>
        <v>* group[=].element[+].code = #Pregnancy.hxPreviousPregnancies.description.outcomeDate</v>
      </c>
    </row>
    <row r="144" spans="2:2" x14ac:dyDescent="0.75">
      <c r="B144" t="str">
        <f>IF('Pregnancy-ConceptMap-3'!S34=0,"//---END",'Pregnancy-ConceptMap-3'!S34)</f>
        <v>* group[=].element[=].display = ##34#A.2.6.2.2.1 Outcome date##34#</v>
      </c>
    </row>
    <row r="145" spans="2:2" x14ac:dyDescent="0.75">
      <c r="B145" t="str">
        <f>IF('Pregnancy-ConceptMap-3'!S35=0,"//---END",'Pregnancy-ConceptMap-3'!S35)</f>
        <v>* group[=].element[=].target.code = #Observation.effectiveDateTime</v>
      </c>
    </row>
    <row r="146" spans="2:2" x14ac:dyDescent="0.75">
      <c r="B146" t="str">
        <f>IF('Pregnancy-ConceptMap-3'!S36=0,"//---END",'Pregnancy-ConceptMap-3'!S36)</f>
        <v>* group[=].element[=].target.display = ##34###34#</v>
      </c>
    </row>
    <row r="147" spans="2:2" x14ac:dyDescent="0.75">
      <c r="B147" t="str">
        <f>IF('Pregnancy-ConceptMap-3'!S37=0,"//---END",'Pregnancy-ConceptMap-3'!S37)</f>
        <v>* group[=].element[=].target.equivalence = #equivalent</v>
      </c>
    </row>
    <row r="148" spans="2:2" x14ac:dyDescent="0.75">
      <c r="B148" t="str">
        <f>IF('Pregnancy-ConceptMap-3'!S38=0,"//---END",'Pregnancy-ConceptMap-3'!S38)</f>
        <v/>
      </c>
    </row>
    <row r="149" spans="2:2" x14ac:dyDescent="0.75">
      <c r="B149" t="str">
        <f>IF('Pregnancy-ConceptMap-3'!S39=0,"//---END",'Pregnancy-ConceptMap-3'!S39)</f>
        <v>* group[=].element[+].code = #Pregnancy.hxPreviousPregnancies.description.outcome</v>
      </c>
    </row>
    <row r="150" spans="2:2" x14ac:dyDescent="0.75">
      <c r="B150" t="str">
        <f>IF('Pregnancy-ConceptMap-3'!S40=0,"//---END",'Pregnancy-ConceptMap-3'!S40)</f>
        <v>* group[=].element[=].display = ##34#A.2.6.2.2.2 Outcome##34#</v>
      </c>
    </row>
    <row r="151" spans="2:2" x14ac:dyDescent="0.75">
      <c r="B151" t="str">
        <f>IF('Pregnancy-ConceptMap-3'!S41=0,"//---END",'Pregnancy-ConceptMap-3'!S41)</f>
        <v>* group[=].element[=].target.code = #Observation.code</v>
      </c>
    </row>
    <row r="152" spans="2:2" x14ac:dyDescent="0.75">
      <c r="B152" t="str">
        <f>IF('Pregnancy-ConceptMap-3'!S42=0,"//---END",'Pregnancy-ConceptMap-3'!S42)</f>
        <v>* group[=].element[=].target.display = ##34###34#</v>
      </c>
    </row>
    <row r="153" spans="2:2" x14ac:dyDescent="0.75">
      <c r="B153" t="str">
        <f>IF('Pregnancy-ConceptMap-3'!S43=0,"//---END",'Pregnancy-ConceptMap-3'!S43)</f>
        <v>* group[=].element[=].target.equivalence = #equivalent</v>
      </c>
    </row>
    <row r="154" spans="2:2" x14ac:dyDescent="0.75">
      <c r="B154" t="str">
        <f>IF('Pregnancy-ConceptMap-3'!S44=0,"//---END",'Pregnancy-ConceptMap-3'!S44)</f>
        <v>* group[=].element[=].target.comment = ##34#to be checked##34#</v>
      </c>
    </row>
    <row r="155" spans="2:2" x14ac:dyDescent="0.75">
      <c r="B155" t="str">
        <f>IF('Pregnancy-ConceptMap-3'!S45=0,"//---END",'Pregnancy-ConceptMap-3'!S45)</f>
        <v>* group[=].element[+].code = #Pregnancy.hxPreviousPregnancies.description.numberOfChildren</v>
      </c>
    </row>
    <row r="156" spans="2:2" x14ac:dyDescent="0.75">
      <c r="B156" t="str">
        <f>IF('Pregnancy-ConceptMap-3'!S46=0,"//---END",'Pregnancy-ConceptMap-3'!S46)</f>
        <v>* group[=].element[=].display = ##34#A.2.6.2.2.3 Number of children##34#</v>
      </c>
    </row>
    <row r="157" spans="2:2" x14ac:dyDescent="0.75">
      <c r="B157" t="str">
        <f>IF('Pregnancy-ConceptMap-3'!S47=0,"//---END",'Pregnancy-ConceptMap-3'!S47)</f>
        <v>* group[=].element[=].target.code = #Observation.valueQuentity</v>
      </c>
    </row>
    <row r="158" spans="2:2" x14ac:dyDescent="0.75">
      <c r="B158" t="str">
        <f>IF('Pregnancy-ConceptMap-3'!S48=0,"//---END",'Pregnancy-ConceptMap-3'!S48)</f>
        <v>* group[=].element[=].target.display = ##34###34#</v>
      </c>
    </row>
    <row r="159" spans="2:2" x14ac:dyDescent="0.75">
      <c r="B159" t="str">
        <f>IF('Pregnancy-ConceptMap-3'!S49=0,"//---END",'Pregnancy-ConceptMap-3'!S49)</f>
        <v>* group[=].element[=].target.equivalence = #equivalent</v>
      </c>
    </row>
    <row r="160" spans="2:2" x14ac:dyDescent="0.75">
      <c r="B160" t="str">
        <f>IF('Pregnancy-ConceptMap-3'!S50=0,"//---END",'Pregnancy-ConceptMap-3'!S50)</f>
        <v/>
      </c>
    </row>
    <row r="161" spans="2:2" x14ac:dyDescent="0.75">
      <c r="B161" t="str">
        <f>IF('Pregnancy-ConceptMap-3'!S51=0,"//---END",'Pregnancy-ConceptMap-3'!S51)</f>
        <v>//---END</v>
      </c>
    </row>
    <row r="162" spans="2:2" x14ac:dyDescent="0.75">
      <c r="B162" t="str">
        <f>IF('Pregnancy-ConceptMap-3'!S52=0,"//---END",'Pregnancy-ConceptMap-3'!S52)</f>
        <v>//---END</v>
      </c>
    </row>
    <row r="163" spans="2:2" x14ac:dyDescent="0.75">
      <c r="B163" t="str">
        <f>IF('Pregnancy-ConceptMap-3'!S53=0,"//---END",'Pregnancy-ConceptMap-3'!S53)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1203</v>
      </c>
      <c r="I4" s="24" t="str">
        <f>CONCATENATE("Logical: ",B4)</f>
        <v>Logical: FunctionalStatusPsEhn</v>
      </c>
    </row>
    <row r="5" spans="1:11" x14ac:dyDescent="0.75">
      <c r="A5" s="17" t="s">
        <v>19</v>
      </c>
      <c r="B5" s="33" t="s">
        <v>1204</v>
      </c>
      <c r="I5" s="24" t="str">
        <f>CONCATENATE("Id: ",B5)</f>
        <v>Id: FunctionalStatus</v>
      </c>
    </row>
    <row r="6" spans="1:11" x14ac:dyDescent="0.75">
      <c r="A6" s="17" t="s">
        <v>13</v>
      </c>
      <c r="B6" s="18" t="s">
        <v>1219</v>
      </c>
      <c r="I6" s="25" t="str">
        <f>CONCATENATE("Title: ##34#",B6,"##34#")</f>
        <v>Title: ##34#A.2.3.3 - Functional Status##34#</v>
      </c>
    </row>
    <row r="7" spans="1:11" ht="29.5" x14ac:dyDescent="0.75">
      <c r="A7" s="43" t="s">
        <v>5</v>
      </c>
      <c r="B7" s="50" t="s">
        <v>1220</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1208</v>
      </c>
      <c r="D8" s="14" t="s">
        <v>1217</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30.25" thickBot="1" x14ac:dyDescent="0.9">
      <c r="A9" s="9">
        <v>2</v>
      </c>
      <c r="B9" s="9" t="s">
        <v>890</v>
      </c>
      <c r="C9" s="9" t="s">
        <v>1209</v>
      </c>
      <c r="D9" s="94" t="s">
        <v>1213</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1210</v>
      </c>
      <c r="D10" s="14" t="s">
        <v>1214</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1211</v>
      </c>
      <c r="D11" s="52" t="s">
        <v>1215</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1212</v>
      </c>
      <c r="D12" s="14" t="s">
        <v>1216</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1207</v>
      </c>
      <c r="F29" s="94" t="s">
        <v>1205</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1206</v>
      </c>
      <c r="F31" s="94" t="s">
        <v>1205</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1218</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7" t="s">
        <v>1233</v>
      </c>
      <c r="C1" s="167"/>
    </row>
    <row r="2" spans="1:19" ht="15.5" thickBot="1" x14ac:dyDescent="0.9"/>
    <row r="3" spans="1:19" ht="15.5" thickBot="1" x14ac:dyDescent="0.9">
      <c r="B3" s="61" t="s">
        <v>34</v>
      </c>
      <c r="C3" s="47" t="s">
        <v>1221</v>
      </c>
      <c r="D3" s="61" t="s">
        <v>208</v>
      </c>
      <c r="E3" s="165" t="str">
        <f>"http://hl7.eu/fhir/ig/xpandh/ps/StructureDefinition/"&amp;'A.2.3.3 FunctionalStatus'!B5</f>
        <v>http://hl7.eu/fhir/ig/xpandh/ps/StructureDefinition/FunctionalStatus</v>
      </c>
      <c r="F3" s="164"/>
      <c r="G3" s="164"/>
    </row>
    <row r="4" spans="1:19" x14ac:dyDescent="0.75">
      <c r="B4" s="61" t="s">
        <v>19</v>
      </c>
      <c r="C4" s="47" t="s">
        <v>1222</v>
      </c>
      <c r="D4" s="61" t="s">
        <v>209</v>
      </c>
      <c r="E4" s="165" t="s">
        <v>1223</v>
      </c>
      <c r="F4" s="164"/>
      <c r="G4" s="164"/>
    </row>
    <row r="5" spans="1:19" x14ac:dyDescent="0.75">
      <c r="B5" s="61" t="s">
        <v>13</v>
      </c>
      <c r="C5" s="10" t="s">
        <v>226</v>
      </c>
      <c r="D5" s="61"/>
      <c r="E5" s="10"/>
    </row>
    <row r="6" spans="1:19" x14ac:dyDescent="0.75">
      <c r="B6" s="61" t="s">
        <v>35</v>
      </c>
      <c r="C6" s="60"/>
      <c r="D6" s="61" t="s">
        <v>206</v>
      </c>
      <c r="E6" s="165" t="str">
        <f>E3</f>
        <v>http://hl7.eu/fhir/ig/xpandh/ps/StructureDefinition/FunctionalStatus</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1226</v>
      </c>
      <c r="E15" s="9"/>
      <c r="F15" s="91" t="s">
        <v>193</v>
      </c>
      <c r="G15" s="14" t="s">
        <v>1224</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1232</v>
      </c>
      <c r="E16" s="14"/>
      <c r="F16" s="91" t="s">
        <v>193</v>
      </c>
      <c r="G16" s="14" t="s">
        <v>1225</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1228</v>
      </c>
      <c r="E17" s="9"/>
      <c r="F17" s="91" t="s">
        <v>193</v>
      </c>
      <c r="G17" s="14" t="s">
        <v>1229</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1230</v>
      </c>
      <c r="E18" s="9"/>
      <c r="F18" s="91" t="s">
        <v>193</v>
      </c>
      <c r="G18" s="14" t="s">
        <v>1229</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1227</v>
      </c>
      <c r="E19" s="9"/>
      <c r="F19" s="91" t="s">
        <v>193</v>
      </c>
      <c r="G19" s="14" t="s">
        <v>1234</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1231</v>
      </c>
      <c r="E20" s="9"/>
      <c r="F20" s="91" t="s">
        <v>193</v>
      </c>
      <c r="G20" s="14" t="s">
        <v>1229</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1235</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1188</v>
      </c>
      <c r="I4" s="24" t="str">
        <f>CONCATENATE("Logical: ",B4)</f>
        <v>Logical: ProcedurePsEhn</v>
      </c>
    </row>
    <row r="5" spans="1:11" x14ac:dyDescent="0.75">
      <c r="A5" s="17" t="s">
        <v>19</v>
      </c>
      <c r="B5" s="33" t="s">
        <v>1300</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1191</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1193</v>
      </c>
      <c r="D8" s="14" t="s">
        <v>1196</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1200</v>
      </c>
      <c r="C9" s="9" t="s">
        <v>1194</v>
      </c>
      <c r="D9" s="94" t="s">
        <v>1197</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1195</v>
      </c>
      <c r="D10" s="14" t="s">
        <v>1171</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1198</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29.5"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1190</v>
      </c>
      <c r="D3" s="61" t="s">
        <v>208</v>
      </c>
      <c r="E3" s="165" t="str">
        <f>"http://hl7.eu/fhir/ig/xpandh/ps/StructureDefinition/"&amp;'A.2.3.3 Procedures'!B5</f>
        <v>http://hl7.eu/fhir/ig/xpandh/ps/StructureDefinition/ProcedurePs</v>
      </c>
      <c r="F3" s="164"/>
      <c r="G3" s="164"/>
    </row>
    <row r="4" spans="1:19" x14ac:dyDescent="0.75">
      <c r="B4" s="61" t="s">
        <v>19</v>
      </c>
      <c r="C4" s="47" t="s">
        <v>1192</v>
      </c>
      <c r="D4" s="61" t="s">
        <v>209</v>
      </c>
      <c r="E4" s="165" t="s">
        <v>1199</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http://hl7.eu/fhir/ig/xpandh/ps/StructureDefinition/ProcedurePs</v>
      </c>
      <c r="F6" s="164"/>
      <c r="G6" s="164"/>
    </row>
    <row r="7" spans="1:19" x14ac:dyDescent="0.75">
      <c r="B7" s="61" t="s">
        <v>18</v>
      </c>
      <c r="C7" s="68"/>
      <c r="D7" s="61" t="s">
        <v>207</v>
      </c>
      <c r="E7" s="165" t="str">
        <f>E4</f>
        <v>http://hl7.eu/fhir/ig/xpandh/ps/StructureDefinition/Procedure-ps-xpandh</v>
      </c>
      <c r="F7" s="164"/>
      <c r="G7" s="164"/>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1189</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1200</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1201</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1202</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1164</v>
      </c>
      <c r="I4" s="24" t="str">
        <f>CONCATENATE("Logical: ",B4)</f>
        <v>Logical: MedicalDevicePsEhn</v>
      </c>
    </row>
    <row r="5" spans="1:11" x14ac:dyDescent="0.75">
      <c r="A5" s="17" t="s">
        <v>19</v>
      </c>
      <c r="B5" s="33" t="s">
        <v>1165</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1163</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1166</v>
      </c>
      <c r="D8" s="14" t="s">
        <v>1170</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1167</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1173</v>
      </c>
      <c r="C10" s="9" t="s">
        <v>1168</v>
      </c>
      <c r="D10" s="14" t="s">
        <v>1171</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891</v>
      </c>
      <c r="C11" t="s">
        <v>1169</v>
      </c>
      <c r="D11" s="52" t="s">
        <v>1172</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1174</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59"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29.5" x14ac:dyDescent="0.75">
      <c r="C9" s="14" t="str">
        <f>IF('A.2.3.2 Devices'!I9="*  ..  ##34###34# ##334###334#","//--- END",'A.2.3.2 Devices'!I9)</f>
        <v>* identifier 0..* Identifier ##34#A.2.3.2.2 Device ID##34# ##334#Normalised identifier of the device instance such as UDI according to REGULATION (EU) 2017/745##334#</v>
      </c>
    </row>
    <row r="10" spans="3:7" ht="29.5"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G5" sqref="G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1175</v>
      </c>
      <c r="D3" s="61" t="s">
        <v>208</v>
      </c>
      <c r="E3" s="165" t="str">
        <f>"http://hl7.eu/fhir/ig/xpandh/ps/StructureDefinition/"&amp;'A.2.3.2 Devices'!B5</f>
        <v>http://hl7.eu/fhir/ig/xpandh/ps/StructureDefinition/MedicalDevice</v>
      </c>
      <c r="F3" s="164"/>
      <c r="G3" s="164"/>
    </row>
    <row r="4" spans="1:19" x14ac:dyDescent="0.75">
      <c r="B4" s="61" t="s">
        <v>19</v>
      </c>
      <c r="C4" s="47" t="s">
        <v>1176</v>
      </c>
      <c r="D4" s="61" t="s">
        <v>209</v>
      </c>
      <c r="E4" s="165" t="s">
        <v>1306</v>
      </c>
      <c r="F4" s="164"/>
      <c r="G4" s="164"/>
    </row>
    <row r="5" spans="1:19" x14ac:dyDescent="0.75">
      <c r="B5" s="61" t="s">
        <v>13</v>
      </c>
      <c r="C5" s="10" t="s">
        <v>226</v>
      </c>
      <c r="D5" s="61"/>
      <c r="E5" s="10"/>
    </row>
    <row r="6" spans="1:19" x14ac:dyDescent="0.75">
      <c r="B6" s="61" t="s">
        <v>35</v>
      </c>
      <c r="C6" s="60"/>
      <c r="D6" s="61" t="s">
        <v>206</v>
      </c>
      <c r="E6" s="165" t="str">
        <f>E3</f>
        <v>http://hl7.eu/fhir/ig/xpandh/ps/StructureDefinition/MedicalDevice</v>
      </c>
      <c r="F6" s="164"/>
      <c r="G6" s="164"/>
    </row>
    <row r="7" spans="1:19" x14ac:dyDescent="0.75">
      <c r="B7" s="61" t="s">
        <v>18</v>
      </c>
      <c r="C7" s="68"/>
      <c r="D7" s="61" t="s">
        <v>207</v>
      </c>
      <c r="E7" s="165" t="str">
        <f>E4</f>
        <v>http://hl7.eu/fhir/ig/xpandh/ps/StructureDefinition/DeviceUseStatement-ps-xpandh</v>
      </c>
      <c r="F7" s="164"/>
      <c r="G7" s="164"/>
    </row>
    <row r="8" spans="1:19" ht="44.25" x14ac:dyDescent="0.75">
      <c r="B8" s="61" t="s">
        <v>204</v>
      </c>
      <c r="C8" s="10" t="s">
        <v>1177</v>
      </c>
      <c r="D8" s="61"/>
      <c r="E8"/>
      <c r="I8" s="14" t="s">
        <v>181</v>
      </c>
      <c r="J8" s="14" t="s">
        <v>182</v>
      </c>
      <c r="K8" s="14" t="s">
        <v>183</v>
      </c>
      <c r="L8" s="14" t="s">
        <v>184</v>
      </c>
      <c r="M8" s="9" t="s">
        <v>185</v>
      </c>
      <c r="P8" s="57" t="s">
        <v>186</v>
      </c>
      <c r="Q8" s="57">
        <v>6</v>
      </c>
    </row>
    <row r="9" spans="1:19" ht="29.5" x14ac:dyDescent="0.75">
      <c r="B9" s="61" t="s">
        <v>205</v>
      </c>
      <c r="C9" s="1" t="s">
        <v>1178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1179</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1180</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1181</v>
      </c>
      <c r="E16" s="9"/>
      <c r="F16" s="63" t="s">
        <v>193</v>
      </c>
      <c r="G16" t="s">
        <v>1184</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1182</v>
      </c>
      <c r="E17" s="9"/>
      <c r="F17" s="63" t="s">
        <v>193</v>
      </c>
      <c r="G17" t="s">
        <v>1183</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1185</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1186</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1187</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##34#http://hl7.eu/fhir/ig/xpandh/ps/StructureDefinition/DeviceUseStatement-ps-xpandh##34#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##34#http://hl7.eu/fhir/ig/xpandh/ps/StructureDefinition/DeviceUseStatement-ps-xpandh##34#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topLeftCell="A7" workbookViewId="0">
      <selection activeCell="B9" sqref="B9"/>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1142</v>
      </c>
      <c r="I4" s="24" t="str">
        <f>CONCATENATE("Logical: ",B4)</f>
        <v>Logical: ProblemPsEhn</v>
      </c>
    </row>
    <row r="5" spans="1:9" x14ac:dyDescent="0.75">
      <c r="A5" s="17" t="s">
        <v>19</v>
      </c>
      <c r="B5" s="33" t="s">
        <v>1143</v>
      </c>
      <c r="I5" s="24" t="str">
        <f>CONCATENATE("Id: ",B5)</f>
        <v>Id: Problem</v>
      </c>
    </row>
    <row r="6" spans="1:9" x14ac:dyDescent="0.75">
      <c r="A6" s="17" t="s">
        <v>13</v>
      </c>
      <c r="B6" s="18" t="s">
        <v>1135</v>
      </c>
      <c r="I6" s="25" t="str">
        <f>CONCATENATE("Title: ##34#",B6,"##34#")</f>
        <v>Title: ##34#A.2.3.1 Current problems##34#</v>
      </c>
    </row>
    <row r="7" spans="1:9" ht="29.5" x14ac:dyDescent="0.75">
      <c r="A7" s="43" t="s">
        <v>5</v>
      </c>
      <c r="B7" s="123" t="s">
        <v>1136</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1139</v>
      </c>
      <c r="D8" s="14" t="s">
        <v>1137</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890</v>
      </c>
      <c r="C9" t="s">
        <v>1140</v>
      </c>
      <c r="D9" s="36" t="s">
        <v>1120</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1305</v>
      </c>
      <c r="C10" t="s">
        <v>1141</v>
      </c>
      <c r="D10" s="14" t="s">
        <v>1138</v>
      </c>
      <c r="E10" s="9">
        <v>0</v>
      </c>
      <c r="F10" s="9" t="s">
        <v>11</v>
      </c>
      <c r="G10" s="9" t="s">
        <v>2</v>
      </c>
      <c r="H10" s="22"/>
      <c r="I10" s="14" t="str">
        <f t="shared" si="0"/>
        <v>* assertionStatus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71"/>
      <c r="D20" s="172"/>
      <c r="E20" s="172"/>
      <c r="F20" s="173"/>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1144</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assertionStatus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opLeftCell="B1" zoomScale="70" zoomScaleNormal="70"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1153</v>
      </c>
      <c r="D3" s="61" t="s">
        <v>208</v>
      </c>
      <c r="E3" s="72" t="str">
        <f>"http://hl7.eu/fhir/ig/xpandh/ps/StructureDefinition/"&amp;'A.2.3.1 Problem'!B5</f>
        <v>http://hl7.eu/fhir/ig/xpandh/ps/StructureDefinition/Problem</v>
      </c>
    </row>
    <row r="4" spans="1:19" x14ac:dyDescent="0.75">
      <c r="B4" s="61" t="s">
        <v>19</v>
      </c>
      <c r="C4" s="47" t="s">
        <v>1158</v>
      </c>
      <c r="D4" s="61" t="s">
        <v>209</v>
      </c>
      <c r="E4" s="165" t="s">
        <v>1308</v>
      </c>
      <c r="F4" s="164"/>
      <c r="G4" s="164"/>
    </row>
    <row r="5" spans="1:19" x14ac:dyDescent="0.75">
      <c r="B5" s="61" t="s">
        <v>13</v>
      </c>
      <c r="C5" s="10" t="s">
        <v>1154</v>
      </c>
      <c r="D5" s="61"/>
      <c r="E5" s="10"/>
    </row>
    <row r="6" spans="1:19" x14ac:dyDescent="0.75">
      <c r="B6" s="61" t="s">
        <v>35</v>
      </c>
      <c r="C6" s="60"/>
      <c r="D6" s="61" t="s">
        <v>206</v>
      </c>
      <c r="E6" s="165" t="str">
        <f>E3</f>
        <v>http://hl7.eu/fhir/ig/xpandh/ps/StructureDefinition/Problem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1155</v>
      </c>
      <c r="D8" s="61"/>
      <c r="E8" s="10"/>
      <c r="I8" s="14" t="s">
        <v>181</v>
      </c>
      <c r="J8" s="14" t="s">
        <v>182</v>
      </c>
      <c r="K8" s="14" t="s">
        <v>183</v>
      </c>
      <c r="L8" s="14" t="s">
        <v>184</v>
      </c>
      <c r="M8" s="9" t="s">
        <v>185</v>
      </c>
      <c r="P8" s="57" t="s">
        <v>186</v>
      </c>
      <c r="Q8" s="57">
        <v>6</v>
      </c>
    </row>
    <row r="9" spans="1:19" ht="29.5" x14ac:dyDescent="0.75">
      <c r="B9" s="61" t="s">
        <v>205</v>
      </c>
      <c r="C9" s="14" t="s">
        <v>1156</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1131</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915</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assertionStatus</v>
      </c>
      <c r="C17" s="9" t="str">
        <f>'A.2.3.1 Problem'!C10</f>
        <v>A.2.3.1.3 Diagnosis assertion status</v>
      </c>
      <c r="D17" s="14" t="s">
        <v>917</v>
      </c>
      <c r="E17" s="9"/>
      <c r="F17" s="63" t="s">
        <v>192</v>
      </c>
      <c r="G17" s="63"/>
      <c r="H17" s="64"/>
      <c r="I17" s="14" t="str">
        <f t="shared" si="2"/>
        <v>* group[=].element[+].code = #Problem.assertionStatus</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#Problem.assertionStatus</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display="http://hl7.eu/fhir/ig/xpandh/ps/StructureDefinition/Condition-ps-eu-xpandh" xr:uid="{EEB4F4FE-7FFA-4B74-8884-9BD89B7B639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1145</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#Problem.assertionStatus</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1123</v>
      </c>
      <c r="I4" s="24" t="str">
        <f>CONCATENATE("Logical: ",B4)</f>
        <v>Logical: ClosedProblemPsEhn</v>
      </c>
    </row>
    <row r="5" spans="1:9" x14ac:dyDescent="0.75">
      <c r="A5" s="17" t="s">
        <v>19</v>
      </c>
      <c r="B5" s="33" t="s">
        <v>1134</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1124</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1115</v>
      </c>
      <c r="D8" s="14" t="s">
        <v>1119</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890</v>
      </c>
      <c r="C9" s="9" t="s">
        <v>1116</v>
      </c>
      <c r="D9" s="36" t="s">
        <v>1120</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891</v>
      </c>
      <c r="C10" s="9" t="s">
        <v>1117</v>
      </c>
      <c r="D10" s="14" t="s">
        <v>1121</v>
      </c>
      <c r="E10" s="9">
        <v>0</v>
      </c>
      <c r="F10" s="9" t="s">
        <v>11</v>
      </c>
      <c r="G10" s="9" t="s">
        <v>2</v>
      </c>
      <c r="H10" s="22"/>
      <c r="I10" s="14" t="str">
        <f t="shared" si="0"/>
        <v>* endDate 0..* dateTime ##34#A.2.2.2.3 End date##34# ##334#Problem resolution date - Preferred system(s): ISO 8601##334#</v>
      </c>
    </row>
    <row r="11" spans="1:9" ht="118" x14ac:dyDescent="0.75">
      <c r="A11" s="51">
        <v>4</v>
      </c>
      <c r="B11" s="9" t="s">
        <v>1126</v>
      </c>
      <c r="C11" s="9" t="s">
        <v>1118</v>
      </c>
      <c r="D11" s="52" t="s">
        <v>1122</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71"/>
      <c r="D21" s="172"/>
      <c r="E21" s="172"/>
      <c r="F21" s="173"/>
    </row>
    <row r="22" spans="2:9" ht="163" thickBot="1" x14ac:dyDescent="0.9">
      <c r="B22" t="str">
        <f t="shared" si="1"/>
        <v>A.2.2.2.1 Problem description</v>
      </c>
      <c r="C22" s="93" t="s">
        <v>719</v>
      </c>
      <c r="D22" s="94" t="s">
        <v>636</v>
      </c>
      <c r="E22" s="94" t="s">
        <v>1113</v>
      </c>
      <c r="F22" s="94" t="s">
        <v>1114</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1125</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topLeftCell="D1" zoomScale="85" zoomScaleNormal="85"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c r="E2" s="1" t="s">
        <v>1307</v>
      </c>
    </row>
    <row r="3" spans="1:19" ht="15.5" thickBot="1" x14ac:dyDescent="0.9">
      <c r="B3" s="61" t="s">
        <v>34</v>
      </c>
      <c r="C3" s="47" t="s">
        <v>1127</v>
      </c>
      <c r="D3" s="61" t="s">
        <v>208</v>
      </c>
      <c r="E3" s="72" t="str">
        <f>"http://hl7.eu/fhir/ig/xpandh/ps/StructureDefinition/"&amp;'A.2.2.2 ClosedProblem'!B5</f>
        <v>http://hl7.eu/fhir/ig/xpandh/ps/StructureDefinition/ClosedProblem</v>
      </c>
    </row>
    <row r="4" spans="1:19" x14ac:dyDescent="0.75">
      <c r="B4" s="61" t="s">
        <v>19</v>
      </c>
      <c r="C4" s="47" t="s">
        <v>1157</v>
      </c>
      <c r="D4" s="61" t="s">
        <v>209</v>
      </c>
      <c r="E4" s="165" t="s">
        <v>1308</v>
      </c>
      <c r="F4" s="164"/>
      <c r="G4" s="164"/>
    </row>
    <row r="5" spans="1:19" x14ac:dyDescent="0.75">
      <c r="B5" s="61" t="s">
        <v>13</v>
      </c>
      <c r="C5" s="10" t="s">
        <v>1128</v>
      </c>
      <c r="D5" s="61"/>
      <c r="E5" s="10"/>
    </row>
    <row r="6" spans="1:19" x14ac:dyDescent="0.75">
      <c r="B6" s="61" t="s">
        <v>35</v>
      </c>
      <c r="C6" s="60"/>
      <c r="D6" s="61" t="s">
        <v>206</v>
      </c>
      <c r="E6" s="165" t="str">
        <f>E3</f>
        <v>http://hl7.eu/fhir/ig/xpandh/ps/StructureDefinition/ClosedProblem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1129</v>
      </c>
      <c r="D8" s="61"/>
      <c r="E8" s="10"/>
      <c r="I8" s="14" t="s">
        <v>181</v>
      </c>
      <c r="J8" s="14" t="s">
        <v>182</v>
      </c>
      <c r="K8" s="14" t="s">
        <v>183</v>
      </c>
      <c r="L8" s="14" t="s">
        <v>184</v>
      </c>
      <c r="M8" s="9" t="s">
        <v>185</v>
      </c>
      <c r="P8" s="57" t="s">
        <v>186</v>
      </c>
      <c r="Q8" s="57">
        <v>6</v>
      </c>
    </row>
    <row r="9" spans="1:19" ht="29.5" x14ac:dyDescent="0.75">
      <c r="B9" s="61" t="s">
        <v>205</v>
      </c>
      <c r="C9" s="14" t="s">
        <v>1130</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1131</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915</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1132</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1067</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display="http://hl7.eu/fhir/ig/xpandh/ps/StructureDefinition/Condition-ps-eu-xpandh" xr:uid="{3DAB909C-5B96-4B11-987C-C0549D3CF744}"/>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1133</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1094</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1081</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1082</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1083</v>
      </c>
      <c r="D10" s="94" t="s">
        <v>1091</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1084</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1095</v>
      </c>
      <c r="C12" s="45" t="s">
        <v>1085</v>
      </c>
      <c r="D12" s="94" t="s">
        <v>1092</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1086</v>
      </c>
      <c r="D13" s="94" t="s">
        <v>1093</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1087</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1096</v>
      </c>
      <c r="C15" s="9" t="s">
        <v>1088</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1089</v>
      </c>
      <c r="F26" s="94" t="s">
        <v>1090</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5" t="s">
        <v>1097</v>
      </c>
      <c r="F4" s="164"/>
      <c r="G4" s="164"/>
    </row>
    <row r="5" spans="1:19" x14ac:dyDescent="0.75">
      <c r="B5" s="61" t="s">
        <v>13</v>
      </c>
      <c r="C5" s="10" t="s">
        <v>241</v>
      </c>
      <c r="D5" s="61"/>
      <c r="E5"/>
    </row>
    <row r="6" spans="1:19" x14ac:dyDescent="0.75">
      <c r="B6" s="61" t="s">
        <v>35</v>
      </c>
      <c r="C6" s="60"/>
      <c r="D6" s="61" t="s">
        <v>206</v>
      </c>
      <c r="E6" s="174" t="str">
        <f>E3</f>
        <v>http://hl7.eu/fhir/ig/xpandh/ps/StructureDefinition/Result</v>
      </c>
      <c r="F6" s="175"/>
      <c r="G6" s="175"/>
    </row>
    <row r="7" spans="1:19" x14ac:dyDescent="0.75">
      <c r="B7" s="61" t="s">
        <v>18</v>
      </c>
      <c r="C7" s="68"/>
      <c r="D7" s="61" t="s">
        <v>207</v>
      </c>
      <c r="E7" s="165" t="s">
        <v>1097</v>
      </c>
      <c r="F7" s="164"/>
      <c r="G7" s="164"/>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1098</v>
      </c>
      <c r="E16" s="9"/>
      <c r="F16" s="63" t="s">
        <v>193</v>
      </c>
      <c r="G16" s="70" t="s">
        <v>1099</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1100</v>
      </c>
      <c r="E17" s="9"/>
      <c r="F17" s="63" t="s">
        <v>193</v>
      </c>
      <c r="G17" s="70" t="s">
        <v>1101</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1102</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1103</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1104</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1105</v>
      </c>
      <c r="E22" s="9"/>
      <c r="F22" s="63" t="s">
        <v>193</v>
      </c>
      <c r="G22" s="70" t="s">
        <v>1107</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1106</v>
      </c>
      <c r="E23" s="9"/>
      <c r="F23" s="63" t="s">
        <v>193</v>
      </c>
      <c r="G23" s="70" t="s">
        <v>1108</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1053</v>
      </c>
      <c r="I4" s="24" t="str">
        <f>CONCATENATE("Logical: ",B4)</f>
        <v>Logical: MedicinePsEhn</v>
      </c>
    </row>
    <row r="5" spans="1:9" x14ac:dyDescent="0.75">
      <c r="A5" s="17" t="s">
        <v>19</v>
      </c>
      <c r="B5" s="33" t="s">
        <v>1052</v>
      </c>
      <c r="I5" s="24" t="str">
        <f>CONCATENATE("Id: ",B5)</f>
        <v>Id: Medicine</v>
      </c>
    </row>
    <row r="6" spans="1:9" x14ac:dyDescent="0.75">
      <c r="A6" s="17" t="s">
        <v>13</v>
      </c>
      <c r="B6" s="18" t="s">
        <v>1025</v>
      </c>
      <c r="I6" s="25" t="str">
        <f>CONCATENATE("Title: ##34#",B6,"##34#")</f>
        <v>Title: ##34#A.2.4.1 Current and relevant past medicines##34#</v>
      </c>
    </row>
    <row r="7" spans="1:9" ht="73.75" x14ac:dyDescent="0.75">
      <c r="A7" s="43" t="s">
        <v>5</v>
      </c>
      <c r="B7" s="50" t="s">
        <v>1054</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1043</v>
      </c>
      <c r="C8" s="9" t="s">
        <v>1026</v>
      </c>
      <c r="D8" s="104" t="s">
        <v>1035</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1044</v>
      </c>
      <c r="C9" s="9" t="s">
        <v>1027</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984</v>
      </c>
      <c r="C10" s="9" t="s">
        <v>1028</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1045</v>
      </c>
      <c r="C11" s="9" t="s">
        <v>1029</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1046</v>
      </c>
      <c r="C12" s="9" t="s">
        <v>1030</v>
      </c>
      <c r="D12" s="104" t="s">
        <v>1041</v>
      </c>
      <c r="E12" s="9">
        <v>3</v>
      </c>
      <c r="F12" s="9" t="s">
        <v>11</v>
      </c>
      <c r="G12" s="9" t="s">
        <v>1042</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1047</v>
      </c>
      <c r="C13" s="9" t="s">
        <v>1031</v>
      </c>
      <c r="D13" s="104" t="s">
        <v>1040</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1048</v>
      </c>
      <c r="C14" s="9" t="s">
        <v>1032</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1049</v>
      </c>
      <c r="C15" s="9" t="s">
        <v>1033</v>
      </c>
      <c r="D15" s="104" t="s">
        <v>1039</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890</v>
      </c>
      <c r="C16" s="9" t="s">
        <v>1034</v>
      </c>
      <c r="D16" s="104" t="s">
        <v>1036</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70" t="s">
        <v>1051</v>
      </c>
      <c r="D38" s="152"/>
      <c r="E38" s="152"/>
      <c r="F38" s="153"/>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1037</v>
      </c>
      <c r="F47" s="94" t="s">
        <v>1038</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1055</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C18" zoomScale="85" zoomScaleNormal="85"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1058</v>
      </c>
      <c r="D3" s="61" t="s">
        <v>208</v>
      </c>
      <c r="E3" s="165" t="str">
        <f>"http://hl7.eu/fhir/ig/xpandh/ps/StructureDefinition/"&amp;'A.2.4.1  Medicine'!B5</f>
        <v>http://hl7.eu/fhir/ig/xpandh/ps/StructureDefinition/Medicine</v>
      </c>
      <c r="F3" s="164"/>
      <c r="G3" s="164"/>
    </row>
    <row r="4" spans="1:19" x14ac:dyDescent="0.75">
      <c r="B4" s="61" t="s">
        <v>19</v>
      </c>
      <c r="C4" s="47" t="s">
        <v>1162</v>
      </c>
      <c r="D4" s="61" t="s">
        <v>209</v>
      </c>
      <c r="E4" s="165" t="s">
        <v>1309</v>
      </c>
      <c r="F4" s="164"/>
      <c r="G4" s="164"/>
    </row>
    <row r="5" spans="1:19" x14ac:dyDescent="0.75">
      <c r="B5" s="61" t="s">
        <v>13</v>
      </c>
      <c r="C5" s="10" t="s">
        <v>1059</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http://hl7.eu/fhir/ig/xpandh/ps/StructureDefinition/MedicationStatement-ps-xpandh</v>
      </c>
      <c r="F7" s="164"/>
      <c r="G7" s="164"/>
    </row>
    <row r="8" spans="1:19" ht="44.25" x14ac:dyDescent="0.75">
      <c r="B8" s="61" t="s">
        <v>204</v>
      </c>
      <c r="C8" s="10" t="s">
        <v>1060</v>
      </c>
      <c r="D8" s="61"/>
      <c r="E8"/>
      <c r="I8" s="14" t="s">
        <v>181</v>
      </c>
      <c r="J8" s="14" t="s">
        <v>182</v>
      </c>
      <c r="K8" s="14" t="s">
        <v>183</v>
      </c>
      <c r="L8" s="14" t="s">
        <v>184</v>
      </c>
      <c r="M8" s="9" t="s">
        <v>185</v>
      </c>
      <c r="P8" s="57" t="s">
        <v>186</v>
      </c>
      <c r="Q8" s="57">
        <v>6</v>
      </c>
    </row>
    <row r="9" spans="1:19" ht="29.5" x14ac:dyDescent="0.75">
      <c r="B9" s="61" t="s">
        <v>205</v>
      </c>
      <c r="C9" s="1" t="s">
        <v>1061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1062</v>
      </c>
      <c r="E14" s="110"/>
      <c r="F14" s="3"/>
      <c r="I14" s="14"/>
      <c r="J14" s="9"/>
      <c r="K14" s="9"/>
      <c r="L14" s="9"/>
      <c r="M14" s="59"/>
      <c r="N14" s="62"/>
    </row>
    <row r="15" spans="1:19" ht="73.75" x14ac:dyDescent="0.75">
      <c r="A15" s="22"/>
      <c r="B15" s="9" t="str">
        <f>'A.2.4.1  Medicine'!B8</f>
        <v>reason</v>
      </c>
      <c r="C15" s="9" t="str">
        <f>'A.2.4.1  Medicine'!C8</f>
        <v>A.2.4.1.1 Medication reason</v>
      </c>
      <c r="D15" s="14" t="s">
        <v>1063</v>
      </c>
      <c r="E15" s="14"/>
      <c r="F15" s="63" t="s">
        <v>192</v>
      </c>
      <c r="G15" s="9" t="s">
        <v>1066</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1064</v>
      </c>
      <c r="E16" s="14"/>
      <c r="F16" s="63" t="s">
        <v>192</v>
      </c>
      <c r="G16" s="9" t="s">
        <v>1065</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59" x14ac:dyDescent="0.75">
      <c r="A17" s="22"/>
      <c r="B17" s="46" t="str">
        <f>'A.2.4.1  Medicine'!B9</f>
        <v>intendedUse</v>
      </c>
      <c r="C17" s="9" t="str">
        <f>'A.2.4.1  Medicine'!C9</f>
        <v>A.2.4.1.2 Intended use</v>
      </c>
      <c r="D17" s="14" t="s">
        <v>1315</v>
      </c>
      <c r="E17" s="14"/>
      <c r="F17" s="63" t="s">
        <v>193</v>
      </c>
      <c r="G17" s="4" t="s">
        <v>1323</v>
      </c>
      <c r="H17" s="64"/>
      <c r="I17" s="14" t="str">
        <f t="shared" si="5"/>
        <v>* group[=].element[+].code = #Medicine.intendedUse</v>
      </c>
      <c r="J17" s="14" t="str">
        <f t="shared" si="6"/>
        <v>* group[=].element[=].display = ##34#A.2.4.1.2 Intended use##34#</v>
      </c>
      <c r="K17" s="14" t="str">
        <f t="shared" si="7"/>
        <v>* group[=].element[=].target.code = #MedicationStatement.category</v>
      </c>
      <c r="L17" s="14" t="str">
        <f t="shared" si="8"/>
        <v>* group[=].element[=].target.display = ##34###34#</v>
      </c>
      <c r="M17" s="14" t="str">
        <f t="shared" si="9"/>
        <v>* group[=].element[=].target.equivalence = #relatedto</v>
      </c>
      <c r="N17" s="14" t="str">
        <f t="shared" si="10"/>
        <v>* group[=].element[=].target.comment = ##34#this map adopts  the definition given in R5##34#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1068</v>
      </c>
      <c r="E18" s="14"/>
      <c r="F18" s="63" t="s">
        <v>192</v>
      </c>
      <c r="G18" s="112" t="s">
        <v>1069</v>
      </c>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group[=].element[=].target.comment = ##34#see group 2##34#</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1068</v>
      </c>
      <c r="E19" s="14"/>
      <c r="F19" s="63" t="s">
        <v>192</v>
      </c>
      <c r="G19" s="112" t="s">
        <v>1069</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1068</v>
      </c>
      <c r="E20" s="9"/>
      <c r="F20" s="63" t="s">
        <v>192</v>
      </c>
      <c r="G20" s="112" t="s">
        <v>1069</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1068</v>
      </c>
      <c r="E21" s="9"/>
      <c r="F21" s="63" t="s">
        <v>192</v>
      </c>
      <c r="G21" s="112" t="s">
        <v>1069</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2##34#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1070</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73.75" x14ac:dyDescent="0.75">
      <c r="B23" s="9" t="str">
        <f>'A.2.4.1  Medicine'!B15</f>
        <v>route</v>
      </c>
      <c r="C23" s="9" t="str">
        <f>'A.2.4.1  Medicine'!C15</f>
        <v>A.2.4.1.8 Route of administration</v>
      </c>
      <c r="D23" s="14" t="s">
        <v>1322</v>
      </c>
      <c r="E23" s="14"/>
      <c r="F23" s="63" t="s">
        <v>193</v>
      </c>
      <c r="G23" s="4"/>
      <c r="I23" s="14" t="str">
        <f t="shared" si="5"/>
        <v>* group[=].element[+].code = #Medicine.route</v>
      </c>
      <c r="J23" s="14" t="str">
        <f t="shared" si="6"/>
        <v>* group[=].element[=].display = ##34#A.2.4.1.8 Route of administration##34#</v>
      </c>
      <c r="K23" s="14" t="str">
        <f t="shared" si="7"/>
        <v>* group[=].element[=].target.code = #MedicationStatement.dosage.route</v>
      </c>
      <c r="L23" s="14" t="str">
        <f t="shared" si="8"/>
        <v>* group[=].element[=].target.display = ##34###34#</v>
      </c>
      <c r="M23" s="14" t="str">
        <f t="shared" si="9"/>
        <v>* group[=].element[=].target.equivalence = #relatedto</v>
      </c>
      <c r="N23" s="14" t="str">
        <f t="shared" si="10"/>
        <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1071</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group[=].element[=].target.code = #MedicationStatement.category</v>
      </c>
    </row>
    <row r="30" spans="1:19" x14ac:dyDescent="0.75">
      <c r="P30" s="9">
        <v>16</v>
      </c>
      <c r="Q30" s="9">
        <f t="shared" si="11"/>
        <v>2</v>
      </c>
      <c r="R30" s="9">
        <f t="shared" si="13"/>
        <v>4</v>
      </c>
      <c r="S30" s="14" t="str" cm="1">
        <f t="array" ref="S30">INDEX('Medicine-ConceptMap-1'!$I$15:$N$99,Q30+1,R30)</f>
        <v>* group[=].element[=].target.display = ##34###34#</v>
      </c>
    </row>
    <row r="31" spans="1:19" x14ac:dyDescent="0.75">
      <c r="P31" s="9">
        <v>17</v>
      </c>
      <c r="Q31" s="9">
        <f t="shared" si="11"/>
        <v>2</v>
      </c>
      <c r="R31" s="9">
        <f t="shared" si="13"/>
        <v>5</v>
      </c>
      <c r="S31" s="14" t="str" cm="1">
        <f t="array" ref="S31">INDEX('Medicine-ConceptMap-1'!$I$15:$N$99,Q31+1,R31)</f>
        <v>* group[=].element[=].target.equivalence = #relatedto</v>
      </c>
    </row>
    <row r="32" spans="1:19" ht="29.5" x14ac:dyDescent="0.75">
      <c r="P32" s="9">
        <v>18</v>
      </c>
      <c r="Q32" s="9">
        <f t="shared" si="11"/>
        <v>2</v>
      </c>
      <c r="R32" s="9">
        <f t="shared" si="13"/>
        <v>6</v>
      </c>
      <c r="S32" s="14" t="str" cm="1">
        <f t="array" ref="S32">INDEX('Medicine-ConceptMap-1'!$I$15:$N$99,Q32+1,R32)</f>
        <v>* group[=].element[=].target.comment = ##34#this map adopts  the definition given in R5##34#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group[=].element[=].target.comment = ##34#see group 2##34#</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2##34#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group[=].element[=].target.code = #MedicationStatement.dosage.route</v>
      </c>
    </row>
    <row r="66" spans="16:19" x14ac:dyDescent="0.75">
      <c r="P66" s="9">
        <v>52</v>
      </c>
      <c r="Q66" s="9">
        <f t="shared" si="11"/>
        <v>8</v>
      </c>
      <c r="R66" s="9">
        <f t="shared" si="15"/>
        <v>4</v>
      </c>
      <c r="S66" s="14" t="str" cm="1">
        <f t="array" ref="S66">INDEX('Medicine-ConceptMap-1'!$I$15:$N$99,Q66+1,R66)</f>
        <v>* group[=].element[=].target.display = ##34###34#</v>
      </c>
    </row>
    <row r="67" spans="16:19" x14ac:dyDescent="0.75">
      <c r="P67" s="9">
        <v>53</v>
      </c>
      <c r="Q67" s="9">
        <f t="shared" si="11"/>
        <v>8</v>
      </c>
      <c r="R67" s="9">
        <f t="shared" si="15"/>
        <v>5</v>
      </c>
      <c r="S67" s="14" t="str" cm="1">
        <f t="array" ref="S67">INDEX('Medicine-ConceptMap-1'!$I$15:$N$99,Q67+1,R67)</f>
        <v>* group[=].element[=].target.equivalence = #relatedto</v>
      </c>
    </row>
    <row r="68" spans="16:19" x14ac:dyDescent="0.75">
      <c r="P68" s="9">
        <v>54</v>
      </c>
      <c r="Q68" s="9">
        <f t="shared" si="11"/>
        <v>8</v>
      </c>
      <c r="R68" s="9">
        <f t="shared" si="15"/>
        <v>6</v>
      </c>
      <c r="S68" s="14" t="str" cm="1">
        <f t="array" ref="S68">INDEX('Medicine-ConceptMap-1'!$I$15:$N$99,Q68+1,R68)</f>
        <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76"/>
  <sheetViews>
    <sheetView topLeftCell="A9" zoomScale="80" zoomScaleNormal="80" workbookViewId="0">
      <selection activeCell="P15" sqref="P15:S6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1058</v>
      </c>
      <c r="D3" s="61" t="s">
        <v>208</v>
      </c>
      <c r="E3" s="165" t="str">
        <f>"http://hl7.eu/fhir/ig/xpandh/ps/StructureDefinition/"&amp;'A.2.4.1  Medicine'!B5</f>
        <v>http://hl7.eu/fhir/ig/xpandh/ps/StructureDefinition/Medicine</v>
      </c>
      <c r="F3" s="164"/>
      <c r="G3" s="164"/>
    </row>
    <row r="4" spans="1:19" x14ac:dyDescent="0.75">
      <c r="B4" s="61" t="s">
        <v>19</v>
      </c>
      <c r="C4" s="47" t="s">
        <v>1162</v>
      </c>
      <c r="D4" s="61" t="s">
        <v>209</v>
      </c>
      <c r="E4" s="165" t="s">
        <v>1310</v>
      </c>
      <c r="F4" s="164"/>
      <c r="G4" s="164"/>
    </row>
    <row r="5" spans="1:19" x14ac:dyDescent="0.75">
      <c r="B5" s="61" t="s">
        <v>13</v>
      </c>
      <c r="C5" s="10" t="s">
        <v>1059</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http://hl7.eu/fhir/ig/xpandh/ps/StructureDefinition/Medication-ps-xpandh</v>
      </c>
      <c r="F7" s="164"/>
      <c r="G7" s="164"/>
    </row>
    <row r="8" spans="1:19" ht="44.25" x14ac:dyDescent="0.75">
      <c r="B8" s="61" t="s">
        <v>204</v>
      </c>
      <c r="C8" s="10" t="s">
        <v>1060</v>
      </c>
      <c r="D8" s="61"/>
      <c r="E8"/>
      <c r="I8" s="14" t="s">
        <v>181</v>
      </c>
      <c r="J8" s="14" t="s">
        <v>182</v>
      </c>
      <c r="K8" s="14" t="s">
        <v>183</v>
      </c>
      <c r="L8" s="14" t="s">
        <v>184</v>
      </c>
      <c r="M8" s="9" t="s">
        <v>185</v>
      </c>
      <c r="P8" s="57" t="s">
        <v>186</v>
      </c>
      <c r="Q8" s="57">
        <v>6</v>
      </c>
    </row>
    <row r="9" spans="1:19" ht="29.5" x14ac:dyDescent="0.75">
      <c r="B9" s="61" t="s">
        <v>205</v>
      </c>
      <c r="C9" s="1" t="s">
        <v>1061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1073</v>
      </c>
      <c r="E14" s="110"/>
      <c r="F14" s="3"/>
      <c r="I14" s="14"/>
      <c r="J14" s="9"/>
      <c r="K14" s="9"/>
      <c r="L14" s="9"/>
      <c r="M14" s="59"/>
      <c r="N14" s="62"/>
    </row>
    <row r="15" spans="1:19" ht="44.25" customHeight="1" x14ac:dyDescent="0.75">
      <c r="A15" s="22"/>
      <c r="B15" s="9" t="str">
        <f>'A.2.4.1  Medicine'!B10</f>
        <v>productName</v>
      </c>
      <c r="C15" s="9" t="str">
        <f>'A.2.4.1  Medicine'!C10</f>
        <v>A.2.4.1.3 Brand name</v>
      </c>
      <c r="D15" s="14" t="s">
        <v>247</v>
      </c>
      <c r="E15" s="14"/>
      <c r="F15" s="63" t="s">
        <v>193</v>
      </c>
      <c r="G15" s="4"/>
      <c r="H15" s="64"/>
      <c r="I15" s="14" t="str">
        <f t="shared" ref="I15" si="0">"* group[=].element[+].code = #"&amp;$B$14&amp;"."&amp;B15</f>
        <v>* group[=].element[+].code = #Medicine.productName</v>
      </c>
      <c r="J15" s="14" t="str">
        <f t="shared" ref="J15" si="1">"* group[=].element[=].display = ##34#"&amp;C15&amp;"##34#"</f>
        <v>* group[=].element[=].display = ##34#A.2.4.1.3 Brand name##34#</v>
      </c>
      <c r="K15" s="14" t="str">
        <f t="shared" ref="K15" si="2">IF(F15="unmatched","//-- unmatched","* group[=].element[=].target.code = #"&amp;$D$14&amp;"."&amp;D15)</f>
        <v>* group[=].element[=].target.code = #Medication.code.text</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INDEX('Medicine-ConceptMap-2'!$I$15:$N$93,Q15+1,R15)</f>
        <v>* group[=].element[+].code = #Medicine.productName</v>
      </c>
    </row>
    <row r="16" spans="1:19" ht="73.75" x14ac:dyDescent="0.75">
      <c r="A16" s="22"/>
      <c r="B16" s="9" t="str">
        <f>'A.2.4.1  Medicine'!B11</f>
        <v>activeIngredient</v>
      </c>
      <c r="C16" s="9" t="str">
        <f>'A.2.4.1  Medicine'!C11</f>
        <v>A.2.4.1.4 Active ingredient lists</v>
      </c>
      <c r="D16" s="14" t="s">
        <v>1074</v>
      </c>
      <c r="E16" s="14"/>
      <c r="F16" s="63" t="s">
        <v>192</v>
      </c>
      <c r="G16" s="112" t="s">
        <v>1075</v>
      </c>
      <c r="H16" s="64"/>
      <c r="I16" s="14" t="str">
        <f t="shared" ref="I16:I18" si="8">"* group[=].element[+].code = #"&amp;$B$14&amp;"."&amp;B16</f>
        <v>* group[=].element[+].code = #Medicine.activeIngredient</v>
      </c>
      <c r="J16" s="14" t="str">
        <f t="shared" ref="J16:J18" si="9">"* group[=].element[=].display = ##34#"&amp;C16&amp;"##34#"</f>
        <v>* group[=].element[=].display = ##34#A.2.4.1.4 Active ingredient lists##34#</v>
      </c>
      <c r="K16" s="14" t="str">
        <f t="shared" ref="K16:K18" si="10">IF(F16="unmatched","//-- unmatched","* group[=].element[=].target.code = #"&amp;$D$14&amp;"."&amp;D16)</f>
        <v>* group[=].element[=].target.code = #Medication.ingredient.itemCodeableConcept</v>
      </c>
      <c r="L16" s="14" t="str">
        <f t="shared" ref="L16:L18" si="11">IF(F16="unmatched","//-- unmatched","* group[=].element[=].target.display = ##34#"&amp;E16&amp;"##34#")</f>
        <v>* group[=].element[=].target.display = ##34###34#</v>
      </c>
      <c r="M16" s="14" t="str">
        <f t="shared" ref="M16:M18" si="12">"* group[=].element[=].target.equivalence = #"&amp;F16</f>
        <v>* group[=].element[=].target.equivalence = #equivalent</v>
      </c>
      <c r="N16" s="14" t="str">
        <f t="shared" ref="N16:N18" si="13">IF(G16&lt;&gt;"",CONCATENATE("* group[=].element[=].target.comment = ","##34#",G16,"##34#"),"")</f>
        <v>* group[=].element[=].target.comment = ##34#where ingredient.isActive = true##34#</v>
      </c>
      <c r="P16" s="9">
        <v>2</v>
      </c>
      <c r="Q16" s="9">
        <f t="shared" ref="Q16:Q67" si="14">IF(MOD(P16,$Q$8)=0,P16/$Q$8-1,INT(P16/$Q$8))</f>
        <v>0</v>
      </c>
      <c r="R16" s="9">
        <f t="shared" ref="R16:R67" si="15">IF(MOD(P16,$Q$8)=0,$Q$8,MOD(P16,$Q$8))</f>
        <v>2</v>
      </c>
      <c r="S16" s="14" t="str" cm="1">
        <f t="array" ref="S16">INDEX('Medicine-ConceptMap-2'!$I$15:$N$93,Q16+1,R16)</f>
        <v>* group[=].element[=].display = ##34#A.2.4.1.3 Brand name##34#</v>
      </c>
    </row>
    <row r="17" spans="1:20" ht="59" x14ac:dyDescent="0.75">
      <c r="A17" s="22"/>
      <c r="B17" s="9" t="str">
        <f>'A.2.4.1  Medicine'!B12</f>
        <v>strength</v>
      </c>
      <c r="C17" s="9" t="str">
        <f>'A.2.4.1  Medicine'!C12</f>
        <v>A.2.4.1.5 Strength</v>
      </c>
      <c r="D17" s="14" t="s">
        <v>1076</v>
      </c>
      <c r="E17" s="9"/>
      <c r="F17" s="63" t="s">
        <v>192</v>
      </c>
      <c r="G17" s="112" t="s">
        <v>1075</v>
      </c>
      <c r="H17" s="64"/>
      <c r="I17" s="14" t="str">
        <f t="shared" si="8"/>
        <v>* group[=].element[+].code = #Medicine.strength</v>
      </c>
      <c r="J17" s="14" t="str">
        <f t="shared" si="9"/>
        <v>* group[=].element[=].display = ##34#A.2.4.1.5 Strength##34#</v>
      </c>
      <c r="K17" s="14" t="str">
        <f t="shared" si="10"/>
        <v>* group[=].element[=].target.code = #Medication.ingredient.strength</v>
      </c>
      <c r="L17" s="14" t="str">
        <f t="shared" si="11"/>
        <v>* group[=].element[=].target.display = ##34###34#</v>
      </c>
      <c r="M17" s="14" t="str">
        <f t="shared" si="12"/>
        <v>* group[=].element[=].target.equivalence = #equivalent</v>
      </c>
      <c r="N17" s="14" t="str">
        <f t="shared" si="13"/>
        <v>* group[=].element[=].target.comment = ##34#where ingredient.isActive = true##34#</v>
      </c>
      <c r="P17" s="9">
        <v>3</v>
      </c>
      <c r="Q17" s="9">
        <f t="shared" si="14"/>
        <v>0</v>
      </c>
      <c r="R17" s="9">
        <f t="shared" si="15"/>
        <v>3</v>
      </c>
      <c r="S17" s="14" t="str" cm="1">
        <f t="array" ref="S17">INDEX('Medicine-ConceptMap-2'!$I$15:$N$93,Q17+1,R17)</f>
        <v>* group[=].element[=].target.code = #Medication.code.text</v>
      </c>
    </row>
    <row r="18" spans="1:20" ht="44.25" x14ac:dyDescent="0.75">
      <c r="A18" s="22"/>
      <c r="B18" s="9" t="str">
        <f>'A.2.4.1  Medicine'!B13</f>
        <v>doseForm</v>
      </c>
      <c r="C18" s="9" t="str">
        <f>'A.2.4.1  Medicine'!C13</f>
        <v>A.2.4.1.6 Pharmaceutical dose form</v>
      </c>
      <c r="D18" s="14" t="s">
        <v>1077</v>
      </c>
      <c r="E18" s="9"/>
      <c r="F18" s="63" t="s">
        <v>192</v>
      </c>
      <c r="G18" s="112"/>
      <c r="H18" s="64"/>
      <c r="I18" s="14" t="str">
        <f t="shared" si="8"/>
        <v>* group[=].element[+].code = #Medicine.doseForm</v>
      </c>
      <c r="J18" s="14" t="str">
        <f t="shared" si="9"/>
        <v>* group[=].element[=].display = ##34#A.2.4.1.6 Pharmaceutical dose form##34#</v>
      </c>
      <c r="K18" s="14" t="str">
        <f t="shared" si="10"/>
        <v>* group[=].element[=].target.code = #Medication.form</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INDEX('Medicine-ConceptMap-2'!$I$15:$N$93,Q18+1,R18)</f>
        <v>* group[=].element[=].target.display = ##34###34#</v>
      </c>
    </row>
    <row r="19" spans="1:20" x14ac:dyDescent="0.75">
      <c r="I19" s="14"/>
      <c r="J19" s="14"/>
      <c r="K19" s="14"/>
      <c r="L19" s="14"/>
      <c r="M19" s="14"/>
      <c r="N19" s="14"/>
      <c r="P19" s="9">
        <v>5</v>
      </c>
      <c r="Q19" s="9">
        <f t="shared" si="14"/>
        <v>0</v>
      </c>
      <c r="R19" s="9">
        <f t="shared" si="15"/>
        <v>5</v>
      </c>
      <c r="S19" s="14" t="str" cm="1">
        <f t="array" ref="S19">INDEX('Medicine-ConceptMap-2'!$I$15:$N$93,Q19+1,R19)</f>
        <v>* group[=].element[=].target.equivalence = #relatedto</v>
      </c>
    </row>
    <row r="20" spans="1:20" x14ac:dyDescent="0.75">
      <c r="I20" s="14"/>
      <c r="J20" s="14"/>
      <c r="K20" s="14"/>
      <c r="L20" s="14"/>
      <c r="M20" s="14"/>
      <c r="N20" s="14"/>
      <c r="P20" s="9">
        <v>6</v>
      </c>
      <c r="Q20" s="9">
        <f t="shared" si="14"/>
        <v>0</v>
      </c>
      <c r="R20" s="9">
        <f t="shared" si="15"/>
        <v>6</v>
      </c>
      <c r="S20" s="14" t="str" cm="1">
        <f t="array" ref="S20">INDEX('Medicine-ConceptMap-2'!$I$15:$N$93,Q20+1,R20)</f>
        <v/>
      </c>
    </row>
    <row r="21" spans="1:20" x14ac:dyDescent="0.75">
      <c r="I21" s="14"/>
      <c r="J21" s="14"/>
      <c r="K21" s="14"/>
      <c r="L21" s="14"/>
      <c r="M21" s="14"/>
      <c r="N21" s="14"/>
      <c r="P21" s="9">
        <v>7</v>
      </c>
      <c r="Q21" s="9">
        <f t="shared" si="14"/>
        <v>1</v>
      </c>
      <c r="R21" s="9">
        <f t="shared" si="15"/>
        <v>1</v>
      </c>
      <c r="S21" s="14" t="str" cm="1">
        <f t="array" ref="S21">INDEX('Medicine-ConceptMap-2'!$I$15:$N$93,Q21+1,R21)</f>
        <v>* group[=].element[+].code = #Medicine.activeIngredient</v>
      </c>
    </row>
    <row r="22" spans="1:20" x14ac:dyDescent="0.75">
      <c r="I22" s="14"/>
      <c r="J22" s="14"/>
      <c r="K22" s="14"/>
      <c r="L22" s="14"/>
      <c r="M22" s="14"/>
      <c r="N22" s="14"/>
      <c r="P22" s="9">
        <v>8</v>
      </c>
      <c r="Q22" s="9">
        <f t="shared" si="14"/>
        <v>1</v>
      </c>
      <c r="R22" s="9">
        <f t="shared" si="15"/>
        <v>2</v>
      </c>
      <c r="S22" s="14" t="str" cm="1">
        <f t="array" ref="S22">INDEX('Medicine-ConceptMap-2'!$I$15:$N$93,Q22+1,R22)</f>
        <v>* group[=].element[=].display = ##34#A.2.4.1.4 Active ingredient lists##34#</v>
      </c>
    </row>
    <row r="23" spans="1:20" x14ac:dyDescent="0.75">
      <c r="I23" s="14"/>
      <c r="J23" s="14"/>
      <c r="K23" s="14"/>
      <c r="L23" s="14"/>
      <c r="M23" s="14"/>
      <c r="N23" s="14"/>
      <c r="P23" s="9">
        <v>9</v>
      </c>
      <c r="Q23" s="9">
        <f t="shared" si="14"/>
        <v>1</v>
      </c>
      <c r="R23" s="9">
        <f t="shared" si="15"/>
        <v>3</v>
      </c>
      <c r="S23" s="14" t="str" cm="1">
        <f t="array" ref="S23">INDEX('Medicine-ConceptMap-2'!$I$15:$N$93,Q23+1,R23)</f>
        <v>* group[=].element[=].target.code = #Medication.ingredient.itemCodeableConcept</v>
      </c>
    </row>
    <row r="24" spans="1:20" x14ac:dyDescent="0.75">
      <c r="I24" s="14"/>
      <c r="J24" s="14"/>
      <c r="K24" s="14"/>
      <c r="L24" s="14"/>
      <c r="M24" s="14"/>
      <c r="N24" s="14"/>
      <c r="P24" s="9">
        <v>10</v>
      </c>
      <c r="Q24" s="9">
        <f t="shared" si="14"/>
        <v>1</v>
      </c>
      <c r="R24" s="9">
        <f t="shared" si="15"/>
        <v>4</v>
      </c>
      <c r="S24" s="14" t="str" cm="1">
        <f t="array" ref="S24">INDEX('Medicine-ConceptMap-2'!$I$15:$N$93,Q24+1,R24)</f>
        <v>* group[=].element[=].target.display = ##34###34#</v>
      </c>
    </row>
    <row r="25" spans="1:20" x14ac:dyDescent="0.75">
      <c r="I25" s="14"/>
      <c r="J25" s="14"/>
      <c r="K25" s="14"/>
      <c r="L25" s="14"/>
      <c r="M25" s="14"/>
      <c r="N25" s="14"/>
      <c r="P25" s="9">
        <v>11</v>
      </c>
      <c r="Q25" s="9">
        <f t="shared" si="14"/>
        <v>1</v>
      </c>
      <c r="R25" s="9">
        <f t="shared" si="15"/>
        <v>5</v>
      </c>
      <c r="S25" s="14" t="str" cm="1">
        <f t="array" ref="S25">INDEX('Medicine-ConceptMap-2'!$I$15:$N$93,Q25+1,R25)</f>
        <v>* group[=].element[=].target.equivalence = #equivalent</v>
      </c>
    </row>
    <row r="26" spans="1:20" x14ac:dyDescent="0.75">
      <c r="I26" s="14"/>
      <c r="J26" s="14"/>
      <c r="K26" s="14"/>
      <c r="L26" s="14"/>
      <c r="M26" s="14"/>
      <c r="N26" s="14"/>
      <c r="P26" s="9">
        <v>12</v>
      </c>
      <c r="Q26" s="9">
        <f t="shared" si="14"/>
        <v>1</v>
      </c>
      <c r="R26" s="9">
        <f t="shared" si="15"/>
        <v>6</v>
      </c>
      <c r="S26" s="14" t="str" cm="1">
        <f t="array" ref="S26">INDEX('Medicine-ConceptMap-2'!$I$15:$N$93,Q26+1,R26)</f>
        <v>* group[=].element[=].target.comment = ##34#where ingredient.isActive = true##34#</v>
      </c>
    </row>
    <row r="27" spans="1:20" x14ac:dyDescent="0.75">
      <c r="P27" s="9">
        <v>13</v>
      </c>
      <c r="Q27" s="9">
        <f t="shared" si="14"/>
        <v>2</v>
      </c>
      <c r="R27" s="9">
        <f t="shared" si="15"/>
        <v>1</v>
      </c>
      <c r="S27" s="14" t="str" cm="1">
        <f t="array" ref="S27">INDEX('Medicine-ConceptMap-2'!$I$15:$N$93,Q27+1,R27)</f>
        <v>* group[=].element[+].code = #Medicine.strength</v>
      </c>
    </row>
    <row r="28" spans="1:20" x14ac:dyDescent="0.75">
      <c r="P28" s="9">
        <v>14</v>
      </c>
      <c r="Q28" s="9">
        <f t="shared" si="14"/>
        <v>2</v>
      </c>
      <c r="R28" s="9">
        <f t="shared" si="15"/>
        <v>2</v>
      </c>
      <c r="S28" s="14" t="str" cm="1">
        <f t="array" ref="S28">INDEX('Medicine-ConceptMap-2'!$I$15:$N$93,Q28+1,R28)</f>
        <v>* group[=].element[=].display = ##34#A.2.4.1.5 Strength##34#</v>
      </c>
    </row>
    <row r="29" spans="1:20" x14ac:dyDescent="0.75">
      <c r="P29" s="9">
        <v>15</v>
      </c>
      <c r="Q29" s="9">
        <f t="shared" si="14"/>
        <v>2</v>
      </c>
      <c r="R29" s="9">
        <f t="shared" si="15"/>
        <v>3</v>
      </c>
      <c r="S29" s="14" t="str" cm="1">
        <f t="array" ref="S29">INDEX('Medicine-ConceptMap-2'!$I$15:$N$93,Q29+1,R29)</f>
        <v>* group[=].element[=].target.code = #Medication.ingredient.strength</v>
      </c>
    </row>
    <row r="30" spans="1:20" x14ac:dyDescent="0.75">
      <c r="P30" s="9">
        <v>16</v>
      </c>
      <c r="Q30" s="9">
        <f t="shared" si="14"/>
        <v>2</v>
      </c>
      <c r="R30" s="9">
        <f t="shared" si="15"/>
        <v>4</v>
      </c>
      <c r="S30" s="14" t="str" cm="1">
        <f t="array" ref="S30">INDEX('Medicine-ConceptMap-2'!$I$15:$N$93,Q30+1,R30)</f>
        <v>* group[=].element[=].target.display = ##34###34#</v>
      </c>
    </row>
    <row r="31" spans="1:20" x14ac:dyDescent="0.75">
      <c r="P31" s="9">
        <v>17</v>
      </c>
      <c r="Q31" s="9">
        <f t="shared" si="14"/>
        <v>2</v>
      </c>
      <c r="R31" s="9">
        <f t="shared" si="15"/>
        <v>5</v>
      </c>
      <c r="S31" s="14" t="str" cm="1">
        <f t="array" ref="S31">INDEX('Medicine-ConceptMap-2'!$I$15:$N$93,Q31+1,R31)</f>
        <v>* group[=].element[=].target.equivalence = #equivalent</v>
      </c>
    </row>
    <row r="32" spans="1:20" s="1" customFormat="1" x14ac:dyDescent="0.75">
      <c r="A32"/>
      <c r="B32"/>
      <c r="C32"/>
      <c r="F32"/>
      <c r="G32"/>
      <c r="H32"/>
      <c r="J32"/>
      <c r="K32"/>
      <c r="L32"/>
      <c r="M32"/>
      <c r="N32"/>
      <c r="P32" s="9">
        <v>18</v>
      </c>
      <c r="Q32" s="9">
        <f t="shared" si="14"/>
        <v>2</v>
      </c>
      <c r="R32" s="9">
        <f t="shared" si="15"/>
        <v>6</v>
      </c>
      <c r="S32" s="14" t="str" cm="1">
        <f t="array" ref="S32">INDEX('Medicine-ConceptMap-2'!$I$15:$N$93,Q32+1,R32)</f>
        <v>* group[=].element[=].target.comment = ##34#where ingredient.isActive = true##34#</v>
      </c>
      <c r="T32"/>
    </row>
    <row r="33" spans="1:20" s="1" customFormat="1" x14ac:dyDescent="0.75">
      <c r="A33"/>
      <c r="B33"/>
      <c r="C33"/>
      <c r="F33"/>
      <c r="G33"/>
      <c r="H33"/>
      <c r="J33"/>
      <c r="K33"/>
      <c r="L33"/>
      <c r="M33"/>
      <c r="N33"/>
      <c r="P33" s="9">
        <v>19</v>
      </c>
      <c r="Q33" s="9">
        <f t="shared" si="14"/>
        <v>3</v>
      </c>
      <c r="R33" s="9">
        <f t="shared" si="15"/>
        <v>1</v>
      </c>
      <c r="S33" s="14" t="str" cm="1">
        <f t="array" ref="S33">INDEX('Medicine-ConceptMap-2'!$I$15:$N$93,Q33+1,R33)</f>
        <v>* group[=].element[+].code = #Medicine.doseForm</v>
      </c>
      <c r="T33"/>
    </row>
    <row r="34" spans="1:20" s="1" customFormat="1" x14ac:dyDescent="0.75">
      <c r="A34"/>
      <c r="B34"/>
      <c r="C34"/>
      <c r="F34"/>
      <c r="G34"/>
      <c r="H34"/>
      <c r="J34"/>
      <c r="K34"/>
      <c r="L34"/>
      <c r="M34"/>
      <c r="N34"/>
      <c r="P34" s="9">
        <v>20</v>
      </c>
      <c r="Q34" s="9">
        <f t="shared" si="14"/>
        <v>3</v>
      </c>
      <c r="R34" s="9">
        <f t="shared" si="15"/>
        <v>2</v>
      </c>
      <c r="S34" s="14" t="str" cm="1">
        <f t="array" ref="S34">INDEX('Medicine-ConceptMap-2'!$I$15:$N$93,Q34+1,R34)</f>
        <v>* group[=].element[=].display = ##34#A.2.4.1.6 Pharmaceutical dose form##34#</v>
      </c>
      <c r="T34"/>
    </row>
    <row r="35" spans="1:20" s="1" customFormat="1" x14ac:dyDescent="0.75">
      <c r="A35"/>
      <c r="B35"/>
      <c r="C35"/>
      <c r="F35"/>
      <c r="G35"/>
      <c r="H35"/>
      <c r="J35"/>
      <c r="K35"/>
      <c r="L35"/>
      <c r="M35"/>
      <c r="N35"/>
      <c r="P35" s="9">
        <v>21</v>
      </c>
      <c r="Q35" s="9">
        <f t="shared" si="14"/>
        <v>3</v>
      </c>
      <c r="R35" s="9">
        <f t="shared" si="15"/>
        <v>3</v>
      </c>
      <c r="S35" s="14" t="str" cm="1">
        <f t="array" ref="S35">INDEX('Medicine-ConceptMap-2'!$I$15:$N$93,Q35+1,R35)</f>
        <v>* group[=].element[=].target.code = #Medication.form</v>
      </c>
      <c r="T35"/>
    </row>
    <row r="36" spans="1:20" s="1" customFormat="1" x14ac:dyDescent="0.75">
      <c r="A36"/>
      <c r="B36"/>
      <c r="C36"/>
      <c r="F36"/>
      <c r="G36"/>
      <c r="H36"/>
      <c r="J36"/>
      <c r="K36"/>
      <c r="L36"/>
      <c r="M36"/>
      <c r="N36"/>
      <c r="P36" s="9">
        <v>22</v>
      </c>
      <c r="Q36" s="9">
        <f t="shared" si="14"/>
        <v>3</v>
      </c>
      <c r="R36" s="9">
        <f t="shared" si="15"/>
        <v>4</v>
      </c>
      <c r="S36" s="14" t="str" cm="1">
        <f t="array" ref="S36">INDEX('Medicine-ConceptMap-2'!$I$15:$N$93,Q36+1,R36)</f>
        <v>* group[=].element[=].target.display = ##34###34#</v>
      </c>
      <c r="T36"/>
    </row>
    <row r="37" spans="1:20" s="1" customFormat="1" x14ac:dyDescent="0.75">
      <c r="A37"/>
      <c r="B37"/>
      <c r="C37"/>
      <c r="F37"/>
      <c r="G37"/>
      <c r="H37"/>
      <c r="J37"/>
      <c r="K37"/>
      <c r="L37"/>
      <c r="M37"/>
      <c r="N37"/>
      <c r="P37" s="9">
        <v>23</v>
      </c>
      <c r="Q37" s="9">
        <f t="shared" si="14"/>
        <v>3</v>
      </c>
      <c r="R37" s="9">
        <f t="shared" si="15"/>
        <v>5</v>
      </c>
      <c r="S37" s="14" t="str" cm="1">
        <f t="array" ref="S37">INDEX('Medicine-ConceptMap-2'!$I$15:$N$93,Q37+1,R37)</f>
        <v>* group[=].element[=].target.equivalence = #equivalent</v>
      </c>
      <c r="T37"/>
    </row>
    <row r="38" spans="1:20" s="1" customFormat="1" x14ac:dyDescent="0.75">
      <c r="A38"/>
      <c r="B38"/>
      <c r="C38"/>
      <c r="F38"/>
      <c r="G38"/>
      <c r="H38"/>
      <c r="J38"/>
      <c r="K38"/>
      <c r="L38"/>
      <c r="M38"/>
      <c r="N38"/>
      <c r="P38" s="9">
        <v>24</v>
      </c>
      <c r="Q38" s="9">
        <f t="shared" si="14"/>
        <v>3</v>
      </c>
      <c r="R38" s="9">
        <f t="shared" si="15"/>
        <v>6</v>
      </c>
      <c r="S38" s="14" t="str" cm="1">
        <f t="array" ref="S38">INDEX('Medicine-ConceptMap-2'!$I$15:$N$93,Q38+1,R38)</f>
        <v/>
      </c>
      <c r="T38"/>
    </row>
    <row r="39" spans="1:20" s="1" customFormat="1" x14ac:dyDescent="0.75">
      <c r="A39"/>
      <c r="B39"/>
      <c r="C39"/>
      <c r="F39"/>
      <c r="G39"/>
      <c r="H39"/>
      <c r="J39"/>
      <c r="K39"/>
      <c r="L39"/>
      <c r="M39"/>
      <c r="N39"/>
      <c r="P39" s="9">
        <v>25</v>
      </c>
      <c r="Q39" s="9">
        <f t="shared" si="14"/>
        <v>4</v>
      </c>
      <c r="R39" s="9">
        <f t="shared" si="15"/>
        <v>1</v>
      </c>
      <c r="S39" s="14" cm="1">
        <f t="array" ref="S39">INDEX('Medicine-ConceptMap-2'!$I$15:$N$93,Q39+1,R39)</f>
        <v>0</v>
      </c>
      <c r="T39"/>
    </row>
    <row r="40" spans="1:20" s="1" customFormat="1" x14ac:dyDescent="0.75">
      <c r="A40"/>
      <c r="B40"/>
      <c r="C40"/>
      <c r="F40"/>
      <c r="G40"/>
      <c r="H40"/>
      <c r="J40"/>
      <c r="K40"/>
      <c r="L40"/>
      <c r="M40"/>
      <c r="N40"/>
      <c r="P40" s="9">
        <v>26</v>
      </c>
      <c r="Q40" s="9">
        <f t="shared" si="14"/>
        <v>4</v>
      </c>
      <c r="R40" s="9">
        <f t="shared" si="15"/>
        <v>2</v>
      </c>
      <c r="S40" s="14" cm="1">
        <f t="array" ref="S40">INDEX('Medicine-ConceptMap-2'!$I$15:$N$93,Q40+1,R40)</f>
        <v>0</v>
      </c>
      <c r="T40"/>
    </row>
    <row r="41" spans="1:20" x14ac:dyDescent="0.75">
      <c r="P41" s="9">
        <v>27</v>
      </c>
      <c r="Q41" s="9">
        <f t="shared" si="14"/>
        <v>4</v>
      </c>
      <c r="R41" s="9">
        <f t="shared" si="15"/>
        <v>3</v>
      </c>
      <c r="S41" s="14" cm="1">
        <f t="array" ref="S41">INDEX('Medicine-ConceptMap-2'!$I$15:$N$93,Q41+1,R41)</f>
        <v>0</v>
      </c>
    </row>
    <row r="42" spans="1:20" x14ac:dyDescent="0.75">
      <c r="P42" s="9">
        <v>28</v>
      </c>
      <c r="Q42" s="9">
        <f t="shared" si="14"/>
        <v>4</v>
      </c>
      <c r="R42" s="9">
        <f t="shared" si="15"/>
        <v>4</v>
      </c>
      <c r="S42" s="14" cm="1">
        <f t="array" ref="S42">INDEX('Medicine-ConceptMap-2'!$I$15:$N$93,Q42+1,R42)</f>
        <v>0</v>
      </c>
    </row>
    <row r="43" spans="1:20" x14ac:dyDescent="0.75">
      <c r="P43" s="9">
        <v>29</v>
      </c>
      <c r="Q43" s="9">
        <f t="shared" si="14"/>
        <v>4</v>
      </c>
      <c r="R43" s="9">
        <f t="shared" si="15"/>
        <v>5</v>
      </c>
      <c r="S43" s="14" cm="1">
        <f t="array" ref="S43">INDEX('Medicine-ConceptMap-2'!$I$15:$N$93,Q43+1,R43)</f>
        <v>0</v>
      </c>
    </row>
    <row r="44" spans="1:20" x14ac:dyDescent="0.75">
      <c r="P44" s="9">
        <v>30</v>
      </c>
      <c r="Q44" s="9">
        <f t="shared" si="14"/>
        <v>4</v>
      </c>
      <c r="R44" s="9">
        <f t="shared" si="15"/>
        <v>6</v>
      </c>
      <c r="S44" s="14" cm="1">
        <f t="array" ref="S44">INDEX('Medicine-ConceptMap-2'!$I$15:$N$93,Q44+1,R44)</f>
        <v>0</v>
      </c>
    </row>
    <row r="45" spans="1:20" x14ac:dyDescent="0.75">
      <c r="P45" s="9">
        <v>31</v>
      </c>
      <c r="Q45" s="9">
        <f t="shared" si="14"/>
        <v>5</v>
      </c>
      <c r="R45" s="9">
        <f t="shared" si="15"/>
        <v>1</v>
      </c>
      <c r="S45" s="14" cm="1">
        <f t="array" ref="S45">INDEX('Medicine-ConceptMap-2'!$I$15:$N$93,Q45+1,R45)</f>
        <v>0</v>
      </c>
    </row>
    <row r="46" spans="1:20" x14ac:dyDescent="0.75">
      <c r="P46" s="9">
        <v>32</v>
      </c>
      <c r="Q46" s="9">
        <f t="shared" si="14"/>
        <v>5</v>
      </c>
      <c r="R46" s="9">
        <f t="shared" si="15"/>
        <v>2</v>
      </c>
      <c r="S46" s="14" cm="1">
        <f t="array" ref="S46">INDEX('Medicine-ConceptMap-2'!$I$15:$N$93,Q46+1,R46)</f>
        <v>0</v>
      </c>
    </row>
    <row r="47" spans="1:20" x14ac:dyDescent="0.75">
      <c r="P47" s="9">
        <v>33</v>
      </c>
      <c r="Q47" s="9">
        <f t="shared" si="14"/>
        <v>5</v>
      </c>
      <c r="R47" s="9">
        <f t="shared" si="15"/>
        <v>3</v>
      </c>
      <c r="S47" s="14" cm="1">
        <f t="array" ref="S47">INDEX('Medicine-ConceptMap-2'!$I$15:$N$93,Q47+1,R47)</f>
        <v>0</v>
      </c>
    </row>
    <row r="48" spans="1:20" x14ac:dyDescent="0.75">
      <c r="P48" s="9">
        <v>34</v>
      </c>
      <c r="Q48" s="9">
        <f t="shared" si="14"/>
        <v>5</v>
      </c>
      <c r="R48" s="9">
        <f t="shared" si="15"/>
        <v>4</v>
      </c>
      <c r="S48" s="14" cm="1">
        <f t="array" ref="S48">INDEX('Medicine-ConceptMap-2'!$I$15:$N$93,Q48+1,R48)</f>
        <v>0</v>
      </c>
    </row>
    <row r="49" spans="16:19" x14ac:dyDescent="0.75">
      <c r="P49" s="9">
        <v>35</v>
      </c>
      <c r="Q49" s="9">
        <f t="shared" si="14"/>
        <v>5</v>
      </c>
      <c r="R49" s="9">
        <f t="shared" si="15"/>
        <v>5</v>
      </c>
      <c r="S49" s="14" cm="1">
        <f t="array" ref="S49">INDEX('Medicine-ConceptMap-2'!$I$15:$N$93,Q49+1,R49)</f>
        <v>0</v>
      </c>
    </row>
    <row r="50" spans="16:19" x14ac:dyDescent="0.75">
      <c r="P50" s="9">
        <v>36</v>
      </c>
      <c r="Q50" s="9">
        <f t="shared" si="14"/>
        <v>5</v>
      </c>
      <c r="R50" s="9">
        <f t="shared" si="15"/>
        <v>6</v>
      </c>
      <c r="S50" s="14" cm="1">
        <f t="array" ref="S50">INDEX('Medicine-ConceptMap-2'!$I$15:$N$93,Q50+1,R50)</f>
        <v>0</v>
      </c>
    </row>
    <row r="51" spans="16:19" x14ac:dyDescent="0.75">
      <c r="P51" s="9">
        <v>37</v>
      </c>
      <c r="Q51" s="9">
        <f t="shared" si="14"/>
        <v>6</v>
      </c>
      <c r="R51" s="9">
        <f t="shared" si="15"/>
        <v>1</v>
      </c>
      <c r="S51" s="14" cm="1">
        <f t="array" ref="S51">INDEX('Medicine-ConceptMap-2'!$I$15:$N$93,Q51+1,R51)</f>
        <v>0</v>
      </c>
    </row>
    <row r="52" spans="16:19" x14ac:dyDescent="0.75">
      <c r="P52" s="9">
        <v>38</v>
      </c>
      <c r="Q52" s="9">
        <f t="shared" si="14"/>
        <v>6</v>
      </c>
      <c r="R52" s="9">
        <f t="shared" si="15"/>
        <v>2</v>
      </c>
      <c r="S52" s="14" cm="1">
        <f t="array" ref="S52">INDEX('Medicine-ConceptMap-2'!$I$15:$N$93,Q52+1,R52)</f>
        <v>0</v>
      </c>
    </row>
    <row r="53" spans="16:19" x14ac:dyDescent="0.75">
      <c r="P53" s="9">
        <v>39</v>
      </c>
      <c r="Q53" s="9">
        <f t="shared" si="14"/>
        <v>6</v>
      </c>
      <c r="R53" s="9">
        <f t="shared" si="15"/>
        <v>3</v>
      </c>
      <c r="S53" s="14" cm="1">
        <f t="array" ref="S53">INDEX('Medicine-ConceptMap-2'!$I$15:$N$93,Q53+1,R53)</f>
        <v>0</v>
      </c>
    </row>
    <row r="54" spans="16:19" x14ac:dyDescent="0.75">
      <c r="P54" s="9">
        <v>40</v>
      </c>
      <c r="Q54" s="9">
        <f t="shared" si="14"/>
        <v>6</v>
      </c>
      <c r="R54" s="9">
        <f t="shared" si="15"/>
        <v>4</v>
      </c>
      <c r="S54" s="14" cm="1">
        <f t="array" ref="S54">INDEX('Medicine-ConceptMap-2'!$I$15:$N$93,Q54+1,R54)</f>
        <v>0</v>
      </c>
    </row>
    <row r="55" spans="16:19" x14ac:dyDescent="0.75">
      <c r="P55" s="9">
        <v>41</v>
      </c>
      <c r="Q55" s="9">
        <f t="shared" si="14"/>
        <v>6</v>
      </c>
      <c r="R55" s="9">
        <f t="shared" si="15"/>
        <v>5</v>
      </c>
      <c r="S55" s="14" cm="1">
        <f t="array" ref="S55">INDEX('Medicine-ConceptMap-2'!$I$15:$N$93,Q55+1,R55)</f>
        <v>0</v>
      </c>
    </row>
    <row r="56" spans="16:19" x14ac:dyDescent="0.75">
      <c r="P56" s="9">
        <v>42</v>
      </c>
      <c r="Q56" s="9">
        <f t="shared" si="14"/>
        <v>6</v>
      </c>
      <c r="R56" s="9">
        <f t="shared" si="15"/>
        <v>6</v>
      </c>
      <c r="S56" s="14" cm="1">
        <f t="array" ref="S56">INDEX('Medicine-ConceptMap-2'!$I$15:$N$93,Q56+1,R56)</f>
        <v>0</v>
      </c>
    </row>
    <row r="57" spans="16:19" x14ac:dyDescent="0.75">
      <c r="P57" s="9">
        <v>43</v>
      </c>
      <c r="Q57" s="9">
        <f t="shared" si="14"/>
        <v>7</v>
      </c>
      <c r="R57" s="9">
        <f t="shared" si="15"/>
        <v>1</v>
      </c>
      <c r="S57" s="14" cm="1">
        <f t="array" ref="S57">INDEX('Medicine-ConceptMap-2'!$I$15:$N$93,Q57+1,R57)</f>
        <v>0</v>
      </c>
    </row>
    <row r="58" spans="16:19" x14ac:dyDescent="0.75">
      <c r="P58" s="9">
        <v>44</v>
      </c>
      <c r="Q58" s="9">
        <f t="shared" si="14"/>
        <v>7</v>
      </c>
      <c r="R58" s="9">
        <f t="shared" si="15"/>
        <v>2</v>
      </c>
      <c r="S58" s="14" cm="1">
        <f t="array" ref="S58">INDEX('Medicine-ConceptMap-2'!$I$15:$N$93,Q58+1,R58)</f>
        <v>0</v>
      </c>
    </row>
    <row r="59" spans="16:19" x14ac:dyDescent="0.75">
      <c r="P59" s="9">
        <v>45</v>
      </c>
      <c r="Q59" s="9">
        <f t="shared" si="14"/>
        <v>7</v>
      </c>
      <c r="R59" s="9">
        <f t="shared" si="15"/>
        <v>3</v>
      </c>
      <c r="S59" s="14" cm="1">
        <f t="array" ref="S59">INDEX('Medicine-ConceptMap-2'!$I$15:$N$93,Q59+1,R59)</f>
        <v>0</v>
      </c>
    </row>
    <row r="60" spans="16:19" x14ac:dyDescent="0.75">
      <c r="P60" s="9">
        <v>46</v>
      </c>
      <c r="Q60" s="9">
        <f t="shared" si="14"/>
        <v>7</v>
      </c>
      <c r="R60" s="9">
        <f t="shared" si="15"/>
        <v>4</v>
      </c>
      <c r="S60" s="14" cm="1">
        <f t="array" ref="S60">INDEX('Medicine-ConceptMap-2'!$I$15:$N$93,Q60+1,R60)</f>
        <v>0</v>
      </c>
    </row>
    <row r="61" spans="16:19" x14ac:dyDescent="0.75">
      <c r="P61" s="9">
        <v>47</v>
      </c>
      <c r="Q61" s="9">
        <f t="shared" si="14"/>
        <v>7</v>
      </c>
      <c r="R61" s="9">
        <f t="shared" si="15"/>
        <v>5</v>
      </c>
      <c r="S61" s="14" cm="1">
        <f t="array" ref="S61">INDEX('Medicine-ConceptMap-2'!$I$15:$N$93,Q61+1,R61)</f>
        <v>0</v>
      </c>
    </row>
    <row r="62" spans="16:19" x14ac:dyDescent="0.75">
      <c r="P62" s="9">
        <v>48</v>
      </c>
      <c r="Q62" s="9">
        <f t="shared" si="14"/>
        <v>7</v>
      </c>
      <c r="R62" s="9">
        <f t="shared" si="15"/>
        <v>6</v>
      </c>
      <c r="S62" s="14" cm="1">
        <f t="array" ref="S62">INDEX('Medicine-ConceptMap-2'!$I$15:$N$93,Q62+1,R62)</f>
        <v>0</v>
      </c>
    </row>
    <row r="63" spans="16:19" x14ac:dyDescent="0.75">
      <c r="P63" s="9">
        <v>49</v>
      </c>
      <c r="Q63" s="9">
        <f t="shared" si="14"/>
        <v>8</v>
      </c>
      <c r="R63" s="9">
        <f t="shared" si="15"/>
        <v>1</v>
      </c>
      <c r="S63" s="14" cm="1">
        <f t="array" ref="S63">INDEX('Medicine-ConceptMap-2'!$I$15:$N$93,Q63+1,R63)</f>
        <v>0</v>
      </c>
    </row>
    <row r="64" spans="16:19" x14ac:dyDescent="0.75">
      <c r="P64" s="9">
        <v>50</v>
      </c>
      <c r="Q64" s="9">
        <f t="shared" si="14"/>
        <v>8</v>
      </c>
      <c r="R64" s="9">
        <f t="shared" si="15"/>
        <v>2</v>
      </c>
      <c r="S64" s="14" cm="1">
        <f t="array" ref="S64">INDEX('Medicine-ConceptMap-2'!$I$15:$N$93,Q64+1,R64)</f>
        <v>0</v>
      </c>
    </row>
    <row r="65" spans="16:19" x14ac:dyDescent="0.75">
      <c r="P65" s="9">
        <v>51</v>
      </c>
      <c r="Q65" s="9">
        <f t="shared" si="14"/>
        <v>8</v>
      </c>
      <c r="R65" s="9">
        <f t="shared" si="15"/>
        <v>3</v>
      </c>
      <c r="S65" s="14" cm="1">
        <f t="array" ref="S65">INDEX('Medicine-ConceptMap-2'!$I$15:$N$93,Q65+1,R65)</f>
        <v>0</v>
      </c>
    </row>
    <row r="66" spans="16:19" x14ac:dyDescent="0.75">
      <c r="P66" s="9">
        <v>52</v>
      </c>
      <c r="Q66" s="9">
        <f t="shared" si="14"/>
        <v>8</v>
      </c>
      <c r="R66" s="9">
        <f t="shared" si="15"/>
        <v>4</v>
      </c>
      <c r="S66" s="14" cm="1">
        <f t="array" ref="S66">INDEX('Medicine-ConceptMap-2'!$I$15:$N$93,Q66+1,R66)</f>
        <v>0</v>
      </c>
    </row>
    <row r="67" spans="16:19" x14ac:dyDescent="0.75">
      <c r="P67" s="9">
        <v>53</v>
      </c>
      <c r="Q67" s="9">
        <f t="shared" si="14"/>
        <v>8</v>
      </c>
      <c r="R67" s="9">
        <f t="shared" si="15"/>
        <v>5</v>
      </c>
      <c r="S67" s="14" cm="1">
        <f t="array" ref="S67">INDEX('Medicine-ConceptMap-2'!$I$15:$N$93,Q67+1,R67)</f>
        <v>0</v>
      </c>
    </row>
    <row r="68" spans="16:19" x14ac:dyDescent="0.75">
      <c r="P68" s="9"/>
      <c r="Q68" s="9"/>
      <c r="R68" s="9"/>
      <c r="S68" s="14"/>
    </row>
    <row r="69" spans="16:19" x14ac:dyDescent="0.75">
      <c r="P69" s="9"/>
      <c r="Q69" s="9"/>
      <c r="R69" s="9"/>
      <c r="S69" s="14"/>
    </row>
    <row r="70" spans="16:19" x14ac:dyDescent="0.75">
      <c r="P70" s="9"/>
      <c r="Q70" s="9"/>
      <c r="R70" s="9"/>
      <c r="S70" s="14"/>
    </row>
    <row r="71" spans="16:19" x14ac:dyDescent="0.75">
      <c r="P71" s="9"/>
      <c r="Q71" s="9"/>
      <c r="R71" s="9"/>
      <c r="S71" s="14"/>
    </row>
    <row r="72" spans="16:19" x14ac:dyDescent="0.75">
      <c r="P72" s="9"/>
      <c r="Q72" s="9"/>
      <c r="R72" s="9"/>
      <c r="S72" s="14"/>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A5" workbookViewId="0">
      <selection activeCell="B89" sqref="B89:B1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1072</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group[=].element[=].target.code = #MedicationStatement.category</v>
      </c>
    </row>
    <row r="35" spans="2:2" x14ac:dyDescent="0.75">
      <c r="B35" s="14" t="str">
        <f>IF('Medicine-ConceptMap-1'!S30=0,"//---END",'Medicine-ConceptMap-1'!S30)</f>
        <v>* group[=].element[=].target.display = ##34###34#</v>
      </c>
    </row>
    <row r="36" spans="2:2" x14ac:dyDescent="0.75">
      <c r="B36" s="14" t="str">
        <f>IF('Medicine-ConceptMap-1'!S31=0,"//---END",'Medicine-ConceptMap-1'!S31)</f>
        <v>* group[=].element[=].target.equivalence = #relatedto</v>
      </c>
    </row>
    <row r="37" spans="2:2" x14ac:dyDescent="0.75">
      <c r="B37" s="14" t="str">
        <f>IF('Medicine-ConceptMap-1'!S32=0,"//---END",'Medicine-ConceptMap-1'!S32)</f>
        <v>* group[=].element[=].target.comment = ##34#this map adopts  the definition given in R5##34#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##34#see group 2##34#</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2##34#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group[=].element[=].target.code = #MedicationStatement.dosage.route</v>
      </c>
    </row>
    <row r="71" spans="2:2" x14ac:dyDescent="0.75">
      <c r="B71" s="14" t="str">
        <f>IF('Medicine-ConceptMap-1'!S66=0,"//---END",'Medicine-ConceptMap-1'!S66)</f>
        <v>* group[=].element[=].target.display = ##34###34#</v>
      </c>
    </row>
    <row r="72" spans="2:2" x14ac:dyDescent="0.75">
      <c r="B72" s="14" t="str">
        <f>IF('Medicine-ConceptMap-1'!S67=0,"//---END",'Medicine-ConceptMap-1'!S67)</f>
        <v>* group[=].element[=].target.equivalence = #relatedto</v>
      </c>
    </row>
    <row r="73" spans="2:2" x14ac:dyDescent="0.75">
      <c r="B73" s="14" t="str">
        <f>IF('Medicine-ConceptMap-1'!S68=0,"//---END",'Medicine-ConceptMap-1'!S68)</f>
        <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##34#http://hl7.eu/fhir/ig/xpandh/ps/StructureDefinition/Medication-ps-xpandh##34#</v>
      </c>
    </row>
    <row r="88" spans="2:2" x14ac:dyDescent="0.75">
      <c r="B88" s="69"/>
    </row>
    <row r="89" spans="2:2" x14ac:dyDescent="0.75">
      <c r="B89" t="str">
        <f>IF('Medicine-ConceptMap-2'!S15=0,"//---END",'Medicine-ConceptMap-2'!S15)</f>
        <v>* group[=].element[+].code = #Medicine.productName</v>
      </c>
    </row>
    <row r="90" spans="2:2" x14ac:dyDescent="0.75">
      <c r="B90" t="str">
        <f>IF('Medicine-ConceptMap-2'!S16=0,"//---END",'Medicine-ConceptMap-2'!S16)</f>
        <v>* group[=].element[=].display = ##34#A.2.4.1.3 Brand name##34#</v>
      </c>
    </row>
    <row r="91" spans="2:2" x14ac:dyDescent="0.75">
      <c r="B91" t="str">
        <f>IF('Medicine-ConceptMap-2'!S17=0,"//---END",'Medicine-ConceptMap-2'!S17)</f>
        <v>* group[=].element[=].target.code = #Medication.code.text</v>
      </c>
    </row>
    <row r="92" spans="2:2" x14ac:dyDescent="0.75">
      <c r="B92" t="str">
        <f>IF('Medicine-ConceptMap-2'!S18=0,"//---END",'Medicine-ConceptMap-2'!S18)</f>
        <v>* group[=].element[=].target.display = ##34###34#</v>
      </c>
    </row>
    <row r="93" spans="2:2" x14ac:dyDescent="0.75">
      <c r="B93" t="str">
        <f>IF('Medicine-ConceptMap-2'!S19=0,"//---END",'Medicine-ConceptMap-2'!S19)</f>
        <v>* group[=].element[=].target.equivalence = #relatedto</v>
      </c>
    </row>
    <row r="94" spans="2:2" x14ac:dyDescent="0.75">
      <c r="B94" t="str">
        <f>IF('Medicine-ConceptMap-2'!S20=0,"//---END",'Medicine-ConceptMap-2'!S20)</f>
        <v/>
      </c>
    </row>
    <row r="95" spans="2:2" x14ac:dyDescent="0.75">
      <c r="B95" t="str">
        <f>IF('Medicine-ConceptMap-2'!S21=0,"//---END",'Medicine-ConceptMap-2'!S21)</f>
        <v>* group[=].element[+].code = #Medicine.activeIngredient</v>
      </c>
    </row>
    <row r="96" spans="2:2" x14ac:dyDescent="0.75">
      <c r="B96" t="str">
        <f>IF('Medicine-ConceptMap-2'!S22=0,"//---END",'Medicine-ConceptMap-2'!S22)</f>
        <v>* group[=].element[=].display = ##34#A.2.4.1.4 Active ingredient lists##34#</v>
      </c>
    </row>
    <row r="97" spans="2:2" x14ac:dyDescent="0.75">
      <c r="B97" t="str">
        <f>IF('Medicine-ConceptMap-2'!S23=0,"//---END",'Medicine-ConceptMap-2'!S23)</f>
        <v>* group[=].element[=].target.code = #Medication.ingredient.itemCodeableConcept</v>
      </c>
    </row>
    <row r="98" spans="2:2" x14ac:dyDescent="0.75">
      <c r="B98" t="str">
        <f>IF('Medicine-ConceptMap-2'!S24=0,"//---END",'Medicine-ConceptMap-2'!S24)</f>
        <v>* group[=].element[=].target.display = ##34###34#</v>
      </c>
    </row>
    <row r="99" spans="2:2" x14ac:dyDescent="0.75">
      <c r="B99" t="str">
        <f>IF('Medicine-ConceptMap-2'!S25=0,"//---END",'Medicine-ConceptMap-2'!S25)</f>
        <v>* group[=].element[=].target.equivalence = #equivalent</v>
      </c>
    </row>
    <row r="100" spans="2:2" x14ac:dyDescent="0.75">
      <c r="B100" t="str">
        <f>IF('Medicine-ConceptMap-2'!S26=0,"//---END",'Medicine-ConceptMap-2'!S26)</f>
        <v>* group[=].element[=].target.comment = ##34#where ingredient.isActive = true##34#</v>
      </c>
    </row>
    <row r="101" spans="2:2" x14ac:dyDescent="0.75">
      <c r="B101" t="str">
        <f>IF('Medicine-ConceptMap-2'!S27=0,"//---END",'Medicine-ConceptMap-2'!S27)</f>
        <v>* group[=].element[+].code = #Medicine.strength</v>
      </c>
    </row>
    <row r="102" spans="2:2" x14ac:dyDescent="0.75">
      <c r="B102" t="str">
        <f>IF('Medicine-ConceptMap-2'!S28=0,"//---END",'Medicine-ConceptMap-2'!S28)</f>
        <v>* group[=].element[=].display = ##34#A.2.4.1.5 Strength##34#</v>
      </c>
    </row>
    <row r="103" spans="2:2" x14ac:dyDescent="0.75">
      <c r="B103" t="str">
        <f>IF('Medicine-ConceptMap-2'!S29=0,"//---END",'Medicine-ConceptMap-2'!S29)</f>
        <v>* group[=].element[=].target.code = #Medication.ingredient.strength</v>
      </c>
    </row>
    <row r="104" spans="2:2" x14ac:dyDescent="0.75">
      <c r="B104" t="str">
        <f>IF('Medicine-ConceptMap-2'!S30=0,"//---END",'Medicine-ConceptMap-2'!S30)</f>
        <v>* group[=].element[=].target.display = ##34###34#</v>
      </c>
    </row>
    <row r="105" spans="2:2" x14ac:dyDescent="0.75">
      <c r="B105" t="str">
        <f>IF('Medicine-ConceptMap-2'!S31=0,"//---END",'Medicine-ConceptMap-2'!S31)</f>
        <v>* group[=].element[=].target.equivalence = #equivalent</v>
      </c>
    </row>
    <row r="106" spans="2:2" x14ac:dyDescent="0.75">
      <c r="B106" t="str">
        <f>IF('Medicine-ConceptMap-2'!S32=0,"//---END",'Medicine-ConceptMap-2'!S32)</f>
        <v>* group[=].element[=].target.comment = ##34#where ingredient.isActive = true##34#</v>
      </c>
    </row>
    <row r="107" spans="2:2" x14ac:dyDescent="0.75">
      <c r="B107" t="str">
        <f>IF('Medicine-ConceptMap-2'!S33=0,"//---END",'Medicine-ConceptMap-2'!S33)</f>
        <v>* group[=].element[+].code = #Medicine.doseForm</v>
      </c>
    </row>
    <row r="108" spans="2:2" x14ac:dyDescent="0.75">
      <c r="B108" t="str">
        <f>IF('Medicine-ConceptMap-2'!S34=0,"//---END",'Medicine-ConceptMap-2'!S34)</f>
        <v>* group[=].element[=].display = ##34#A.2.4.1.6 Pharmaceutical dose form##34#</v>
      </c>
    </row>
    <row r="109" spans="2:2" x14ac:dyDescent="0.75">
      <c r="B109" t="str">
        <f>IF('Medicine-ConceptMap-2'!S35=0,"//---END",'Medicine-ConceptMap-2'!S35)</f>
        <v>* group[=].element[=].target.code = #Medication.form</v>
      </c>
    </row>
    <row r="110" spans="2:2" x14ac:dyDescent="0.75">
      <c r="B110" t="str">
        <f>IF('Medicine-ConceptMap-2'!S36=0,"//---END",'Medicine-ConceptMap-2'!S36)</f>
        <v>* group[=].element[=].target.display = ##34###34#</v>
      </c>
    </row>
    <row r="111" spans="2:2" x14ac:dyDescent="0.75">
      <c r="B111" t="str">
        <f>IF('Medicine-ConceptMap-2'!S37=0,"//---END",'Medicine-ConceptMap-2'!S37)</f>
        <v>* group[=].element[=].target.equivalence = #equivalent</v>
      </c>
    </row>
    <row r="112" spans="2:2" x14ac:dyDescent="0.75">
      <c r="B112" t="str">
        <f>IF('Medicine-ConceptMap-2'!S38=0,"//---END",'Medicine-ConceptMap-2'!S38)</f>
        <v/>
      </c>
    </row>
    <row r="113" spans="2:2" x14ac:dyDescent="0.75">
      <c r="B113" t="str">
        <f>IF('Medicine-ConceptMap-2'!S39=0,"//---END",'Medicine-ConceptMap-2'!S39)</f>
        <v>//---END</v>
      </c>
    </row>
    <row r="114" spans="2:2" x14ac:dyDescent="0.75">
      <c r="B114" t="str">
        <f>IF('Medicine-ConceptMap-2'!S40=0,"//---END",'Medicine-ConceptMap-2'!S40)</f>
        <v>//---END</v>
      </c>
    </row>
    <row r="115" spans="2:2" x14ac:dyDescent="0.75">
      <c r="B115" t="str">
        <f>IF('Medicine-ConceptMap-2'!S41=0,"//---END",'Medicine-ConceptMap-2'!S41)</f>
        <v>//---END</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963</v>
      </c>
      <c r="I4" s="24" t="str">
        <f>CONCATENATE("Logical: ",B4)</f>
        <v>Logical: VaccinationPsEhn</v>
      </c>
    </row>
    <row r="5" spans="1:11" x14ac:dyDescent="0.75">
      <c r="A5" s="17" t="s">
        <v>19</v>
      </c>
      <c r="B5" s="33" t="s">
        <v>964</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965</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982</v>
      </c>
      <c r="C8" s="14" t="s">
        <v>966</v>
      </c>
      <c r="D8" s="14" t="s">
        <v>1024</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983</v>
      </c>
      <c r="C9" s="14" t="s">
        <v>967</v>
      </c>
      <c r="D9" s="14" t="s">
        <v>978</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984</v>
      </c>
      <c r="C10" s="14" t="s">
        <v>968</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985</v>
      </c>
      <c r="C11" s="14" t="s">
        <v>969</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986</v>
      </c>
      <c r="C12" s="14" t="s">
        <v>970</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987</v>
      </c>
      <c r="C13" s="14" t="s">
        <v>971</v>
      </c>
      <c r="D13" s="104" t="s">
        <v>998</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988</v>
      </c>
      <c r="C14" s="14" t="s">
        <v>972</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989</v>
      </c>
      <c r="C15" s="14" t="s">
        <v>973</v>
      </c>
      <c r="D15" s="14" t="s">
        <v>979</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1021</v>
      </c>
      <c r="C16" s="14" t="s">
        <v>974</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991</v>
      </c>
      <c r="C17" s="9" t="s">
        <v>975</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990</v>
      </c>
      <c r="C18" s="9" t="s">
        <v>976</v>
      </c>
      <c r="D18" s="14" t="s">
        <v>980</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992</v>
      </c>
      <c r="C19" s="9" t="s">
        <v>977</v>
      </c>
      <c r="D19" s="14" t="s">
        <v>981</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6"/>
      <c r="D29" s="177"/>
      <c r="E29" s="177"/>
      <c r="F29" s="178"/>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998</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993</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999</v>
      </c>
      <c r="D3" s="61" t="s">
        <v>208</v>
      </c>
      <c r="E3" t="str">
        <f>"http://hl7.eu/fhir/ig/xpandh/ps/StructureDefinition/"&amp;'A.2.2.1 Vaccination'!B5</f>
        <v>http://hl7.eu/fhir/ig/xpandh/ps/StructureDefinition/Vaccination</v>
      </c>
    </row>
    <row r="4" spans="1:19" x14ac:dyDescent="0.75">
      <c r="B4" s="61" t="s">
        <v>19</v>
      </c>
      <c r="C4" s="47" t="s">
        <v>1003</v>
      </c>
      <c r="D4" s="61" t="s">
        <v>209</v>
      </c>
      <c r="E4" s="164" t="s">
        <v>995</v>
      </c>
      <c r="F4" s="164"/>
      <c r="G4" s="164"/>
    </row>
    <row r="5" spans="1:19" x14ac:dyDescent="0.75">
      <c r="B5" s="61" t="s">
        <v>13</v>
      </c>
      <c r="C5" s="10" t="s">
        <v>1000</v>
      </c>
      <c r="D5" s="61"/>
      <c r="E5" s="10"/>
    </row>
    <row r="6" spans="1:19" x14ac:dyDescent="0.75">
      <c r="B6" s="61" t="s">
        <v>35</v>
      </c>
      <c r="C6" s="60" t="s">
        <v>900</v>
      </c>
      <c r="D6" s="61" t="s">
        <v>206</v>
      </c>
      <c r="E6" s="164" t="str">
        <f>E3</f>
        <v>http://hl7.eu/fhir/ig/xpandh/ps/StructureDefinition/Vaccination</v>
      </c>
      <c r="F6" s="164"/>
      <c r="G6" s="164"/>
    </row>
    <row r="7" spans="1:19" x14ac:dyDescent="0.75">
      <c r="B7" s="61" t="s">
        <v>18</v>
      </c>
      <c r="C7" s="68" t="s">
        <v>540</v>
      </c>
      <c r="D7" s="61" t="s">
        <v>207</v>
      </c>
      <c r="E7" s="164" t="s">
        <v>995</v>
      </c>
      <c r="F7" s="164"/>
      <c r="G7" s="164"/>
    </row>
    <row r="8" spans="1:19" ht="44.25" x14ac:dyDescent="0.75">
      <c r="B8" s="61" t="s">
        <v>204</v>
      </c>
      <c r="C8" s="10" t="s">
        <v>996</v>
      </c>
      <c r="D8" s="61"/>
      <c r="E8" s="10"/>
      <c r="I8" s="14" t="s">
        <v>181</v>
      </c>
      <c r="J8" s="14" t="s">
        <v>182</v>
      </c>
      <c r="K8" s="14" t="s">
        <v>183</v>
      </c>
      <c r="L8" s="14" t="s">
        <v>184</v>
      </c>
      <c r="M8" s="9" t="s">
        <v>185</v>
      </c>
      <c r="P8" s="57" t="s">
        <v>186</v>
      </c>
      <c r="Q8" s="57">
        <v>6</v>
      </c>
    </row>
    <row r="9" spans="1:19" ht="29.5" x14ac:dyDescent="0.75">
      <c r="B9" s="61" t="s">
        <v>205</v>
      </c>
      <c r="C9" s="1" t="s">
        <v>997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994</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1006</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1007</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1023</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1022</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1008</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1009</v>
      </c>
      <c r="E20" s="9"/>
      <c r="F20" s="63" t="s">
        <v>193</v>
      </c>
      <c r="G20" s="14" t="s">
        <v>1011</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1010</v>
      </c>
      <c r="E21" s="9"/>
      <c r="F21" s="63" t="s">
        <v>193</v>
      </c>
      <c r="G21" s="14" t="s">
        <v>1011</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1012</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1013</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1017</v>
      </c>
      <c r="E24" s="9"/>
      <c r="F24" s="63" t="s">
        <v>193</v>
      </c>
      <c r="G24" s="4" t="s">
        <v>1014</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1015</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1018</v>
      </c>
      <c r="E26" s="9"/>
      <c r="F26" s="63" t="s">
        <v>193</v>
      </c>
      <c r="G26" s="4" t="s">
        <v>1016</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1019</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1020</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1004</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8" workbookViewId="0">
      <selection activeCell="D27" sqref="D27"/>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70" t="s">
        <v>370</v>
      </c>
      <c r="D52" s="152"/>
      <c r="E52" s="152"/>
      <c r="F52" s="153"/>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topLeftCell="A11"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2"/>
  <sheetViews>
    <sheetView zoomScale="70" zoomScaleNormal="70" workbookViewId="0">
      <selection activeCell="P15" sqref="P15:S242"/>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1324</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454</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INDEX('Subj-ConceptMap-1'!$I$15:$N$205,Q15+1,R15)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INDEX('Subj-ConceptMap-1'!$I$15:$N$205,Q16+1,R16)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1" si="11">"* group[=].element[+].code = #"&amp;$B$14&amp;"."&amp;B17</f>
        <v>* group[=].element[+].code = #Subject.identification.familyName</v>
      </c>
      <c r="J17" s="14" t="str">
        <f t="shared" ref="J17:J41" si="12">"* group[=].element[=].display = ##34#"&amp;C17&amp;"##34#"</f>
        <v>* group[=].element[=].display = ##34#A.1.1.2 Family name/surname##34#</v>
      </c>
      <c r="K17" s="14" t="str">
        <f t="shared" ref="K17:K41" si="13">IF(F17="unmatched","//-- unmatched",IF(D17="","* group[=].element[=].target.code = #"&amp;$D$14,"* group[=].element[=].target.code = #"&amp;$D$14&amp;"."&amp;D17))</f>
        <v>* group[=].element[=].target.code = #Patient.name.family</v>
      </c>
      <c r="L17" s="14" t="str">
        <f t="shared" ref="L17:L41" si="14">IF(F17="unmatched","//-- unmatched","* group[=].element[=].target.display = ##34#"&amp;E17&amp;"##34#")</f>
        <v>* group[=].element[=].target.display = ##34###34#</v>
      </c>
      <c r="M17" s="14" t="str">
        <f t="shared" ref="M17:M41" si="15">"* group[=].element[=].target.equivalence = #"&amp;F17</f>
        <v>* group[=].element[=].target.equivalence = #equivalent</v>
      </c>
      <c r="N17" s="14" t="str">
        <f t="shared" ref="N17:N41" si="16">IF(G17&lt;&gt;"",CONCATENATE("* group[=].element[=].target.comment = ","##34#",G17,"##34#"),"")</f>
        <v/>
      </c>
      <c r="P17" s="9">
        <v>3</v>
      </c>
      <c r="Q17" s="9">
        <f t="shared" si="9"/>
        <v>0</v>
      </c>
      <c r="R17" s="9">
        <f t="shared" si="10"/>
        <v>3</v>
      </c>
      <c r="S17" s="14" t="str" cm="1">
        <f t="array" ref="S17">INDEX('Subj-ConceptMap-1'!$I$15:$N$205,Q17+1,R17)</f>
        <v>* group[=].element[=].target.code = #Patient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INDEX('Subj-ConceptMap-1'!$I$15:$N$205,Q18+1,R18)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INDEX('Subj-ConceptMap-1'!$I$15:$N$205,Q19+1,R19)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INDEX('Subj-ConceptMap-1'!$I$15:$N$205,Q20+1,R20)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INDEX('Subj-ConceptMap-1'!$I$15:$N$205,Q21+1,R21)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INDEX('Subj-ConceptMap-1'!$I$15:$N$205,Q22+1,R22)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INDEX('Subj-ConceptMap-1'!$I$15:$N$205,Q23+1,R23)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INDEX('Subj-ConceptMap-1'!$I$15:$N$205,Q24+1,R24)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INDEX('Subj-ConceptMap-1'!$I$15:$N$205,Q25+1,R25)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INDEX('Subj-ConceptMap-1'!$I$15:$N$205,Q26+1,R26)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INDEX('Subj-ConceptMap-1'!$I$15:$N$205,Q27+1,R27)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INDEX('Subj-ConceptMap-1'!$I$15:$N$205,Q28+1,R28)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INDEX('Subj-ConceptMap-1'!$I$15:$N$205,Q29+1,R29)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INDEX('Subj-ConceptMap-1'!$I$15:$N$205,Q30+1,R30)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INDEX('Subj-ConceptMap-1'!$I$15:$N$205,Q31+1,R31)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INDEX('Subj-ConceptMap-1'!$I$15:$N$205,Q32+1,R32)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INDEX('Subj-ConceptMap-1'!$I$15:$N$205,Q33+1,R33)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INDEX('Subj-ConceptMap-1'!$I$15:$N$205,Q34+1,R34)</f>
        <v>* group[=].element[=].display = ##34#A.1.1.3 Given name##34#</v>
      </c>
    </row>
    <row r="35" spans="1:19" s="1" customFormat="1" ht="44.25" x14ac:dyDescent="0.75">
      <c r="A35"/>
      <c r="B35" s="9" t="str">
        <f>Subj!B33</f>
        <v>contactPerson</v>
      </c>
      <c r="C35" s="9" t="str">
        <f>Subj!C33</f>
        <v xml:space="preserve">A.1.2.3 Contact person/ legal guardian </v>
      </c>
      <c r="D35" s="14" t="s">
        <v>510</v>
      </c>
      <c r="E35" s="14"/>
      <c r="F35" s="63" t="s">
        <v>192</v>
      </c>
      <c r="G35" s="63"/>
      <c r="H35" s="64"/>
      <c r="I35" s="14" t="str">
        <f t="shared" si="11"/>
        <v>* group[=].element[+].code = #Subject.contactPerson</v>
      </c>
      <c r="J35" s="14" t="str">
        <f t="shared" si="12"/>
        <v>* group[=].element[=].display = ##34#A.1.2.3 Contact person/ legal guardian ##34#</v>
      </c>
      <c r="K35" s="14" t="str">
        <f t="shared" si="13"/>
        <v>* group[=].element[=].target.code = #Patient.contact</v>
      </c>
      <c r="L35" s="14" t="str">
        <f t="shared" si="14"/>
        <v>* group[=].element[=].target.display = ##34###34#</v>
      </c>
      <c r="M35" s="14" t="str">
        <f t="shared" si="15"/>
        <v>* group[=].element[=].target.equivalence = #equivalent</v>
      </c>
      <c r="N35" s="14" t="str">
        <f t="shared" si="16"/>
        <v/>
      </c>
      <c r="P35" s="9">
        <v>21</v>
      </c>
      <c r="Q35" s="9">
        <f t="shared" si="9"/>
        <v>3</v>
      </c>
      <c r="R35" s="9">
        <f t="shared" si="10"/>
        <v>3</v>
      </c>
      <c r="S35" s="14" t="str" cm="1">
        <f t="array" ref="S35">INDEX('Subj-ConceptMap-1'!$I$15:$N$205,Q35+1,R35)</f>
        <v>* group[=].element[=].target.code = #Patient.name.given</v>
      </c>
    </row>
    <row r="36" spans="1:19" s="1" customFormat="1" ht="44.25" x14ac:dyDescent="0.75">
      <c r="A36"/>
      <c r="B36" s="9" t="str">
        <f>Subj!B34</f>
        <v>contactPerson.role</v>
      </c>
      <c r="C36" s="9" t="str">
        <f>Subj!C34</f>
        <v>A.1.2.3.1 Role of that person</v>
      </c>
      <c r="D36" s="14" t="s">
        <v>511</v>
      </c>
      <c r="E36" s="14"/>
      <c r="F36" s="63" t="s">
        <v>193</v>
      </c>
      <c r="G36" s="91" t="s">
        <v>515</v>
      </c>
      <c r="H36" s="64"/>
      <c r="I36" s="14" t="str">
        <f t="shared" si="11"/>
        <v>* group[=].element[+].code = #Subject.contactPerson.role</v>
      </c>
      <c r="J36" s="14" t="str">
        <f t="shared" si="12"/>
        <v>* group[=].element[=].display = ##34#A.1.2.3.1 Role of that person##34#</v>
      </c>
      <c r="K36" s="14" t="str">
        <f t="shared" si="13"/>
        <v>* group[=].element[=].target.code = #Patient.contact.relationship</v>
      </c>
      <c r="L36" s="14" t="str">
        <f t="shared" si="14"/>
        <v>* group[=].element[=].target.display = ##34###34#</v>
      </c>
      <c r="M36" s="14" t="str">
        <f t="shared" si="15"/>
        <v>* group[=].element[=].target.equivalence = #relatedto</v>
      </c>
      <c r="N36" s="14" t="str">
        <f t="shared" si="16"/>
        <v>* group[=].element[=].target.comment = ##34#To be checked##34#</v>
      </c>
      <c r="P36" s="9">
        <v>22</v>
      </c>
      <c r="Q36" s="9">
        <f t="shared" si="9"/>
        <v>3</v>
      </c>
      <c r="R36" s="9">
        <f t="shared" si="10"/>
        <v>4</v>
      </c>
      <c r="S36" s="14" t="str" cm="1">
        <f t="array" ref="S36">INDEX('Subj-ConceptMap-1'!$I$15:$N$205,Q36+1,R36)</f>
        <v>* group[=].element[=].target.display = ##34###34#</v>
      </c>
    </row>
    <row r="37" spans="1:19" s="1" customFormat="1" ht="44.25" x14ac:dyDescent="0.75">
      <c r="A37"/>
      <c r="B37" s="9" t="str">
        <f>Subj!B35</f>
        <v>contactPerson.relationship</v>
      </c>
      <c r="C37" s="9" t="str">
        <f>Subj!C35</f>
        <v>A.1.2.3.2 Relationship level</v>
      </c>
      <c r="D37" s="14" t="s">
        <v>511</v>
      </c>
      <c r="E37" s="14"/>
      <c r="F37" s="63" t="s">
        <v>192</v>
      </c>
      <c r="G37" s="63"/>
      <c r="H37" s="64"/>
      <c r="I37" s="14" t="str">
        <f t="shared" si="11"/>
        <v>* group[=].element[+].code = #Subject.contactPerson.relationship</v>
      </c>
      <c r="J37" s="14" t="str">
        <f t="shared" si="12"/>
        <v>* group[=].element[=].display = ##34#A.1.2.3.2 Relationship level##34#</v>
      </c>
      <c r="K37" s="14" t="str">
        <f t="shared" si="13"/>
        <v>* group[=].element[=].target.code = #Patient.contact.relationship</v>
      </c>
      <c r="L37" s="14" t="str">
        <f t="shared" si="14"/>
        <v>* group[=].element[=].target.display = ##34###34#</v>
      </c>
      <c r="M37" s="14" t="str">
        <f t="shared" si="15"/>
        <v>* group[=].element[=].target.equivalence = #equivalent</v>
      </c>
      <c r="N37" s="14" t="str">
        <f t="shared" si="16"/>
        <v/>
      </c>
      <c r="P37" s="9">
        <v>23</v>
      </c>
      <c r="Q37" s="9">
        <f t="shared" si="9"/>
        <v>3</v>
      </c>
      <c r="R37" s="9">
        <f t="shared" si="10"/>
        <v>5</v>
      </c>
      <c r="S37" s="14" t="str" cm="1">
        <f t="array" ref="S37">INDEX('Subj-ConceptMap-1'!$I$15:$N$205,Q37+1,R37)</f>
        <v>* group[=].element[=].target.equivalence = #equivalent</v>
      </c>
    </row>
    <row r="38" spans="1:19" s="1" customFormat="1" ht="44.25" x14ac:dyDescent="0.75">
      <c r="A38"/>
      <c r="B38" s="9" t="str">
        <f>Subj!B36</f>
        <v>contactPerson.givenName</v>
      </c>
      <c r="C38" s="9" t="str">
        <f>Subj!C36</f>
        <v>A.1.2.3.3 Given name</v>
      </c>
      <c r="D38" s="14" t="s">
        <v>512</v>
      </c>
      <c r="E38" s="14"/>
      <c r="F38" s="63" t="s">
        <v>192</v>
      </c>
      <c r="G38" s="63"/>
      <c r="H38" s="64"/>
      <c r="I38" s="14" t="str">
        <f t="shared" si="11"/>
        <v>* group[=].element[+].code = #Subject.contactPerson.givenName</v>
      </c>
      <c r="J38" s="14" t="str">
        <f t="shared" si="12"/>
        <v>* group[=].element[=].display = ##34#A.1.2.3.3 Given name##34#</v>
      </c>
      <c r="K38" s="14" t="str">
        <f t="shared" si="13"/>
        <v>* group[=].element[=].target.code = #Patient.contact.name.given</v>
      </c>
      <c r="L38" s="14" t="str">
        <f t="shared" si="14"/>
        <v>* group[=].element[=].target.display = ##34###34#</v>
      </c>
      <c r="M38" s="14" t="str">
        <f t="shared" si="15"/>
        <v>* group[=].element[=].target.equivalence = #equivalent</v>
      </c>
      <c r="N38" s="14" t="str">
        <f t="shared" si="16"/>
        <v/>
      </c>
      <c r="P38" s="9">
        <v>24</v>
      </c>
      <c r="Q38" s="9">
        <f t="shared" si="9"/>
        <v>3</v>
      </c>
      <c r="R38" s="9">
        <f t="shared" si="10"/>
        <v>6</v>
      </c>
      <c r="S38" s="14" t="str" cm="1">
        <f t="array" ref="S38">INDEX('Subj-ConceptMap-1'!$I$15:$N$205,Q38+1,R38)</f>
        <v/>
      </c>
    </row>
    <row r="39" spans="1:19" s="1" customFormat="1" ht="44.25" x14ac:dyDescent="0.75">
      <c r="A39"/>
      <c r="B39" s="9" t="str">
        <f>Subj!B37</f>
        <v>contactPerson.familyName</v>
      </c>
      <c r="C39" s="9" t="str">
        <f>Subj!C37</f>
        <v>A.1.2.3.4 Family name/surname</v>
      </c>
      <c r="D39" s="14" t="s">
        <v>513</v>
      </c>
      <c r="E39" s="14"/>
      <c r="F39" s="63" t="s">
        <v>192</v>
      </c>
      <c r="G39" s="63"/>
      <c r="H39" s="64"/>
      <c r="I39" s="14" t="str">
        <f t="shared" si="11"/>
        <v>* group[=].element[+].code = #Subject.contactPerson.familyName</v>
      </c>
      <c r="J39" s="14" t="str">
        <f t="shared" si="12"/>
        <v>* group[=].element[=].display = ##34#A.1.2.3.4 Family name/surname##34#</v>
      </c>
      <c r="K39" s="14" t="str">
        <f t="shared" si="13"/>
        <v>* group[=].element[=].target.code = #Patient.contact.name.family</v>
      </c>
      <c r="L39" s="14" t="str">
        <f t="shared" si="14"/>
        <v>* group[=].element[=].target.display = ##34###34#</v>
      </c>
      <c r="M39" s="14" t="str">
        <f t="shared" si="15"/>
        <v>* group[=].element[=].target.equivalence = #equivalent</v>
      </c>
      <c r="N39" s="14" t="str">
        <f t="shared" si="16"/>
        <v/>
      </c>
      <c r="P39" s="9">
        <v>25</v>
      </c>
      <c r="Q39" s="9">
        <f t="shared" si="9"/>
        <v>4</v>
      </c>
      <c r="R39" s="9">
        <f t="shared" si="10"/>
        <v>1</v>
      </c>
      <c r="S39" s="14" t="str" cm="1">
        <f t="array" ref="S39">INDEX('Subj-ConceptMap-1'!$I$15:$N$205,Q39+1,R39)</f>
        <v>* group[=].element[+].code = #Subject.identification.dateOfBirth</v>
      </c>
    </row>
    <row r="40" spans="1:19" s="1" customFormat="1" ht="44.25" x14ac:dyDescent="0.75">
      <c r="A40"/>
      <c r="B40" s="9" t="str">
        <f>Subj!B38</f>
        <v>contactPerson.telephone</v>
      </c>
      <c r="C40" s="9" t="str">
        <f>Subj!C38</f>
        <v>A.1.2.3.5 Telephone no.</v>
      </c>
      <c r="D40" s="14" t="s">
        <v>514</v>
      </c>
      <c r="E40" s="14"/>
      <c r="F40" s="63" t="s">
        <v>192</v>
      </c>
      <c r="G40" s="63"/>
      <c r="H40" s="64"/>
      <c r="I40" s="14" t="str">
        <f t="shared" si="11"/>
        <v>* group[=].element[+].code = #Subject.contactPerson.telephone</v>
      </c>
      <c r="J40" s="14" t="str">
        <f t="shared" si="12"/>
        <v>* group[=].element[=].display = ##34#A.1.2.3.5 Telephone no.##34#</v>
      </c>
      <c r="K40" s="14" t="str">
        <f t="shared" si="13"/>
        <v>* group[=].element[=].target.code = #Patient.contact.telecom</v>
      </c>
      <c r="L40" s="14" t="str">
        <f t="shared" si="14"/>
        <v>* group[=].element[=].target.display = ##34###34#</v>
      </c>
      <c r="M40" s="14" t="str">
        <f t="shared" si="15"/>
        <v>* group[=].element[=].target.equivalence = #equivalent</v>
      </c>
      <c r="N40" s="14" t="str">
        <f t="shared" si="16"/>
        <v/>
      </c>
      <c r="P40" s="9">
        <v>26</v>
      </c>
      <c r="Q40" s="9">
        <f t="shared" si="9"/>
        <v>4</v>
      </c>
      <c r="R40" s="9">
        <f t="shared" si="10"/>
        <v>2</v>
      </c>
      <c r="S40" s="14" t="str" cm="1">
        <f t="array" ref="S40">INDEX('Subj-ConceptMap-1'!$I$15:$N$205,Q40+1,R40)</f>
        <v>* group[=].element[=].display = ##34#A.1.1.4 Date of birth##34#</v>
      </c>
    </row>
    <row r="41" spans="1:19" s="1" customFormat="1" ht="44.25" x14ac:dyDescent="0.75">
      <c r="A41"/>
      <c r="B41" s="9" t="str">
        <f>Subj!B39</f>
        <v>contactPerson.email</v>
      </c>
      <c r="C41" s="9" t="str">
        <f>Subj!C39</f>
        <v>A.1.2.3.6 Email</v>
      </c>
      <c r="D41" s="14" t="s">
        <v>514</v>
      </c>
      <c r="E41" s="14"/>
      <c r="F41" s="63" t="s">
        <v>192</v>
      </c>
      <c r="G41" s="63"/>
      <c r="H41" s="64"/>
      <c r="I41" s="14" t="str">
        <f t="shared" si="11"/>
        <v>* group[=].element[+].code = #Subject.contactPerson.email</v>
      </c>
      <c r="J41" s="14" t="str">
        <f t="shared" si="12"/>
        <v>* group[=].element[=].display = ##34#A.1.2.3.6 Email##34#</v>
      </c>
      <c r="K41" s="14" t="str">
        <f t="shared" si="13"/>
        <v>* group[=].element[=].target.code = #Patient.contact.telecom</v>
      </c>
      <c r="L41" s="14" t="str">
        <f t="shared" si="14"/>
        <v>* group[=].element[=].target.display = ##34###34#</v>
      </c>
      <c r="M41" s="14" t="str">
        <f t="shared" si="15"/>
        <v>* group[=].element[=].target.equivalence = #equivalent</v>
      </c>
      <c r="N41" s="14" t="str">
        <f t="shared" si="16"/>
        <v/>
      </c>
      <c r="P41" s="9">
        <v>27</v>
      </c>
      <c r="Q41" s="9">
        <f t="shared" si="9"/>
        <v>4</v>
      </c>
      <c r="R41" s="9">
        <f t="shared" si="10"/>
        <v>3</v>
      </c>
      <c r="S41" s="14" t="str" cm="1">
        <f t="array" ref="S41">INDEX('Subj-ConceptMap-1'!$I$15:$N$205,Q41+1,R41)</f>
        <v>* group[=].element[=].target.code = #Patient.birthDate</v>
      </c>
    </row>
    <row r="42" spans="1:19" s="1" customFormat="1" x14ac:dyDescent="0.75">
      <c r="A42"/>
      <c r="B42" s="51">
        <f>Subj!B40</f>
        <v>0</v>
      </c>
      <c r="C42" s="51">
        <f>Subj!C40</f>
        <v>0</v>
      </c>
      <c r="F42" s="64"/>
      <c r="G42" s="64"/>
      <c r="H42" s="64"/>
      <c r="I42" s="64"/>
      <c r="J42" s="64"/>
      <c r="K42" s="64"/>
      <c r="L42" s="64"/>
      <c r="M42" s="64"/>
      <c r="N42" s="64"/>
      <c r="P42" s="9">
        <v>28</v>
      </c>
      <c r="Q42" s="9">
        <f t="shared" si="9"/>
        <v>4</v>
      </c>
      <c r="R42" s="9">
        <f t="shared" si="10"/>
        <v>4</v>
      </c>
      <c r="S42" s="14" t="str" cm="1">
        <f t="array" ref="S42">INDEX('Subj-ConceptMap-1'!$I$15:$N$205,Q42+1,R42)</f>
        <v>* group[=].element[=].target.display = ##34###34#</v>
      </c>
    </row>
    <row r="43" spans="1:19" s="1" customFormat="1" x14ac:dyDescent="0.75">
      <c r="A43"/>
      <c r="B43" s="9">
        <f>Subj!B41</f>
        <v>0</v>
      </c>
      <c r="C43" s="9">
        <f>Subj!C41</f>
        <v>0</v>
      </c>
      <c r="F43" s="64"/>
      <c r="G43" s="64"/>
      <c r="H43" s="64"/>
      <c r="I43" s="64"/>
      <c r="J43" s="64"/>
      <c r="K43" s="64"/>
      <c r="L43" s="64"/>
      <c r="M43" s="64"/>
      <c r="N43" s="64"/>
      <c r="P43" s="9">
        <v>29</v>
      </c>
      <c r="Q43" s="9">
        <f t="shared" si="9"/>
        <v>4</v>
      </c>
      <c r="R43" s="9">
        <f t="shared" si="10"/>
        <v>5</v>
      </c>
      <c r="S43" s="14" t="str" cm="1">
        <f t="array" ref="S43">INDEX('Subj-ConceptMap-1'!$I$15:$N$205,Q43+1,R43)</f>
        <v>* group[=].element[=].target.equivalence = #equivalent</v>
      </c>
    </row>
    <row r="44" spans="1:19" x14ac:dyDescent="0.75">
      <c r="B44" s="9">
        <f>Subj!B42</f>
        <v>0</v>
      </c>
      <c r="C44" s="9">
        <f>Subj!C42</f>
        <v>0</v>
      </c>
      <c r="F44" s="64"/>
      <c r="G44" s="64"/>
      <c r="H44" s="64"/>
      <c r="J44" s="64"/>
      <c r="K44" s="64"/>
      <c r="L44" s="64"/>
      <c r="M44" s="64"/>
      <c r="N44" s="64"/>
      <c r="P44" s="9">
        <v>30</v>
      </c>
      <c r="Q44" s="9">
        <f t="shared" si="9"/>
        <v>4</v>
      </c>
      <c r="R44" s="9">
        <f t="shared" si="10"/>
        <v>6</v>
      </c>
      <c r="S44" s="14" t="str" cm="1">
        <f t="array" ref="S44">INDEX('Subj-ConceptMap-1'!$I$15:$N$205,Q44+1,R44)</f>
        <v/>
      </c>
    </row>
    <row r="45" spans="1:19" x14ac:dyDescent="0.75">
      <c r="B45" s="9">
        <f>Subj!B43</f>
        <v>0</v>
      </c>
      <c r="C45" s="9">
        <f>Subj!C43</f>
        <v>0</v>
      </c>
      <c r="F45" s="64"/>
      <c r="G45" s="64"/>
      <c r="H45" s="64"/>
      <c r="J45" s="64"/>
      <c r="K45" s="64"/>
      <c r="L45" s="64"/>
      <c r="M45" s="64"/>
      <c r="N45" s="64"/>
      <c r="P45" s="9">
        <v>31</v>
      </c>
      <c r="Q45" s="9">
        <f t="shared" si="9"/>
        <v>5</v>
      </c>
      <c r="R45" s="9">
        <f t="shared" si="10"/>
        <v>1</v>
      </c>
      <c r="S45" s="14" t="str" cm="1">
        <f t="array" ref="S45">INDEX('Subj-ConceptMap-1'!$I$15:$N$205,Q45+1,R45)</f>
        <v>* group[=].element[+].code = #Subject.identification.gender</v>
      </c>
    </row>
    <row r="46" spans="1:19" x14ac:dyDescent="0.75">
      <c r="B46" s="9">
        <f>Subj!B44</f>
        <v>0</v>
      </c>
      <c r="C46" s="9">
        <f>Subj!C44</f>
        <v>0</v>
      </c>
      <c r="F46" s="64"/>
      <c r="G46" s="64"/>
      <c r="H46" s="64"/>
      <c r="J46" s="64"/>
      <c r="K46" s="64"/>
      <c r="L46" s="64"/>
      <c r="M46" s="64"/>
      <c r="N46" s="64"/>
      <c r="P46" s="9">
        <v>32</v>
      </c>
      <c r="Q46" s="9">
        <f t="shared" si="9"/>
        <v>5</v>
      </c>
      <c r="R46" s="9">
        <f t="shared" si="10"/>
        <v>2</v>
      </c>
      <c r="S46" s="14" t="str" cm="1">
        <f t="array" ref="S46">INDEX('Subj-ConceptMap-1'!$I$15:$N$205,Q46+1,R46)</f>
        <v>* group[=].element[=].display = ##34#A.1.1.5 Gender##34#</v>
      </c>
    </row>
    <row r="47" spans="1:19" x14ac:dyDescent="0.75">
      <c r="B47" s="9">
        <f>Subj!B45</f>
        <v>0</v>
      </c>
      <c r="C47" s="9">
        <f>Subj!C45</f>
        <v>0</v>
      </c>
      <c r="F47" s="64"/>
      <c r="G47" s="64"/>
      <c r="H47" s="64"/>
      <c r="J47" s="64"/>
      <c r="K47" s="64"/>
      <c r="L47" s="64"/>
      <c r="M47" s="64"/>
      <c r="N47" s="64"/>
      <c r="P47" s="9">
        <v>33</v>
      </c>
      <c r="Q47" s="9">
        <f t="shared" si="9"/>
        <v>5</v>
      </c>
      <c r="R47" s="9">
        <f t="shared" si="10"/>
        <v>3</v>
      </c>
      <c r="S47" s="14" t="str" cm="1">
        <f t="array" ref="S47">INDEX('Subj-ConceptMap-1'!$I$15:$N$205,Q47+1,R47)</f>
        <v>* group[=].element[=].target.code = #Patient.gender</v>
      </c>
    </row>
    <row r="48" spans="1:19" x14ac:dyDescent="0.75">
      <c r="E48"/>
      <c r="P48" s="9">
        <v>34</v>
      </c>
      <c r="Q48" s="9">
        <f t="shared" si="9"/>
        <v>5</v>
      </c>
      <c r="R48" s="9">
        <f t="shared" si="10"/>
        <v>4</v>
      </c>
      <c r="S48" s="14" t="str" cm="1">
        <f t="array" ref="S48">INDEX('Subj-ConceptMap-1'!$I$15:$N$205,Q48+1,R48)</f>
        <v>* group[=].element[=].target.display = ##34###34#</v>
      </c>
    </row>
    <row r="49" spans="16:19" x14ac:dyDescent="0.75">
      <c r="P49" s="9">
        <v>35</v>
      </c>
      <c r="Q49" s="9">
        <f t="shared" si="9"/>
        <v>5</v>
      </c>
      <c r="R49" s="9">
        <f t="shared" si="10"/>
        <v>5</v>
      </c>
      <c r="S49" s="14" t="str" cm="1">
        <f t="array" ref="S49">INDEX('Subj-ConceptMap-1'!$I$15:$N$205,Q49+1,R49)</f>
        <v>* group[=].element[=].target.equivalence = #equivalent</v>
      </c>
    </row>
    <row r="50" spans="16:19" x14ac:dyDescent="0.75">
      <c r="P50" s="9">
        <v>36</v>
      </c>
      <c r="Q50" s="9">
        <f t="shared" si="9"/>
        <v>5</v>
      </c>
      <c r="R50" s="9">
        <f t="shared" si="10"/>
        <v>6</v>
      </c>
      <c r="S50" s="14" t="str" cm="1">
        <f t="array" ref="S50">INDEX('Subj-ConceptMap-1'!$I$15:$N$205,Q50+1,R50)</f>
        <v/>
      </c>
    </row>
    <row r="51" spans="16:19" x14ac:dyDescent="0.75">
      <c r="P51" s="9">
        <v>37</v>
      </c>
      <c r="Q51" s="9">
        <f t="shared" si="9"/>
        <v>6</v>
      </c>
      <c r="R51" s="9">
        <f t="shared" si="10"/>
        <v>1</v>
      </c>
      <c r="S51" s="14" t="str" cm="1">
        <f t="array" ref="S51">INDEX('Subj-ConceptMap-1'!$I$15:$N$205,Q51+1,R51)</f>
        <v>* group[=].element[+].code = #Subject.identification.countryOfAffiliation</v>
      </c>
    </row>
    <row r="52" spans="16:19" x14ac:dyDescent="0.75">
      <c r="P52" s="9">
        <v>38</v>
      </c>
      <c r="Q52" s="9">
        <f t="shared" si="9"/>
        <v>6</v>
      </c>
      <c r="R52" s="9">
        <f t="shared" si="10"/>
        <v>2</v>
      </c>
      <c r="S52" s="14" t="str" cm="1">
        <f t="array" ref="S52">INDEX('Subj-ConceptMap-1'!$I$15:$N$205,Q52+1,R52)</f>
        <v>* group[=].element[=].display = ##34#A.1.1.5 Country of affiliation##34#</v>
      </c>
    </row>
    <row r="53" spans="16:19" x14ac:dyDescent="0.75">
      <c r="P53" s="9">
        <v>39</v>
      </c>
      <c r="Q53" s="9">
        <f t="shared" si="9"/>
        <v>6</v>
      </c>
      <c r="R53" s="9">
        <f t="shared" si="10"/>
        <v>3</v>
      </c>
      <c r="S53" s="14" t="str" cm="1">
        <f t="array" ref="S53">INDEX('Subj-ConceptMap-1'!$I$15:$N$205,Q53+1,R53)</f>
        <v>* group[=].element[=].target.code = #Patient.address.country</v>
      </c>
    </row>
    <row r="54" spans="16:19" x14ac:dyDescent="0.75">
      <c r="P54" s="9">
        <v>40</v>
      </c>
      <c r="Q54" s="9">
        <f t="shared" si="9"/>
        <v>6</v>
      </c>
      <c r="R54" s="9">
        <f t="shared" si="10"/>
        <v>4</v>
      </c>
      <c r="S54" s="14" t="str" cm="1">
        <f t="array" ref="S54">INDEX('Subj-ConceptMap-1'!$I$15:$N$205,Q54+1,R54)</f>
        <v>* group[=].element[=].target.display = ##34###34#</v>
      </c>
    </row>
    <row r="55" spans="16:19" x14ac:dyDescent="0.75">
      <c r="P55" s="9">
        <v>41</v>
      </c>
      <c r="Q55" s="9">
        <f t="shared" si="9"/>
        <v>6</v>
      </c>
      <c r="R55" s="9">
        <f t="shared" si="10"/>
        <v>5</v>
      </c>
      <c r="S55" s="14" t="str" cm="1">
        <f t="array" ref="S55">INDEX('Subj-ConceptMap-1'!$I$15:$N$205,Q55+1,R55)</f>
        <v>* group[=].element[=].target.equivalence = #relatedto</v>
      </c>
    </row>
    <row r="56" spans="16:19" ht="29.5" x14ac:dyDescent="0.75">
      <c r="P56" s="9">
        <v>42</v>
      </c>
      <c r="Q56" s="9">
        <f t="shared" si="9"/>
        <v>6</v>
      </c>
      <c r="R56" s="9">
        <f t="shared" si="10"/>
        <v>6</v>
      </c>
      <c r="S56" s="14" t="str" cm="1">
        <f t="array" ref="S56">INDEX('Subj-ConceptMap-1'!$I$15:$N$205,Q56+1,R56)</f>
        <v>* group[=].element[=].target.comment = ##34#Assuming that the address is the 'offcial' address. This is how it is currently mapped in the eHDSI CDA Igs##34#</v>
      </c>
    </row>
    <row r="57" spans="16:19" x14ac:dyDescent="0.75">
      <c r="P57" s="9">
        <v>43</v>
      </c>
      <c r="Q57" s="9">
        <f t="shared" si="9"/>
        <v>7</v>
      </c>
      <c r="R57" s="9">
        <f t="shared" si="10"/>
        <v>1</v>
      </c>
      <c r="S57" s="14" t="str" cm="1">
        <f t="array" ref="S57">INDEX('Subj-ConceptMap-1'!$I$15:$N$205,Q57+1,R57)</f>
        <v>* group[=].element[+].code = #Subject.telcomContact</v>
      </c>
    </row>
    <row r="58" spans="16:19" x14ac:dyDescent="0.75">
      <c r="P58" s="9">
        <v>44</v>
      </c>
      <c r="Q58" s="9">
        <f t="shared" si="9"/>
        <v>7</v>
      </c>
      <c r="R58" s="9">
        <f t="shared" si="10"/>
        <v>2</v>
      </c>
      <c r="S58" s="14" t="str" cm="1">
        <f t="array" ref="S58">INDEX('Subj-ConceptMap-1'!$I$15:$N$205,Q58+1,R58)</f>
        <v>* group[=].element[=].display = ##34#A.1.2.1 Patient address##34#</v>
      </c>
    </row>
    <row r="59" spans="16:19" x14ac:dyDescent="0.75">
      <c r="P59" s="9">
        <v>45</v>
      </c>
      <c r="Q59" s="9">
        <f t="shared" si="9"/>
        <v>7</v>
      </c>
      <c r="R59" s="9">
        <f t="shared" si="10"/>
        <v>3</v>
      </c>
      <c r="S59" s="14" t="str" cm="1">
        <f t="array" ref="S59">INDEX('Subj-ConceptMap-1'!$I$15:$N$205,Q59+1,R59)</f>
        <v>* group[=].element[=].target.code = #Patient</v>
      </c>
    </row>
    <row r="60" spans="16:19" x14ac:dyDescent="0.75">
      <c r="P60" s="9">
        <v>46</v>
      </c>
      <c r="Q60" s="9">
        <f t="shared" si="9"/>
        <v>7</v>
      </c>
      <c r="R60" s="9">
        <f t="shared" si="10"/>
        <v>4</v>
      </c>
      <c r="S60" s="14" t="str" cm="1">
        <f t="array" ref="S60">INDEX('Subj-ConceptMap-1'!$I$15:$N$205,Q60+1,R60)</f>
        <v>* group[=].element[=].target.display = ##34###34#</v>
      </c>
    </row>
    <row r="61" spans="16:19" x14ac:dyDescent="0.75">
      <c r="P61" s="9">
        <v>47</v>
      </c>
      <c r="Q61" s="9">
        <f t="shared" si="9"/>
        <v>7</v>
      </c>
      <c r="R61" s="9">
        <f t="shared" si="10"/>
        <v>5</v>
      </c>
      <c r="S61" s="14" t="str" cm="1">
        <f t="array" ref="S61">INDEX('Subj-ConceptMap-1'!$I$15:$N$205,Q61+1,R61)</f>
        <v>* group[=].element[=].target.equivalence = #relatedto</v>
      </c>
    </row>
    <row r="62" spans="16:19" x14ac:dyDescent="0.75">
      <c r="P62" s="9">
        <v>48</v>
      </c>
      <c r="Q62" s="9">
        <f t="shared" si="9"/>
        <v>7</v>
      </c>
      <c r="R62" s="9">
        <f t="shared" si="10"/>
        <v>6</v>
      </c>
      <c r="S62" s="14" t="str" cm="1">
        <f t="array" ref="S62">INDEX('Subj-ConceptMap-1'!$I$15:$N$205,Q62+1,R62)</f>
        <v/>
      </c>
    </row>
    <row r="63" spans="16:19" x14ac:dyDescent="0.75">
      <c r="P63" s="9">
        <v>49</v>
      </c>
      <c r="Q63" s="9">
        <f t="shared" si="9"/>
        <v>8</v>
      </c>
      <c r="R63" s="9">
        <f t="shared" si="10"/>
        <v>1</v>
      </c>
      <c r="S63" s="14" t="str" cm="1">
        <f t="array" ref="S63">INDEX('Subj-ConceptMap-1'!$I$15:$N$205,Q63+1,R63)</f>
        <v>* group[=].element[+].code = #Subject.telcomContact.address</v>
      </c>
    </row>
    <row r="64" spans="16:19" x14ac:dyDescent="0.75">
      <c r="P64" s="9">
        <v>50</v>
      </c>
      <c r="Q64" s="9">
        <f t="shared" si="9"/>
        <v>8</v>
      </c>
      <c r="R64" s="9">
        <f t="shared" si="10"/>
        <v>2</v>
      </c>
      <c r="S64" s="14" t="str" cm="1">
        <f t="array" ref="S64">INDEX('Subj-ConceptMap-1'!$I$15:$N$205,Q64+1,R64)</f>
        <v>* group[=].element[=].display = ##34#Address##34#</v>
      </c>
    </row>
    <row r="65" spans="16:19" x14ac:dyDescent="0.75">
      <c r="P65" s="9">
        <v>51</v>
      </c>
      <c r="Q65" s="9">
        <f t="shared" si="9"/>
        <v>8</v>
      </c>
      <c r="R65" s="9">
        <f t="shared" si="10"/>
        <v>3</v>
      </c>
      <c r="S65" s="14" t="str" cm="1">
        <f t="array" ref="S65">INDEX('Subj-ConceptMap-1'!$I$15:$N$205,Q65+1,R65)</f>
        <v>* group[=].element[=].target.code = #Patient.address</v>
      </c>
    </row>
    <row r="66" spans="16:19" x14ac:dyDescent="0.75">
      <c r="P66" s="9">
        <v>52</v>
      </c>
      <c r="Q66" s="9">
        <f t="shared" si="9"/>
        <v>8</v>
      </c>
      <c r="R66" s="9">
        <f t="shared" si="10"/>
        <v>4</v>
      </c>
      <c r="S66" s="14" t="str" cm="1">
        <f t="array" ref="S66">INDEX('Subj-ConceptMap-1'!$I$15:$N$205,Q66+1,R66)</f>
        <v>* group[=].element[=].target.display = ##34###34#</v>
      </c>
    </row>
    <row r="67" spans="16:19" x14ac:dyDescent="0.75">
      <c r="P67" s="9">
        <v>53</v>
      </c>
      <c r="Q67" s="9">
        <f t="shared" si="9"/>
        <v>8</v>
      </c>
      <c r="R67" s="9">
        <f t="shared" si="10"/>
        <v>5</v>
      </c>
      <c r="S67" s="14" t="str" cm="1">
        <f t="array" ref="S67">INDEX('Subj-ConceptMap-1'!$I$15:$N$205,Q67+1,R67)</f>
        <v>* group[=].element[=].target.equivalence = #equivalent</v>
      </c>
    </row>
    <row r="68" spans="16:19" x14ac:dyDescent="0.75">
      <c r="P68" s="9">
        <v>54</v>
      </c>
      <c r="Q68" s="9">
        <f t="shared" si="9"/>
        <v>8</v>
      </c>
      <c r="R68" s="9">
        <f t="shared" si="10"/>
        <v>6</v>
      </c>
      <c r="S68" s="14" t="str" cm="1">
        <f t="array" ref="S68">INDEX('Subj-ConceptMap-1'!$I$15:$N$205,Q68+1,R68)</f>
        <v/>
      </c>
    </row>
    <row r="69" spans="16:19" x14ac:dyDescent="0.75">
      <c r="P69" s="9">
        <v>55</v>
      </c>
      <c r="Q69" s="9">
        <f t="shared" si="9"/>
        <v>9</v>
      </c>
      <c r="R69" s="9">
        <f t="shared" si="10"/>
        <v>1</v>
      </c>
      <c r="S69" s="14" t="str" cm="1">
        <f t="array" ref="S69">INDEX('Subj-ConceptMap-1'!$I$15:$N$205,Q69+1,R69)</f>
        <v>* group[=].element[+].code = #Subject.telcomContact.address.street</v>
      </c>
    </row>
    <row r="70" spans="16:19" x14ac:dyDescent="0.75">
      <c r="P70" s="9">
        <v>56</v>
      </c>
      <c r="Q70" s="9">
        <f t="shared" si="9"/>
        <v>9</v>
      </c>
      <c r="R70" s="9">
        <f t="shared" si="10"/>
        <v>2</v>
      </c>
      <c r="S70" s="14" t="str" cm="1">
        <f t="array" ref="S70">INDEX('Subj-ConceptMap-1'!$I$15:$N$205,Q70+1,R70)</f>
        <v>* group[=].element[=].display = ##34#A.1.2.1.1 Street##34#</v>
      </c>
    </row>
    <row r="71" spans="16:19" x14ac:dyDescent="0.75">
      <c r="P71" s="9">
        <v>57</v>
      </c>
      <c r="Q71" s="9">
        <f t="shared" si="9"/>
        <v>9</v>
      </c>
      <c r="R71" s="9">
        <f t="shared" si="10"/>
        <v>3</v>
      </c>
      <c r="S71" s="14" t="str" cm="1">
        <f t="array" ref="S71">INDEX('Subj-ConceptMap-1'!$I$15:$N$205,Q71+1,R71)</f>
        <v>* group[=].element[=].target.code = #Patient.address.line</v>
      </c>
    </row>
    <row r="72" spans="16:19" x14ac:dyDescent="0.75">
      <c r="P72" s="9">
        <v>58</v>
      </c>
      <c r="Q72" s="9">
        <f t="shared" si="9"/>
        <v>9</v>
      </c>
      <c r="R72" s="9">
        <f t="shared" si="10"/>
        <v>4</v>
      </c>
      <c r="S72" s="14" t="str" cm="1">
        <f t="array" ref="S72">INDEX('Subj-ConceptMap-1'!$I$15:$N$205,Q72+1,R72)</f>
        <v>* group[=].element[=].target.display = ##34###34#</v>
      </c>
    </row>
    <row r="73" spans="16:19" x14ac:dyDescent="0.75">
      <c r="P73" s="9">
        <v>59</v>
      </c>
      <c r="Q73" s="9">
        <f t="shared" si="9"/>
        <v>9</v>
      </c>
      <c r="R73" s="9">
        <f t="shared" si="10"/>
        <v>5</v>
      </c>
      <c r="S73" s="14" t="str" cm="1">
        <f t="array" ref="S73">INDEX('Subj-ConceptMap-1'!$I$15:$N$205,Q73+1,R73)</f>
        <v>* group[=].element[=].target.equivalence = #relatedto</v>
      </c>
    </row>
    <row r="74" spans="16:19" x14ac:dyDescent="0.75">
      <c r="P74" s="9">
        <v>60</v>
      </c>
      <c r="Q74" s="9">
        <f t="shared" si="9"/>
        <v>9</v>
      </c>
      <c r="R74" s="9">
        <f t="shared" si="10"/>
        <v>6</v>
      </c>
      <c r="S74" s="14" t="str" cm="1">
        <f t="array" ref="S74">INDEX('Subj-ConceptMap-1'!$I$15:$N$205,Q74+1,R74)</f>
        <v/>
      </c>
    </row>
    <row r="75" spans="16:19" x14ac:dyDescent="0.75">
      <c r="P75" s="9">
        <v>61</v>
      </c>
      <c r="Q75" s="9">
        <f t="shared" si="9"/>
        <v>10</v>
      </c>
      <c r="R75" s="9">
        <f t="shared" si="10"/>
        <v>1</v>
      </c>
      <c r="S75" s="14" t="str" cm="1">
        <f t="array" ref="S75">INDEX('Subj-ConceptMap-1'!$I$15:$N$205,Q75+1,R75)</f>
        <v>* group[=].element[+].code = #Subject.telcomContact.address.street</v>
      </c>
    </row>
    <row r="76" spans="16:19" x14ac:dyDescent="0.75">
      <c r="P76" s="9">
        <v>62</v>
      </c>
      <c r="Q76" s="9">
        <f t="shared" si="9"/>
        <v>10</v>
      </c>
      <c r="R76" s="9">
        <f t="shared" si="10"/>
        <v>2</v>
      </c>
      <c r="S76" s="14" t="str" cm="1">
        <f t="array" ref="S76">INDEX('Subj-ConceptMap-1'!$I$15:$N$205,Q76+1,R76)</f>
        <v>* group[=].element[=].display = ##34#A.1.2.1.1 Street##34#</v>
      </c>
    </row>
    <row r="77" spans="16:19" x14ac:dyDescent="0.75">
      <c r="P77" s="9">
        <v>63</v>
      </c>
      <c r="Q77" s="9">
        <f t="shared" si="9"/>
        <v>10</v>
      </c>
      <c r="R77" s="9">
        <f t="shared" si="10"/>
        <v>3</v>
      </c>
      <c r="S77" s="14" t="str" cm="1">
        <f t="array" ref="S77">INDEX('Subj-ConceptMap-1'!$I$15:$N$205,Q77+1,R77)</f>
        <v>* group[=].element[=].target.code = #Patient.address.line.extensioon:streetName</v>
      </c>
    </row>
    <row r="78" spans="16:19" x14ac:dyDescent="0.75">
      <c r="P78" s="9">
        <v>64</v>
      </c>
      <c r="Q78" s="9">
        <f t="shared" si="9"/>
        <v>10</v>
      </c>
      <c r="R78" s="9">
        <f t="shared" si="10"/>
        <v>4</v>
      </c>
      <c r="S78" s="14" t="str" cm="1">
        <f t="array" ref="S78">INDEX('Subj-ConceptMap-1'!$I$15:$N$205,Q78+1,R78)</f>
        <v>* group[=].element[=].target.display = ##34###34#</v>
      </c>
    </row>
    <row r="79" spans="16:19" x14ac:dyDescent="0.75">
      <c r="P79" s="9">
        <v>65</v>
      </c>
      <c r="Q79" s="9">
        <f t="shared" si="9"/>
        <v>10</v>
      </c>
      <c r="R79" s="9">
        <f t="shared" si="10"/>
        <v>5</v>
      </c>
      <c r="S79" s="14" t="str" cm="1">
        <f t="array" ref="S79">INDEX('Subj-ConceptMap-1'!$I$15:$N$205,Q79+1,R79)</f>
        <v>* group[=].element[=].target.equivalence = #equivalent</v>
      </c>
    </row>
    <row r="80" spans="16:19" ht="29.5" x14ac:dyDescent="0.75">
      <c r="P80" s="9">
        <v>66</v>
      </c>
      <c r="Q80" s="9">
        <f t="shared" ref="Q80:Q143" si="17">IF(MOD(P80,$Q$8)=0,P80/$Q$8-1,INT(P80/$Q$8))</f>
        <v>10</v>
      </c>
      <c r="R80" s="9">
        <f t="shared" ref="R80:R143" si="18">IF(MOD(P80,$Q$8)=0,$Q$8,MOD(P80,$Q$8))</f>
        <v>6</v>
      </c>
      <c r="S80" s="14" t="str" cm="1">
        <f t="array" ref="S80">INDEX('Subj-ConceptMap-1'!$I$15:$N$205,Q80+1,R80)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INDEX('Subj-ConceptMap-1'!$I$15:$N$205,Q81+1,R81)</f>
        <v>* group[=].element[+].code = #Subject.telcomContact.address.houseNumber</v>
      </c>
    </row>
    <row r="82" spans="16:19" x14ac:dyDescent="0.75">
      <c r="P82" s="9">
        <v>68</v>
      </c>
      <c r="Q82" s="9">
        <f t="shared" si="17"/>
        <v>11</v>
      </c>
      <c r="R82" s="9">
        <f t="shared" si="18"/>
        <v>2</v>
      </c>
      <c r="S82" s="14" t="str" cm="1">
        <f t="array" ref="S82">INDEX('Subj-ConceptMap-1'!$I$15:$N$205,Q82+1,R82)</f>
        <v>* group[=].element[=].display = ##34#A.1.2.1.2 House number##34#</v>
      </c>
    </row>
    <row r="83" spans="16:19" x14ac:dyDescent="0.75">
      <c r="P83" s="9">
        <v>69</v>
      </c>
      <c r="Q83" s="9">
        <f t="shared" si="17"/>
        <v>11</v>
      </c>
      <c r="R83" s="9">
        <f t="shared" si="18"/>
        <v>3</v>
      </c>
      <c r="S83" s="14" t="str" cm="1">
        <f t="array" ref="S83">INDEX('Subj-ConceptMap-1'!$I$15:$N$205,Q83+1,R83)</f>
        <v>* group[=].element[=].target.code = #Patient.address.line.extensioon:houseNumber</v>
      </c>
    </row>
    <row r="84" spans="16:19" x14ac:dyDescent="0.75">
      <c r="P84" s="9">
        <v>70</v>
      </c>
      <c r="Q84" s="9">
        <f t="shared" si="17"/>
        <v>11</v>
      </c>
      <c r="R84" s="9">
        <f t="shared" si="18"/>
        <v>4</v>
      </c>
      <c r="S84" s="14" t="str" cm="1">
        <f t="array" ref="S84">INDEX('Subj-ConceptMap-1'!$I$15:$N$205,Q84+1,R84)</f>
        <v>* group[=].element[=].target.display = ##34###34#</v>
      </c>
    </row>
    <row r="85" spans="16:19" x14ac:dyDescent="0.75">
      <c r="P85" s="9">
        <v>71</v>
      </c>
      <c r="Q85" s="9">
        <f t="shared" si="17"/>
        <v>11</v>
      </c>
      <c r="R85" s="9">
        <f t="shared" si="18"/>
        <v>5</v>
      </c>
      <c r="S85" s="14" t="str" cm="1">
        <f t="array" ref="S85">INDEX('Subj-ConceptMap-1'!$I$15:$N$205,Q85+1,R85)</f>
        <v>* group[=].element[=].target.equivalence = #equivalent</v>
      </c>
    </row>
    <row r="86" spans="16:19" ht="29.5" x14ac:dyDescent="0.75">
      <c r="P86" s="9">
        <v>72</v>
      </c>
      <c r="Q86" s="9">
        <f t="shared" si="17"/>
        <v>11</v>
      </c>
      <c r="R86" s="9">
        <f t="shared" si="18"/>
        <v>6</v>
      </c>
      <c r="S86" s="14" t="str" cm="1">
        <f t="array" ref="S86">INDEX('Subj-ConceptMap-1'!$I$15:$N$205,Q86+1,R86)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INDEX('Subj-ConceptMap-1'!$I$15:$N$205,Q87+1,R87)</f>
        <v>* group[=].element[+].code = #Subject.telcomContact.address.city</v>
      </c>
    </row>
    <row r="88" spans="16:19" x14ac:dyDescent="0.75">
      <c r="P88" s="9">
        <v>74</v>
      </c>
      <c r="Q88" s="9">
        <f t="shared" si="17"/>
        <v>12</v>
      </c>
      <c r="R88" s="9">
        <f t="shared" si="18"/>
        <v>2</v>
      </c>
      <c r="S88" s="14" t="str" cm="1">
        <f t="array" ref="S88">INDEX('Subj-ConceptMap-1'!$I$15:$N$205,Q88+1,R88)</f>
        <v>* group[=].element[=].display = ##34#A.1.2.1.3 City##34#</v>
      </c>
    </row>
    <row r="89" spans="16:19" x14ac:dyDescent="0.75">
      <c r="P89" s="9">
        <v>75</v>
      </c>
      <c r="Q89" s="9">
        <f t="shared" si="17"/>
        <v>12</v>
      </c>
      <c r="R89" s="9">
        <f t="shared" si="18"/>
        <v>3</v>
      </c>
      <c r="S89" s="14" t="str" cm="1">
        <f t="array" ref="S89">INDEX('Subj-ConceptMap-1'!$I$15:$N$205,Q89+1,R89)</f>
        <v>* group[=].element[=].target.code = #Patient.address.city</v>
      </c>
    </row>
    <row r="90" spans="16:19" x14ac:dyDescent="0.75">
      <c r="P90" s="9">
        <v>76</v>
      </c>
      <c r="Q90" s="9">
        <f t="shared" si="17"/>
        <v>12</v>
      </c>
      <c r="R90" s="9">
        <f t="shared" si="18"/>
        <v>4</v>
      </c>
      <c r="S90" s="14" t="str" cm="1">
        <f t="array" ref="S90">INDEX('Subj-ConceptMap-1'!$I$15:$N$205,Q90+1,R90)</f>
        <v>* group[=].element[=].target.display = ##34###34#</v>
      </c>
    </row>
    <row r="91" spans="16:19" x14ac:dyDescent="0.75">
      <c r="P91" s="9">
        <v>77</v>
      </c>
      <c r="Q91" s="9">
        <f t="shared" si="17"/>
        <v>12</v>
      </c>
      <c r="R91" s="9">
        <f t="shared" si="18"/>
        <v>5</v>
      </c>
      <c r="S91" s="14" t="str" cm="1">
        <f t="array" ref="S91">INDEX('Subj-ConceptMap-1'!$I$15:$N$205,Q91+1,R91)</f>
        <v>* group[=].element[=].target.equivalence = #equivalent</v>
      </c>
    </row>
    <row r="92" spans="16:19" x14ac:dyDescent="0.75">
      <c r="P92" s="9">
        <v>78</v>
      </c>
      <c r="Q92" s="9">
        <f t="shared" si="17"/>
        <v>12</v>
      </c>
      <c r="R92" s="9">
        <f t="shared" si="18"/>
        <v>6</v>
      </c>
      <c r="S92" s="14" t="str" cm="1">
        <f t="array" ref="S92">INDEX('Subj-ConceptMap-1'!$I$15:$N$205,Q92+1,R92)</f>
        <v/>
      </c>
    </row>
    <row r="93" spans="16:19" x14ac:dyDescent="0.75">
      <c r="P93" s="9">
        <v>79</v>
      </c>
      <c r="Q93" s="9">
        <f t="shared" si="17"/>
        <v>13</v>
      </c>
      <c r="R93" s="9">
        <f t="shared" si="18"/>
        <v>1</v>
      </c>
      <c r="S93" s="14" t="str" cm="1">
        <f t="array" ref="S93">INDEX('Subj-ConceptMap-1'!$I$15:$N$205,Q93+1,R93)</f>
        <v>* group[=].element[+].code = #Subject.telcomContact.address.postalCode</v>
      </c>
    </row>
    <row r="94" spans="16:19" x14ac:dyDescent="0.75">
      <c r="P94" s="9">
        <v>80</v>
      </c>
      <c r="Q94" s="9">
        <f t="shared" si="17"/>
        <v>13</v>
      </c>
      <c r="R94" s="9">
        <f t="shared" si="18"/>
        <v>2</v>
      </c>
      <c r="S94" s="14" t="str" cm="1">
        <f t="array" ref="S94">INDEX('Subj-ConceptMap-1'!$I$15:$N$205,Q94+1,R94)</f>
        <v>* group[=].element[=].display = ##34#A.1.2.1.4 Post code##34#</v>
      </c>
    </row>
    <row r="95" spans="16:19" x14ac:dyDescent="0.75">
      <c r="P95" s="9">
        <v>81</v>
      </c>
      <c r="Q95" s="9">
        <f t="shared" si="17"/>
        <v>13</v>
      </c>
      <c r="R95" s="9">
        <f t="shared" si="18"/>
        <v>3</v>
      </c>
      <c r="S95" s="14" t="str" cm="1">
        <f t="array" ref="S95">INDEX('Subj-ConceptMap-1'!$I$15:$N$205,Q95+1,R95)</f>
        <v>* group[=].element[=].target.code = #Patient.address.postalCode</v>
      </c>
    </row>
    <row r="96" spans="16:19" x14ac:dyDescent="0.75">
      <c r="P96" s="9">
        <v>82</v>
      </c>
      <c r="Q96" s="9">
        <f t="shared" si="17"/>
        <v>13</v>
      </c>
      <c r="R96" s="9">
        <f t="shared" si="18"/>
        <v>4</v>
      </c>
      <c r="S96" s="14" t="str" cm="1">
        <f t="array" ref="S96">INDEX('Subj-ConceptMap-1'!$I$15:$N$205,Q96+1,R96)</f>
        <v>* group[=].element[=].target.display = ##34###34#</v>
      </c>
    </row>
    <row r="97" spans="16:19" x14ac:dyDescent="0.75">
      <c r="P97" s="9">
        <v>83</v>
      </c>
      <c r="Q97" s="9">
        <f t="shared" si="17"/>
        <v>13</v>
      </c>
      <c r="R97" s="9">
        <f t="shared" si="18"/>
        <v>5</v>
      </c>
      <c r="S97" s="14" t="str" cm="1">
        <f t="array" ref="S97">INDEX('Subj-ConceptMap-1'!$I$15:$N$205,Q97+1,R97)</f>
        <v>* group[=].element[=].target.equivalence = #equivalent</v>
      </c>
    </row>
    <row r="98" spans="16:19" x14ac:dyDescent="0.75">
      <c r="P98" s="9">
        <v>84</v>
      </c>
      <c r="Q98" s="9">
        <f t="shared" si="17"/>
        <v>13</v>
      </c>
      <c r="R98" s="9">
        <f t="shared" si="18"/>
        <v>6</v>
      </c>
      <c r="S98" s="14" t="str" cm="1">
        <f t="array" ref="S98">INDEX('Subj-ConceptMap-1'!$I$15:$N$205,Q98+1,R98)</f>
        <v/>
      </c>
    </row>
    <row r="99" spans="16:19" x14ac:dyDescent="0.75">
      <c r="P99" s="9">
        <v>85</v>
      </c>
      <c r="Q99" s="9">
        <f t="shared" si="17"/>
        <v>14</v>
      </c>
      <c r="R99" s="9">
        <f t="shared" si="18"/>
        <v>1</v>
      </c>
      <c r="S99" s="14" t="str" cm="1">
        <f t="array" ref="S99">INDEX('Subj-ConceptMap-1'!$I$15:$N$205,Q99+1,R99)</f>
        <v>* group[=].element[+].code = #Subject.telcomContact.address.stateOrProvince</v>
      </c>
    </row>
    <row r="100" spans="16:19" x14ac:dyDescent="0.75">
      <c r="P100" s="9">
        <v>86</v>
      </c>
      <c r="Q100" s="9">
        <f t="shared" si="17"/>
        <v>14</v>
      </c>
      <c r="R100" s="9">
        <f t="shared" si="18"/>
        <v>2</v>
      </c>
      <c r="S100" s="14" t="str" cm="1">
        <f t="array" ref="S100">INDEX('Subj-ConceptMap-1'!$I$15:$N$205,Q100+1,R100)</f>
        <v>* group[=].element[=].display = ##34#A.1.2.1.5 State or province##34#</v>
      </c>
    </row>
    <row r="101" spans="16:19" x14ac:dyDescent="0.75">
      <c r="P101" s="9">
        <v>87</v>
      </c>
      <c r="Q101" s="9">
        <f t="shared" si="17"/>
        <v>14</v>
      </c>
      <c r="R101" s="9">
        <f t="shared" si="18"/>
        <v>3</v>
      </c>
      <c r="S101" s="14" t="str" cm="1">
        <f t="array" ref="S101">INDEX('Subj-ConceptMap-1'!$I$15:$N$205,Q101+1,R101)</f>
        <v>* group[=].element[=].target.code = #Patient.address.state</v>
      </c>
    </row>
    <row r="102" spans="16:19" x14ac:dyDescent="0.75">
      <c r="P102" s="9">
        <v>88</v>
      </c>
      <c r="Q102" s="9">
        <f t="shared" si="17"/>
        <v>14</v>
      </c>
      <c r="R102" s="9">
        <f t="shared" si="18"/>
        <v>4</v>
      </c>
      <c r="S102" s="14" t="str" cm="1">
        <f t="array" ref="S102">INDEX('Subj-ConceptMap-1'!$I$15:$N$205,Q102+1,R102)</f>
        <v>* group[=].element[=].target.display = ##34###34#</v>
      </c>
    </row>
    <row r="103" spans="16:19" x14ac:dyDescent="0.75">
      <c r="P103" s="9">
        <v>89</v>
      </c>
      <c r="Q103" s="9">
        <f t="shared" si="17"/>
        <v>14</v>
      </c>
      <c r="R103" s="9">
        <f t="shared" si="18"/>
        <v>5</v>
      </c>
      <c r="S103" s="14" t="str" cm="1">
        <f t="array" ref="S103">INDEX('Subj-ConceptMap-1'!$I$15:$N$205,Q103+1,R103)</f>
        <v>* group[=].element[=].target.equivalence = #equivalent</v>
      </c>
    </row>
    <row r="104" spans="16:19" x14ac:dyDescent="0.75">
      <c r="P104" s="9">
        <v>90</v>
      </c>
      <c r="Q104" s="9">
        <f t="shared" si="17"/>
        <v>14</v>
      </c>
      <c r="R104" s="9">
        <f t="shared" si="18"/>
        <v>6</v>
      </c>
      <c r="S104" s="14" t="str" cm="1">
        <f t="array" ref="S104">INDEX('Subj-ConceptMap-1'!$I$15:$N$205,Q104+1,R104)</f>
        <v/>
      </c>
    </row>
    <row r="105" spans="16:19" x14ac:dyDescent="0.75">
      <c r="P105" s="9">
        <v>91</v>
      </c>
      <c r="Q105" s="9">
        <f t="shared" si="17"/>
        <v>15</v>
      </c>
      <c r="R105" s="9">
        <f t="shared" si="18"/>
        <v>1</v>
      </c>
      <c r="S105" s="14" t="str" cm="1">
        <f t="array" ref="S105">INDEX('Subj-ConceptMap-1'!$I$15:$N$205,Q105+1,R105)</f>
        <v>* group[=].element[+].code = #Subject.telcomContact.address.country</v>
      </c>
    </row>
    <row r="106" spans="16:19" x14ac:dyDescent="0.75">
      <c r="P106" s="9">
        <v>92</v>
      </c>
      <c r="Q106" s="9">
        <f t="shared" si="17"/>
        <v>15</v>
      </c>
      <c r="R106" s="9">
        <f t="shared" si="18"/>
        <v>2</v>
      </c>
      <c r="S106" s="14" t="str" cm="1">
        <f t="array" ref="S106">INDEX('Subj-ConceptMap-1'!$I$15:$N$205,Q106+1,R106)</f>
        <v>* group[=].element[=].display = ##34#A.1.2.1.6 Country##34#</v>
      </c>
    </row>
    <row r="107" spans="16:19" x14ac:dyDescent="0.75">
      <c r="P107" s="9">
        <v>93</v>
      </c>
      <c r="Q107" s="9">
        <f t="shared" si="17"/>
        <v>15</v>
      </c>
      <c r="R107" s="9">
        <f t="shared" si="18"/>
        <v>3</v>
      </c>
      <c r="S107" s="14" t="str" cm="1">
        <f t="array" ref="S107">INDEX('Subj-ConceptMap-1'!$I$15:$N$205,Q107+1,R107)</f>
        <v>* group[=].element[=].target.code = #Patient.address.country</v>
      </c>
    </row>
    <row r="108" spans="16:19" x14ac:dyDescent="0.75">
      <c r="P108" s="9">
        <v>94</v>
      </c>
      <c r="Q108" s="9">
        <f t="shared" si="17"/>
        <v>15</v>
      </c>
      <c r="R108" s="9">
        <f t="shared" si="18"/>
        <v>4</v>
      </c>
      <c r="S108" s="14" t="str" cm="1">
        <f t="array" ref="S108">INDEX('Subj-ConceptMap-1'!$I$15:$N$205,Q108+1,R108)</f>
        <v>* group[=].element[=].target.display = ##34###34#</v>
      </c>
    </row>
    <row r="109" spans="16:19" x14ac:dyDescent="0.75">
      <c r="P109" s="9">
        <v>95</v>
      </c>
      <c r="Q109" s="9">
        <f t="shared" si="17"/>
        <v>15</v>
      </c>
      <c r="R109" s="9">
        <f t="shared" si="18"/>
        <v>5</v>
      </c>
      <c r="S109" s="14" t="str" cm="1">
        <f t="array" ref="S109">INDEX('Subj-ConceptMap-1'!$I$15:$N$205,Q109+1,R109)</f>
        <v>* group[=].element[=].target.equivalence = #equivalent</v>
      </c>
    </row>
    <row r="110" spans="16:19" x14ac:dyDescent="0.75">
      <c r="P110" s="9">
        <v>96</v>
      </c>
      <c r="Q110" s="9">
        <f t="shared" si="17"/>
        <v>15</v>
      </c>
      <c r="R110" s="9">
        <f t="shared" si="18"/>
        <v>6</v>
      </c>
      <c r="S110" s="14" t="str" cm="1">
        <f t="array" ref="S110">INDEX('Subj-ConceptMap-1'!$I$15:$N$205,Q110+1,R110)</f>
        <v>* group[=].element[=].target.comment = ##34#country name##34#</v>
      </c>
    </row>
    <row r="111" spans="16:19" x14ac:dyDescent="0.75">
      <c r="P111" s="9">
        <v>97</v>
      </c>
      <c r="Q111" s="9">
        <f t="shared" si="17"/>
        <v>16</v>
      </c>
      <c r="R111" s="9">
        <f t="shared" si="18"/>
        <v>1</v>
      </c>
      <c r="S111" s="14" t="str" cm="1">
        <f t="array" ref="S111">INDEX('Subj-ConceptMap-1'!$I$15:$N$205,Q111+1,R111)</f>
        <v>* group[=].element[+].code = #Subject.telcomContact.address.country</v>
      </c>
    </row>
    <row r="112" spans="16:19" x14ac:dyDescent="0.75">
      <c r="P112" s="9">
        <v>98</v>
      </c>
      <c r="Q112" s="9">
        <f t="shared" si="17"/>
        <v>16</v>
      </c>
      <c r="R112" s="9">
        <f t="shared" si="18"/>
        <v>2</v>
      </c>
      <c r="S112" s="14" t="str" cm="1">
        <f t="array" ref="S112">INDEX('Subj-ConceptMap-1'!$I$15:$N$205,Q112+1,R112)</f>
        <v>* group[=].element[=].display = ##34#A.1.2.1.6 Country##34#</v>
      </c>
    </row>
    <row r="113" spans="16:19" x14ac:dyDescent="0.75">
      <c r="P113" s="9">
        <v>99</v>
      </c>
      <c r="Q113" s="9">
        <f t="shared" si="17"/>
        <v>16</v>
      </c>
      <c r="R113" s="9">
        <f t="shared" si="18"/>
        <v>3</v>
      </c>
      <c r="S113" s="14" t="str" cm="1">
        <f t="array" ref="S113">INDEX('Subj-ConceptMap-1'!$I$15:$N$205,Q113+1,R113)</f>
        <v>* group[=].element[=].target.code = #Patient.address.country.extension:countryCode</v>
      </c>
    </row>
    <row r="114" spans="16:19" x14ac:dyDescent="0.75">
      <c r="P114" s="9">
        <v>100</v>
      </c>
      <c r="Q114" s="9">
        <f t="shared" si="17"/>
        <v>16</v>
      </c>
      <c r="R114" s="9">
        <f t="shared" si="18"/>
        <v>4</v>
      </c>
      <c r="S114" s="14" t="str" cm="1">
        <f t="array" ref="S114">INDEX('Subj-ConceptMap-1'!$I$15:$N$205,Q114+1,R114)</f>
        <v>* group[=].element[=].target.display = ##34###34#</v>
      </c>
    </row>
    <row r="115" spans="16:19" x14ac:dyDescent="0.75">
      <c r="P115" s="9">
        <v>101</v>
      </c>
      <c r="Q115" s="9">
        <f t="shared" si="17"/>
        <v>16</v>
      </c>
      <c r="R115" s="9">
        <f t="shared" si="18"/>
        <v>5</v>
      </c>
      <c r="S115" s="14" t="str" cm="1">
        <f t="array" ref="S115">INDEX('Subj-ConceptMap-1'!$I$15:$N$205,Q115+1,R115)</f>
        <v>* group[=].element[=].target.equivalence = #equivalent</v>
      </c>
    </row>
    <row r="116" spans="16:19" ht="29.5" x14ac:dyDescent="0.75">
      <c r="P116" s="9">
        <v>102</v>
      </c>
      <c r="Q116" s="9">
        <f t="shared" si="17"/>
        <v>16</v>
      </c>
      <c r="R116" s="9">
        <f t="shared" si="18"/>
        <v>6</v>
      </c>
      <c r="S116" s="14" t="str" cm="1">
        <f t="array" ref="S116">INDEX('Subj-ConceptMap-1'!$I$15:$N$205,Q116+1,R116)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INDEX('Subj-ConceptMap-1'!$I$15:$N$205,Q117+1,R117)</f>
        <v>* group[=].element[+].code = #Subject.telcomContact.telephone</v>
      </c>
    </row>
    <row r="118" spans="16:19" x14ac:dyDescent="0.75">
      <c r="P118" s="9">
        <v>104</v>
      </c>
      <c r="Q118" s="9">
        <f t="shared" si="17"/>
        <v>17</v>
      </c>
      <c r="R118" s="9">
        <f t="shared" si="18"/>
        <v>2</v>
      </c>
      <c r="S118" s="14" t="str" cm="1">
        <f t="array" ref="S118">INDEX('Subj-ConceptMap-1'!$I$15:$N$205,Q118+1,R118)</f>
        <v>* group[=].element[=].display = ##34#A.1.2.1.7 Telephone no.##34#</v>
      </c>
    </row>
    <row r="119" spans="16:19" x14ac:dyDescent="0.75">
      <c r="P119" s="9">
        <v>105</v>
      </c>
      <c r="Q119" s="9">
        <f t="shared" si="17"/>
        <v>17</v>
      </c>
      <c r="R119" s="9">
        <f t="shared" si="18"/>
        <v>3</v>
      </c>
      <c r="S119" s="14" t="str" cm="1">
        <f t="array" ref="S119">INDEX('Subj-ConceptMap-1'!$I$15:$N$205,Q119+1,R119)</f>
        <v>* group[=].element[=].target.code = #Patient.telecom</v>
      </c>
    </row>
    <row r="120" spans="16:19" x14ac:dyDescent="0.75">
      <c r="P120" s="9">
        <v>106</v>
      </c>
      <c r="Q120" s="9">
        <f t="shared" si="17"/>
        <v>17</v>
      </c>
      <c r="R120" s="9">
        <f t="shared" si="18"/>
        <v>4</v>
      </c>
      <c r="S120" s="14" t="str" cm="1">
        <f t="array" ref="S120">INDEX('Subj-ConceptMap-1'!$I$15:$N$205,Q120+1,R120)</f>
        <v>* group[=].element[=].target.display = ##34###34#</v>
      </c>
    </row>
    <row r="121" spans="16:19" x14ac:dyDescent="0.75">
      <c r="P121" s="9">
        <v>107</v>
      </c>
      <c r="Q121" s="9">
        <f t="shared" si="17"/>
        <v>17</v>
      </c>
      <c r="R121" s="9">
        <f t="shared" si="18"/>
        <v>5</v>
      </c>
      <c r="S121" s="14" t="str" cm="1">
        <f t="array" ref="S121">INDEX('Subj-ConceptMap-1'!$I$15:$N$205,Q121+1,R121)</f>
        <v>* group[=].element[=].target.equivalence = #equivalent</v>
      </c>
    </row>
    <row r="122" spans="16:19" x14ac:dyDescent="0.75">
      <c r="P122" s="9">
        <v>108</v>
      </c>
      <c r="Q122" s="9">
        <f t="shared" si="17"/>
        <v>17</v>
      </c>
      <c r="R122" s="9">
        <f t="shared" si="18"/>
        <v>6</v>
      </c>
      <c r="S122" s="14" t="str" cm="1">
        <f t="array" ref="S122">INDEX('Subj-ConceptMap-1'!$I$15:$N$205,Q122+1,R122)</f>
        <v>* group[=].element[=].target.comment = ##34#where system = 'phone '##34#</v>
      </c>
    </row>
    <row r="123" spans="16:19" x14ac:dyDescent="0.75">
      <c r="P123" s="9">
        <v>109</v>
      </c>
      <c r="Q123" s="9">
        <f t="shared" si="17"/>
        <v>18</v>
      </c>
      <c r="R123" s="9">
        <f t="shared" si="18"/>
        <v>1</v>
      </c>
      <c r="S123" s="14" t="str" cm="1">
        <f t="array" ref="S123">INDEX('Subj-ConceptMap-1'!$I$15:$N$205,Q123+1,R123)</f>
        <v>* group[=].element[+].code = #Subject.telcomContact.email</v>
      </c>
    </row>
    <row r="124" spans="16:19" x14ac:dyDescent="0.75">
      <c r="P124" s="9">
        <v>110</v>
      </c>
      <c r="Q124" s="9">
        <f t="shared" si="17"/>
        <v>18</v>
      </c>
      <c r="R124" s="9">
        <f t="shared" si="18"/>
        <v>2</v>
      </c>
      <c r="S124" s="14" t="str" cm="1">
        <f t="array" ref="S124">INDEX('Subj-ConceptMap-1'!$I$15:$N$205,Q124+1,R124)</f>
        <v>* group[=].element[=].display = ##34#A.1.2.1.8 Email##34#</v>
      </c>
    </row>
    <row r="125" spans="16:19" x14ac:dyDescent="0.75">
      <c r="P125" s="9">
        <v>111</v>
      </c>
      <c r="Q125" s="9">
        <f t="shared" si="17"/>
        <v>18</v>
      </c>
      <c r="R125" s="9">
        <f t="shared" si="18"/>
        <v>3</v>
      </c>
      <c r="S125" s="14" t="str" cm="1">
        <f t="array" ref="S125">INDEX('Subj-ConceptMap-1'!$I$15:$N$205,Q125+1,R125)</f>
        <v>* group[=].element[=].target.code = #Patient.telecom</v>
      </c>
    </row>
    <row r="126" spans="16:19" x14ac:dyDescent="0.75">
      <c r="P126" s="9">
        <v>112</v>
      </c>
      <c r="Q126" s="9">
        <f t="shared" si="17"/>
        <v>18</v>
      </c>
      <c r="R126" s="9">
        <f t="shared" si="18"/>
        <v>4</v>
      </c>
      <c r="S126" s="14" t="str" cm="1">
        <f t="array" ref="S126">INDEX('Subj-ConceptMap-1'!$I$15:$N$205,Q126+1,R126)</f>
        <v>* group[=].element[=].target.display = ##34###34#</v>
      </c>
    </row>
    <row r="127" spans="16:19" x14ac:dyDescent="0.75">
      <c r="P127" s="9">
        <v>113</v>
      </c>
      <c r="Q127" s="9">
        <f t="shared" si="17"/>
        <v>18</v>
      </c>
      <c r="R127" s="9">
        <f t="shared" si="18"/>
        <v>5</v>
      </c>
      <c r="S127" s="14" t="str" cm="1">
        <f t="array" ref="S127">INDEX('Subj-ConceptMap-1'!$I$15:$N$205,Q127+1,R127)</f>
        <v>* group[=].element[=].target.equivalence = #equivalent</v>
      </c>
    </row>
    <row r="128" spans="16:19" x14ac:dyDescent="0.75">
      <c r="P128" s="9">
        <v>114</v>
      </c>
      <c r="Q128" s="9">
        <f t="shared" si="17"/>
        <v>18</v>
      </c>
      <c r="R128" s="9">
        <f t="shared" si="18"/>
        <v>6</v>
      </c>
      <c r="S128" s="14" t="str" cm="1">
        <f t="array" ref="S128">INDEX('Subj-ConceptMap-1'!$I$15:$N$205,Q128+1,R128)</f>
        <v>* group[=].element[=].target.comment = ##34#where system = 'email'##34#</v>
      </c>
    </row>
    <row r="129" spans="16:19" x14ac:dyDescent="0.75">
      <c r="P129" s="9">
        <v>115</v>
      </c>
      <c r="Q129" s="9">
        <f t="shared" si="17"/>
        <v>19</v>
      </c>
      <c r="R129" s="9">
        <f t="shared" si="18"/>
        <v>1</v>
      </c>
      <c r="S129" s="14" t="str" cm="1">
        <f t="array" ref="S129">INDEX('Subj-ConceptMap-1'!$I$15:$N$205,Q129+1,R129)</f>
        <v>* group[=].element[+].code = #Subject.hpToContact</v>
      </c>
    </row>
    <row r="130" spans="16:19" x14ac:dyDescent="0.75">
      <c r="P130" s="9">
        <v>116</v>
      </c>
      <c r="Q130" s="9">
        <f t="shared" si="17"/>
        <v>19</v>
      </c>
      <c r="R130" s="9">
        <f t="shared" si="18"/>
        <v>2</v>
      </c>
      <c r="S130" s="14" t="str" cm="1">
        <f t="array" ref="S130">INDEX('Subj-ConceptMap-1'!$I$15:$N$205,Q130+1,R130)</f>
        <v>* group[=].element[=].display = ##34#A.1.2.2 Preferred HP to contact##34#</v>
      </c>
    </row>
    <row r="131" spans="16:19" x14ac:dyDescent="0.75">
      <c r="P131" s="9">
        <v>117</v>
      </c>
      <c r="Q131" s="9">
        <f t="shared" si="17"/>
        <v>19</v>
      </c>
      <c r="R131" s="9">
        <f t="shared" si="18"/>
        <v>3</v>
      </c>
      <c r="S131" s="14" t="str" cm="1">
        <f t="array" ref="S131">INDEX('Subj-ConceptMap-1'!$I$15:$N$205,Q131+1,R131)</f>
        <v>//-- unmatched</v>
      </c>
    </row>
    <row r="132" spans="16:19" x14ac:dyDescent="0.75">
      <c r="P132" s="9">
        <v>118</v>
      </c>
      <c r="Q132" s="9">
        <f t="shared" si="17"/>
        <v>19</v>
      </c>
      <c r="R132" s="9">
        <f t="shared" si="18"/>
        <v>4</v>
      </c>
      <c r="S132" s="14" t="str" cm="1">
        <f t="array" ref="S132">INDEX('Subj-ConceptMap-1'!$I$15:$N$205,Q132+1,R132)</f>
        <v>//-- unmatched</v>
      </c>
    </row>
    <row r="133" spans="16:19" x14ac:dyDescent="0.75">
      <c r="P133" s="9">
        <v>119</v>
      </c>
      <c r="Q133" s="9">
        <f t="shared" si="17"/>
        <v>19</v>
      </c>
      <c r="R133" s="9">
        <f t="shared" si="18"/>
        <v>5</v>
      </c>
      <c r="S133" s="14" t="str" cm="1">
        <f t="array" ref="S133">INDEX('Subj-ConceptMap-1'!$I$15:$N$205,Q133+1,R133)</f>
        <v>* group[=].element[=].target.equivalence = #unmatched</v>
      </c>
    </row>
    <row r="134" spans="16:19" ht="29.5" x14ac:dyDescent="0.75">
      <c r="P134" s="9">
        <v>120</v>
      </c>
      <c r="Q134" s="9">
        <f t="shared" si="17"/>
        <v>19</v>
      </c>
      <c r="R134" s="9">
        <f t="shared" si="18"/>
        <v>6</v>
      </c>
      <c r="S134" s="14" t="str" cm="1">
        <f t="array" ref="S134">INDEX('Subj-ConceptMap-1'!$I$15:$N$205,Q134+1,R134)</f>
        <v>* group[=].element[=].target.comment = ##34#To be mapped in differetn places##34#</v>
      </c>
    </row>
    <row r="135" spans="16:19" x14ac:dyDescent="0.75">
      <c r="P135" s="9">
        <v>121</v>
      </c>
      <c r="Q135" s="9">
        <f t="shared" si="17"/>
        <v>20</v>
      </c>
      <c r="R135" s="9">
        <f t="shared" si="18"/>
        <v>1</v>
      </c>
      <c r="S135" s="14" t="str" cm="1">
        <f t="array" ref="S135">INDEX('Subj-ConceptMap-1'!$I$15:$N$205,Q135+1,R135)</f>
        <v>* group[=].element[+].code = #Subject.contactPerson</v>
      </c>
    </row>
    <row r="136" spans="16:19" x14ac:dyDescent="0.75">
      <c r="P136" s="9">
        <v>122</v>
      </c>
      <c r="Q136" s="9">
        <f t="shared" si="17"/>
        <v>20</v>
      </c>
      <c r="R136" s="9">
        <f t="shared" si="18"/>
        <v>2</v>
      </c>
      <c r="S136" s="14" t="str" cm="1">
        <f t="array" ref="S136">INDEX('Subj-ConceptMap-1'!$I$15:$N$205,Q136+1,R136)</f>
        <v>* group[=].element[=].display = ##34#A.1.2.3 Contact person/ legal guardian ##34#</v>
      </c>
    </row>
    <row r="137" spans="16:19" x14ac:dyDescent="0.75">
      <c r="P137" s="9">
        <v>123</v>
      </c>
      <c r="Q137" s="9">
        <f t="shared" si="17"/>
        <v>20</v>
      </c>
      <c r="R137" s="9">
        <f t="shared" si="18"/>
        <v>3</v>
      </c>
      <c r="S137" s="14" t="str" cm="1">
        <f t="array" ref="S137">INDEX('Subj-ConceptMap-1'!$I$15:$N$205,Q137+1,R137)</f>
        <v>* group[=].element[=].target.code = #Patient.contact</v>
      </c>
    </row>
    <row r="138" spans="16:19" x14ac:dyDescent="0.75">
      <c r="P138" s="9">
        <v>124</v>
      </c>
      <c r="Q138" s="9">
        <f t="shared" si="17"/>
        <v>20</v>
      </c>
      <c r="R138" s="9">
        <f t="shared" si="18"/>
        <v>4</v>
      </c>
      <c r="S138" s="14" t="str" cm="1">
        <f t="array" ref="S138">INDEX('Subj-ConceptMap-1'!$I$15:$N$205,Q138+1,R138)</f>
        <v>* group[=].element[=].target.display = ##34###34#</v>
      </c>
    </row>
    <row r="139" spans="16:19" x14ac:dyDescent="0.75">
      <c r="P139" s="9">
        <v>125</v>
      </c>
      <c r="Q139" s="9">
        <f t="shared" si="17"/>
        <v>20</v>
      </c>
      <c r="R139" s="9">
        <f t="shared" si="18"/>
        <v>5</v>
      </c>
      <c r="S139" s="14" t="str" cm="1">
        <f t="array" ref="S139">INDEX('Subj-ConceptMap-1'!$I$15:$N$205,Q139+1,R139)</f>
        <v>* group[=].element[=].target.equivalence = #equivalent</v>
      </c>
    </row>
    <row r="140" spans="16:19" x14ac:dyDescent="0.75">
      <c r="P140" s="9">
        <v>126</v>
      </c>
      <c r="Q140" s="9">
        <f t="shared" si="17"/>
        <v>20</v>
      </c>
      <c r="R140" s="9">
        <f t="shared" si="18"/>
        <v>6</v>
      </c>
      <c r="S140" s="14" t="str" cm="1">
        <f t="array" ref="S140">INDEX('Subj-ConceptMap-1'!$I$15:$N$205,Q140+1,R140)</f>
        <v/>
      </c>
    </row>
    <row r="141" spans="16:19" x14ac:dyDescent="0.75">
      <c r="P141" s="9">
        <v>127</v>
      </c>
      <c r="Q141" s="9">
        <f t="shared" si="17"/>
        <v>21</v>
      </c>
      <c r="R141" s="9">
        <f t="shared" si="18"/>
        <v>1</v>
      </c>
      <c r="S141" s="14" t="str" cm="1">
        <f t="array" ref="S141">INDEX('Subj-ConceptMap-1'!$I$15:$N$205,Q141+1,R141)</f>
        <v>* group[=].element[+].code = #Subject.contactPerson.role</v>
      </c>
    </row>
    <row r="142" spans="16:19" x14ac:dyDescent="0.75">
      <c r="P142" s="9">
        <v>128</v>
      </c>
      <c r="Q142" s="9">
        <f t="shared" si="17"/>
        <v>21</v>
      </c>
      <c r="R142" s="9">
        <f t="shared" si="18"/>
        <v>2</v>
      </c>
      <c r="S142" s="14" t="str" cm="1">
        <f t="array" ref="S142">INDEX('Subj-ConceptMap-1'!$I$15:$N$205,Q142+1,R142)</f>
        <v>* group[=].element[=].display = ##34#A.1.2.3.1 Role of that person##34#</v>
      </c>
    </row>
    <row r="143" spans="16:19" x14ac:dyDescent="0.75">
      <c r="P143" s="9">
        <v>129</v>
      </c>
      <c r="Q143" s="9">
        <f t="shared" si="17"/>
        <v>21</v>
      </c>
      <c r="R143" s="9">
        <f t="shared" si="18"/>
        <v>3</v>
      </c>
      <c r="S143" s="14" t="str" cm="1">
        <f t="array" ref="S143">INDEX('Subj-ConceptMap-1'!$I$15:$N$205,Q143+1,R143)</f>
        <v>* group[=].element[=].target.code = #Patient.contact.relationship</v>
      </c>
    </row>
    <row r="144" spans="16:19" x14ac:dyDescent="0.75">
      <c r="P144" s="9">
        <v>130</v>
      </c>
      <c r="Q144" s="9">
        <f t="shared" ref="Q144:Q207" si="19">IF(MOD(P144,$Q$8)=0,P144/$Q$8-1,INT(P144/$Q$8))</f>
        <v>21</v>
      </c>
      <c r="R144" s="9">
        <f t="shared" ref="R144:R207" si="20">IF(MOD(P144,$Q$8)=0,$Q$8,MOD(P144,$Q$8))</f>
        <v>4</v>
      </c>
      <c r="S144" s="14" t="str" cm="1">
        <f t="array" ref="S144">INDEX('Subj-ConceptMap-1'!$I$15:$N$205,Q144+1,R144)</f>
        <v>* group[=].element[=].target.display = ##34###34#</v>
      </c>
    </row>
    <row r="145" spans="16:19" x14ac:dyDescent="0.75">
      <c r="P145" s="9">
        <v>131</v>
      </c>
      <c r="Q145" s="9">
        <f t="shared" si="19"/>
        <v>21</v>
      </c>
      <c r="R145" s="9">
        <f t="shared" si="20"/>
        <v>5</v>
      </c>
      <c r="S145" s="14" t="str" cm="1">
        <f t="array" ref="S145">INDEX('Subj-ConceptMap-1'!$I$15:$N$205,Q145+1,R145)</f>
        <v>* group[=].element[=].target.equivalence = #relatedto</v>
      </c>
    </row>
    <row r="146" spans="16:19" x14ac:dyDescent="0.75">
      <c r="P146" s="9">
        <v>132</v>
      </c>
      <c r="Q146" s="9">
        <f t="shared" si="19"/>
        <v>21</v>
      </c>
      <c r="R146" s="9">
        <f t="shared" si="20"/>
        <v>6</v>
      </c>
      <c r="S146" s="14" t="str" cm="1">
        <f t="array" ref="S146">INDEX('Subj-ConceptMap-1'!$I$15:$N$205,Q146+1,R146)</f>
        <v>* group[=].element[=].target.comment = ##34#To be checked##34#</v>
      </c>
    </row>
    <row r="147" spans="16:19" x14ac:dyDescent="0.75">
      <c r="P147" s="9">
        <v>133</v>
      </c>
      <c r="Q147" s="9">
        <f t="shared" si="19"/>
        <v>22</v>
      </c>
      <c r="R147" s="9">
        <f t="shared" si="20"/>
        <v>1</v>
      </c>
      <c r="S147" s="14" t="str" cm="1">
        <f t="array" ref="S147">INDEX('Subj-ConceptMap-1'!$I$15:$N$205,Q147+1,R147)</f>
        <v>* group[=].element[+].code = #Subject.contactPerson.relationship</v>
      </c>
    </row>
    <row r="148" spans="16:19" x14ac:dyDescent="0.75">
      <c r="P148" s="9">
        <v>134</v>
      </c>
      <c r="Q148" s="9">
        <f t="shared" si="19"/>
        <v>22</v>
      </c>
      <c r="R148" s="9">
        <f t="shared" si="20"/>
        <v>2</v>
      </c>
      <c r="S148" s="14" t="str" cm="1">
        <f t="array" ref="S148">INDEX('Subj-ConceptMap-1'!$I$15:$N$205,Q148+1,R148)</f>
        <v>* group[=].element[=].display = ##34#A.1.2.3.2 Relationship level##34#</v>
      </c>
    </row>
    <row r="149" spans="16:19" x14ac:dyDescent="0.75">
      <c r="P149" s="9">
        <v>135</v>
      </c>
      <c r="Q149" s="9">
        <f t="shared" si="19"/>
        <v>22</v>
      </c>
      <c r="R149" s="9">
        <f t="shared" si="20"/>
        <v>3</v>
      </c>
      <c r="S149" s="14" t="str" cm="1">
        <f t="array" ref="S149">INDEX('Subj-ConceptMap-1'!$I$15:$N$205,Q149+1,R149)</f>
        <v>* group[=].element[=].target.code = #Patient.contact.relationship</v>
      </c>
    </row>
    <row r="150" spans="16:19" x14ac:dyDescent="0.75">
      <c r="P150" s="9">
        <v>136</v>
      </c>
      <c r="Q150" s="9">
        <f t="shared" si="19"/>
        <v>22</v>
      </c>
      <c r="R150" s="9">
        <f t="shared" si="20"/>
        <v>4</v>
      </c>
      <c r="S150" s="14" t="str" cm="1">
        <f t="array" ref="S150">INDEX('Subj-ConceptMap-1'!$I$15:$N$205,Q150+1,R150)</f>
        <v>* group[=].element[=].target.display = ##34###34#</v>
      </c>
    </row>
    <row r="151" spans="16:19" x14ac:dyDescent="0.75">
      <c r="P151" s="9">
        <v>137</v>
      </c>
      <c r="Q151" s="9">
        <f t="shared" si="19"/>
        <v>22</v>
      </c>
      <c r="R151" s="9">
        <f t="shared" si="20"/>
        <v>5</v>
      </c>
      <c r="S151" s="14" t="str" cm="1">
        <f t="array" ref="S151">INDEX('Subj-ConceptMap-1'!$I$15:$N$205,Q151+1,R151)</f>
        <v>* group[=].element[=].target.equivalence = #equivalent</v>
      </c>
    </row>
    <row r="152" spans="16:19" x14ac:dyDescent="0.75">
      <c r="P152" s="9">
        <v>138</v>
      </c>
      <c r="Q152" s="9">
        <f t="shared" si="19"/>
        <v>22</v>
      </c>
      <c r="R152" s="9">
        <f t="shared" si="20"/>
        <v>6</v>
      </c>
      <c r="S152" s="14" t="str" cm="1">
        <f t="array" ref="S152">INDEX('Subj-ConceptMap-1'!$I$15:$N$205,Q152+1,R152)</f>
        <v/>
      </c>
    </row>
    <row r="153" spans="16:19" x14ac:dyDescent="0.75">
      <c r="P153" s="9">
        <v>139</v>
      </c>
      <c r="Q153" s="9">
        <f t="shared" si="19"/>
        <v>23</v>
      </c>
      <c r="R153" s="9">
        <f t="shared" si="20"/>
        <v>1</v>
      </c>
      <c r="S153" s="14" t="str" cm="1">
        <f t="array" ref="S153">INDEX('Subj-ConceptMap-1'!$I$15:$N$205,Q153+1,R153)</f>
        <v>* group[=].element[+].code = #Subject.contactPerson.givenName</v>
      </c>
    </row>
    <row r="154" spans="16:19" x14ac:dyDescent="0.75">
      <c r="P154" s="9">
        <v>140</v>
      </c>
      <c r="Q154" s="9">
        <f t="shared" si="19"/>
        <v>23</v>
      </c>
      <c r="R154" s="9">
        <f t="shared" si="20"/>
        <v>2</v>
      </c>
      <c r="S154" s="14" t="str" cm="1">
        <f t="array" ref="S154">INDEX('Subj-ConceptMap-1'!$I$15:$N$205,Q154+1,R154)</f>
        <v>* group[=].element[=].display = ##34#A.1.2.3.3 Given name##34#</v>
      </c>
    </row>
    <row r="155" spans="16:19" x14ac:dyDescent="0.75">
      <c r="P155" s="9">
        <v>141</v>
      </c>
      <c r="Q155" s="9">
        <f t="shared" si="19"/>
        <v>23</v>
      </c>
      <c r="R155" s="9">
        <f t="shared" si="20"/>
        <v>3</v>
      </c>
      <c r="S155" s="14" t="str" cm="1">
        <f t="array" ref="S155">INDEX('Subj-ConceptMap-1'!$I$15:$N$205,Q155+1,R155)</f>
        <v>* group[=].element[=].target.code = #Patient.contact.name.given</v>
      </c>
    </row>
    <row r="156" spans="16:19" x14ac:dyDescent="0.75">
      <c r="P156" s="9">
        <v>142</v>
      </c>
      <c r="Q156" s="9">
        <f t="shared" si="19"/>
        <v>23</v>
      </c>
      <c r="R156" s="9">
        <f t="shared" si="20"/>
        <v>4</v>
      </c>
      <c r="S156" s="14" t="str" cm="1">
        <f t="array" ref="S156">INDEX('Subj-ConceptMap-1'!$I$15:$N$205,Q156+1,R156)</f>
        <v>* group[=].element[=].target.display = ##34###34#</v>
      </c>
    </row>
    <row r="157" spans="16:19" x14ac:dyDescent="0.75">
      <c r="P157" s="9">
        <v>143</v>
      </c>
      <c r="Q157" s="9">
        <f t="shared" si="19"/>
        <v>23</v>
      </c>
      <c r="R157" s="9">
        <f t="shared" si="20"/>
        <v>5</v>
      </c>
      <c r="S157" s="14" t="str" cm="1">
        <f t="array" ref="S157">INDEX('Subj-ConceptMap-1'!$I$15:$N$205,Q157+1,R157)</f>
        <v>* group[=].element[=].target.equivalence = #equivalent</v>
      </c>
    </row>
    <row r="158" spans="16:19" x14ac:dyDescent="0.75">
      <c r="P158" s="9">
        <v>144</v>
      </c>
      <c r="Q158" s="9">
        <f t="shared" si="19"/>
        <v>23</v>
      </c>
      <c r="R158" s="9">
        <f t="shared" si="20"/>
        <v>6</v>
      </c>
      <c r="S158" s="14" t="str" cm="1">
        <f t="array" ref="S158">INDEX('Subj-ConceptMap-1'!$I$15:$N$205,Q158+1,R158)</f>
        <v/>
      </c>
    </row>
    <row r="159" spans="16:19" x14ac:dyDescent="0.75">
      <c r="P159" s="9">
        <v>145</v>
      </c>
      <c r="Q159" s="9">
        <f t="shared" si="19"/>
        <v>24</v>
      </c>
      <c r="R159" s="9">
        <f t="shared" si="20"/>
        <v>1</v>
      </c>
      <c r="S159" s="14" t="str" cm="1">
        <f t="array" ref="S159">INDEX('Subj-ConceptMap-1'!$I$15:$N$205,Q159+1,R159)</f>
        <v>* group[=].element[+].code = #Subject.contactPerson.familyName</v>
      </c>
    </row>
    <row r="160" spans="16:19" x14ac:dyDescent="0.75">
      <c r="P160" s="9">
        <v>146</v>
      </c>
      <c r="Q160" s="9">
        <f t="shared" si="19"/>
        <v>24</v>
      </c>
      <c r="R160" s="9">
        <f t="shared" si="20"/>
        <v>2</v>
      </c>
      <c r="S160" s="14" t="str" cm="1">
        <f t="array" ref="S160">INDEX('Subj-ConceptMap-1'!$I$15:$N$205,Q160+1,R160)</f>
        <v>* group[=].element[=].display = ##34#A.1.2.3.4 Family name/surname##34#</v>
      </c>
    </row>
    <row r="161" spans="16:19" x14ac:dyDescent="0.75">
      <c r="P161" s="9">
        <v>147</v>
      </c>
      <c r="Q161" s="9">
        <f t="shared" si="19"/>
        <v>24</v>
      </c>
      <c r="R161" s="9">
        <f t="shared" si="20"/>
        <v>3</v>
      </c>
      <c r="S161" s="14" t="str" cm="1">
        <f t="array" ref="S161">INDEX('Subj-ConceptMap-1'!$I$15:$N$205,Q161+1,R161)</f>
        <v>* group[=].element[=].target.code = #Patient.contact.name.family</v>
      </c>
    </row>
    <row r="162" spans="16:19" x14ac:dyDescent="0.75">
      <c r="P162" s="9">
        <v>148</v>
      </c>
      <c r="Q162" s="9">
        <f t="shared" si="19"/>
        <v>24</v>
      </c>
      <c r="R162" s="9">
        <f t="shared" si="20"/>
        <v>4</v>
      </c>
      <c r="S162" s="14" t="str" cm="1">
        <f t="array" ref="S162">INDEX('Subj-ConceptMap-1'!$I$15:$N$205,Q162+1,R162)</f>
        <v>* group[=].element[=].target.display = ##34###34#</v>
      </c>
    </row>
    <row r="163" spans="16:19" x14ac:dyDescent="0.75">
      <c r="P163" s="9">
        <v>149</v>
      </c>
      <c r="Q163" s="9">
        <f t="shared" si="19"/>
        <v>24</v>
      </c>
      <c r="R163" s="9">
        <f t="shared" si="20"/>
        <v>5</v>
      </c>
      <c r="S163" s="14" t="str" cm="1">
        <f t="array" ref="S163">INDEX('Subj-ConceptMap-1'!$I$15:$N$205,Q163+1,R163)</f>
        <v>* group[=].element[=].target.equivalence = #equivalent</v>
      </c>
    </row>
    <row r="164" spans="16:19" x14ac:dyDescent="0.75">
      <c r="P164" s="9">
        <v>150</v>
      </c>
      <c r="Q164" s="9">
        <f t="shared" si="19"/>
        <v>24</v>
      </c>
      <c r="R164" s="9">
        <f t="shared" si="20"/>
        <v>6</v>
      </c>
      <c r="S164" s="14" t="str" cm="1">
        <f t="array" ref="S164">INDEX('Subj-ConceptMap-1'!$I$15:$N$205,Q164+1,R164)</f>
        <v/>
      </c>
    </row>
    <row r="165" spans="16:19" x14ac:dyDescent="0.75">
      <c r="P165" s="9">
        <v>151</v>
      </c>
      <c r="Q165" s="9">
        <f t="shared" si="19"/>
        <v>25</v>
      </c>
      <c r="R165" s="9">
        <f t="shared" si="20"/>
        <v>1</v>
      </c>
      <c r="S165" s="14" t="str" cm="1">
        <f t="array" ref="S165">INDEX('Subj-ConceptMap-1'!$I$15:$N$205,Q165+1,R165)</f>
        <v>* group[=].element[+].code = #Subject.contactPerson.telephone</v>
      </c>
    </row>
    <row r="166" spans="16:19" x14ac:dyDescent="0.75">
      <c r="P166" s="9">
        <v>152</v>
      </c>
      <c r="Q166" s="9">
        <f t="shared" si="19"/>
        <v>25</v>
      </c>
      <c r="R166" s="9">
        <f t="shared" si="20"/>
        <v>2</v>
      </c>
      <c r="S166" s="14" t="str" cm="1">
        <f t="array" ref="S166">INDEX('Subj-ConceptMap-1'!$I$15:$N$205,Q166+1,R166)</f>
        <v>* group[=].element[=].display = ##34#A.1.2.3.5 Telephone no.##34#</v>
      </c>
    </row>
    <row r="167" spans="16:19" x14ac:dyDescent="0.75">
      <c r="P167" s="9">
        <v>153</v>
      </c>
      <c r="Q167" s="9">
        <f t="shared" si="19"/>
        <v>25</v>
      </c>
      <c r="R167" s="9">
        <f t="shared" si="20"/>
        <v>3</v>
      </c>
      <c r="S167" s="14" t="str" cm="1">
        <f t="array" ref="S167">INDEX('Subj-ConceptMap-1'!$I$15:$N$205,Q167+1,R167)</f>
        <v>* group[=].element[=].target.code = #Patient.contact.telecom</v>
      </c>
    </row>
    <row r="168" spans="16:19" x14ac:dyDescent="0.75">
      <c r="P168" s="9">
        <v>154</v>
      </c>
      <c r="Q168" s="9">
        <f t="shared" si="19"/>
        <v>25</v>
      </c>
      <c r="R168" s="9">
        <f t="shared" si="20"/>
        <v>4</v>
      </c>
      <c r="S168" s="14" t="str" cm="1">
        <f t="array" ref="S168">INDEX('Subj-ConceptMap-1'!$I$15:$N$205,Q168+1,R168)</f>
        <v>* group[=].element[=].target.display = ##34###34#</v>
      </c>
    </row>
    <row r="169" spans="16:19" x14ac:dyDescent="0.75">
      <c r="P169" s="9">
        <v>155</v>
      </c>
      <c r="Q169" s="9">
        <f t="shared" si="19"/>
        <v>25</v>
      </c>
      <c r="R169" s="9">
        <f t="shared" si="20"/>
        <v>5</v>
      </c>
      <c r="S169" s="14" t="str" cm="1">
        <f t="array" ref="S169">INDEX('Subj-ConceptMap-1'!$I$15:$N$205,Q169+1,R169)</f>
        <v>* group[=].element[=].target.equivalence = #equivalent</v>
      </c>
    </row>
    <row r="170" spans="16:19" x14ac:dyDescent="0.75">
      <c r="P170" s="9">
        <v>156</v>
      </c>
      <c r="Q170" s="9">
        <f t="shared" si="19"/>
        <v>25</v>
      </c>
      <c r="R170" s="9">
        <f t="shared" si="20"/>
        <v>6</v>
      </c>
      <c r="S170" s="14" t="str" cm="1">
        <f t="array" ref="S170">INDEX('Subj-ConceptMap-1'!$I$15:$N$205,Q170+1,R170)</f>
        <v/>
      </c>
    </row>
    <row r="171" spans="16:19" x14ac:dyDescent="0.75">
      <c r="P171" s="9">
        <v>157</v>
      </c>
      <c r="Q171" s="9">
        <f t="shared" si="19"/>
        <v>26</v>
      </c>
      <c r="R171" s="9">
        <f t="shared" si="20"/>
        <v>1</v>
      </c>
      <c r="S171" s="14" t="str" cm="1">
        <f t="array" ref="S171">INDEX('Subj-ConceptMap-1'!$I$15:$N$205,Q171+1,R171)</f>
        <v>* group[=].element[+].code = #Subject.contactPerson.email</v>
      </c>
    </row>
    <row r="172" spans="16:19" x14ac:dyDescent="0.75">
      <c r="P172" s="9">
        <v>158</v>
      </c>
      <c r="Q172" s="9">
        <f t="shared" si="19"/>
        <v>26</v>
      </c>
      <c r="R172" s="9">
        <f t="shared" si="20"/>
        <v>2</v>
      </c>
      <c r="S172" s="14" t="str" cm="1">
        <f t="array" ref="S172">INDEX('Subj-ConceptMap-1'!$I$15:$N$205,Q172+1,R172)</f>
        <v>* group[=].element[=].display = ##34#A.1.2.3.6 Email##34#</v>
      </c>
    </row>
    <row r="173" spans="16:19" x14ac:dyDescent="0.75">
      <c r="P173" s="9">
        <v>159</v>
      </c>
      <c r="Q173" s="9">
        <f t="shared" si="19"/>
        <v>26</v>
      </c>
      <c r="R173" s="9">
        <f t="shared" si="20"/>
        <v>3</v>
      </c>
      <c r="S173" s="14" t="str" cm="1">
        <f t="array" ref="S173">INDEX('Subj-ConceptMap-1'!$I$15:$N$205,Q173+1,R173)</f>
        <v>* group[=].element[=].target.code = #Patient.contact.telecom</v>
      </c>
    </row>
    <row r="174" spans="16:19" x14ac:dyDescent="0.75">
      <c r="P174" s="9">
        <v>160</v>
      </c>
      <c r="Q174" s="9">
        <f t="shared" si="19"/>
        <v>26</v>
      </c>
      <c r="R174" s="9">
        <f t="shared" si="20"/>
        <v>4</v>
      </c>
      <c r="S174" s="14" t="str" cm="1">
        <f t="array" ref="S174">INDEX('Subj-ConceptMap-1'!$I$15:$N$205,Q174+1,R174)</f>
        <v>* group[=].element[=].target.display = ##34###34#</v>
      </c>
    </row>
    <row r="175" spans="16:19" x14ac:dyDescent="0.75">
      <c r="P175" s="9">
        <v>161</v>
      </c>
      <c r="Q175" s="9">
        <f t="shared" si="19"/>
        <v>26</v>
      </c>
      <c r="R175" s="9">
        <f t="shared" si="20"/>
        <v>5</v>
      </c>
      <c r="S175" s="14" t="str" cm="1">
        <f t="array" ref="S175">INDEX('Subj-ConceptMap-1'!$I$15:$N$205,Q175+1,R175)</f>
        <v>* group[=].element[=].target.equivalence = #equivalent</v>
      </c>
    </row>
    <row r="176" spans="16:19" x14ac:dyDescent="0.75">
      <c r="P176" s="9">
        <v>162</v>
      </c>
      <c r="Q176" s="9">
        <f t="shared" si="19"/>
        <v>26</v>
      </c>
      <c r="R176" s="9">
        <f t="shared" si="20"/>
        <v>6</v>
      </c>
      <c r="S176" s="14" t="str" cm="1">
        <f t="array" ref="S176">INDEX('Subj-ConceptMap-1'!$I$15:$N$205,Q176+1,R176)</f>
        <v/>
      </c>
    </row>
    <row r="177" spans="16:19" x14ac:dyDescent="0.75">
      <c r="P177" s="9">
        <v>163</v>
      </c>
      <c r="Q177" s="9">
        <f t="shared" si="19"/>
        <v>27</v>
      </c>
      <c r="R177" s="9">
        <f t="shared" si="20"/>
        <v>1</v>
      </c>
      <c r="S177" s="14" cm="1">
        <f t="array" ref="S177">INDEX('Subj-ConceptMap-1'!$I$15:$N$205,Q177+1,R177)</f>
        <v>0</v>
      </c>
    </row>
    <row r="178" spans="16:19" x14ac:dyDescent="0.75">
      <c r="P178" s="9">
        <v>164</v>
      </c>
      <c r="Q178" s="9">
        <f t="shared" si="19"/>
        <v>27</v>
      </c>
      <c r="R178" s="9">
        <f t="shared" si="20"/>
        <v>2</v>
      </c>
      <c r="S178" s="14" cm="1">
        <f t="array" ref="S178">INDEX('Subj-ConceptMap-1'!$I$15:$N$205,Q178+1,R178)</f>
        <v>0</v>
      </c>
    </row>
    <row r="179" spans="16:19" x14ac:dyDescent="0.75">
      <c r="P179" s="9">
        <v>165</v>
      </c>
      <c r="Q179" s="9">
        <f t="shared" si="19"/>
        <v>27</v>
      </c>
      <c r="R179" s="9">
        <f t="shared" si="20"/>
        <v>3</v>
      </c>
      <c r="S179" s="14" cm="1">
        <f t="array" ref="S179">INDEX('Subj-ConceptMap-1'!$I$15:$N$205,Q179+1,R179)</f>
        <v>0</v>
      </c>
    </row>
    <row r="180" spans="16:19" x14ac:dyDescent="0.75">
      <c r="P180" s="9">
        <v>166</v>
      </c>
      <c r="Q180" s="9">
        <f t="shared" si="19"/>
        <v>27</v>
      </c>
      <c r="R180" s="9">
        <f t="shared" si="20"/>
        <v>4</v>
      </c>
      <c r="S180" s="14" cm="1">
        <f t="array" ref="S180">INDEX('Subj-ConceptMap-1'!$I$15:$N$205,Q180+1,R180)</f>
        <v>0</v>
      </c>
    </row>
    <row r="181" spans="16:19" x14ac:dyDescent="0.75">
      <c r="P181" s="9">
        <v>167</v>
      </c>
      <c r="Q181" s="9">
        <f t="shared" si="19"/>
        <v>27</v>
      </c>
      <c r="R181" s="9">
        <f t="shared" si="20"/>
        <v>5</v>
      </c>
      <c r="S181" s="14" cm="1">
        <f t="array" ref="S181">INDEX('Subj-ConceptMap-1'!$I$15:$N$205,Q181+1,R181)</f>
        <v>0</v>
      </c>
    </row>
    <row r="182" spans="16:19" x14ac:dyDescent="0.75">
      <c r="P182" s="9">
        <v>168</v>
      </c>
      <c r="Q182" s="9">
        <f t="shared" si="19"/>
        <v>27</v>
      </c>
      <c r="R182" s="9">
        <f t="shared" si="20"/>
        <v>6</v>
      </c>
      <c r="S182" s="14" cm="1">
        <f t="array" ref="S182">INDEX('Subj-ConceptMap-1'!$I$15:$N$205,Q182+1,R182)</f>
        <v>0</v>
      </c>
    </row>
    <row r="183" spans="16:19" x14ac:dyDescent="0.75">
      <c r="P183" s="9">
        <v>169</v>
      </c>
      <c r="Q183" s="9">
        <f t="shared" si="19"/>
        <v>28</v>
      </c>
      <c r="R183" s="9">
        <f t="shared" si="20"/>
        <v>1</v>
      </c>
      <c r="S183" s="14" cm="1">
        <f t="array" ref="S183">INDEX('Subj-ConceptMap-1'!$I$15:$N$205,Q183+1,R183)</f>
        <v>0</v>
      </c>
    </row>
    <row r="184" spans="16:19" x14ac:dyDescent="0.75">
      <c r="P184" s="9">
        <v>170</v>
      </c>
      <c r="Q184" s="9">
        <f t="shared" si="19"/>
        <v>28</v>
      </c>
      <c r="R184" s="9">
        <f t="shared" si="20"/>
        <v>2</v>
      </c>
      <c r="S184" s="14" cm="1">
        <f t="array" ref="S184">INDEX('Subj-ConceptMap-1'!$I$15:$N$205,Q184+1,R184)</f>
        <v>0</v>
      </c>
    </row>
    <row r="185" spans="16:19" x14ac:dyDescent="0.75">
      <c r="P185" s="9">
        <v>171</v>
      </c>
      <c r="Q185" s="9">
        <f t="shared" si="19"/>
        <v>28</v>
      </c>
      <c r="R185" s="9">
        <f t="shared" si="20"/>
        <v>3</v>
      </c>
      <c r="S185" s="14" cm="1">
        <f t="array" ref="S185">INDEX('Subj-ConceptMap-1'!$I$15:$N$205,Q185+1,R185)</f>
        <v>0</v>
      </c>
    </row>
    <row r="186" spans="16:19" x14ac:dyDescent="0.75">
      <c r="P186" s="9">
        <v>172</v>
      </c>
      <c r="Q186" s="9">
        <f t="shared" si="19"/>
        <v>28</v>
      </c>
      <c r="R186" s="9">
        <f t="shared" si="20"/>
        <v>4</v>
      </c>
      <c r="S186" s="14" cm="1">
        <f t="array" ref="S186">INDEX('Subj-ConceptMap-1'!$I$15:$N$205,Q186+1,R186)</f>
        <v>0</v>
      </c>
    </row>
    <row r="187" spans="16:19" x14ac:dyDescent="0.75">
      <c r="P187" s="9">
        <v>173</v>
      </c>
      <c r="Q187" s="9">
        <f t="shared" si="19"/>
        <v>28</v>
      </c>
      <c r="R187" s="9">
        <f t="shared" si="20"/>
        <v>5</v>
      </c>
      <c r="S187" s="14" cm="1">
        <f t="array" ref="S187">INDEX('Subj-ConceptMap-1'!$I$15:$N$205,Q187+1,R187)</f>
        <v>0</v>
      </c>
    </row>
    <row r="188" spans="16:19" x14ac:dyDescent="0.75">
      <c r="P188" s="9">
        <v>174</v>
      </c>
      <c r="Q188" s="9">
        <f t="shared" si="19"/>
        <v>28</v>
      </c>
      <c r="R188" s="9">
        <f t="shared" si="20"/>
        <v>6</v>
      </c>
      <c r="S188" s="14" cm="1">
        <f t="array" ref="S188">INDEX('Subj-ConceptMap-1'!$I$15:$N$205,Q188+1,R188)</f>
        <v>0</v>
      </c>
    </row>
    <row r="189" spans="16:19" x14ac:dyDescent="0.75">
      <c r="P189" s="9">
        <v>175</v>
      </c>
      <c r="Q189" s="9">
        <f t="shared" si="19"/>
        <v>29</v>
      </c>
      <c r="R189" s="9">
        <f t="shared" si="20"/>
        <v>1</v>
      </c>
      <c r="S189" s="14" cm="1">
        <f t="array" ref="S189">INDEX('Subj-ConceptMap-1'!$I$15:$N$205,Q189+1,R189)</f>
        <v>0</v>
      </c>
    </row>
    <row r="190" spans="16:19" x14ac:dyDescent="0.75">
      <c r="P190" s="9">
        <v>176</v>
      </c>
      <c r="Q190" s="9">
        <f t="shared" si="19"/>
        <v>29</v>
      </c>
      <c r="R190" s="9">
        <f t="shared" si="20"/>
        <v>2</v>
      </c>
      <c r="S190" s="14" cm="1">
        <f t="array" ref="S190">INDEX('Subj-ConceptMap-1'!$I$15:$N$205,Q190+1,R190)</f>
        <v>0</v>
      </c>
    </row>
    <row r="191" spans="16:19" x14ac:dyDescent="0.75">
      <c r="P191" s="9">
        <v>177</v>
      </c>
      <c r="Q191" s="9">
        <f t="shared" si="19"/>
        <v>29</v>
      </c>
      <c r="R191" s="9">
        <f t="shared" si="20"/>
        <v>3</v>
      </c>
      <c r="S191" s="14" cm="1">
        <f t="array" ref="S191">INDEX('Subj-ConceptMap-1'!$I$15:$N$205,Q191+1,R191)</f>
        <v>0</v>
      </c>
    </row>
    <row r="192" spans="16:19" x14ac:dyDescent="0.75">
      <c r="P192" s="9">
        <v>178</v>
      </c>
      <c r="Q192" s="9">
        <f t="shared" si="19"/>
        <v>29</v>
      </c>
      <c r="R192" s="9">
        <f t="shared" si="20"/>
        <v>4</v>
      </c>
      <c r="S192" s="14" cm="1">
        <f t="array" ref="S192">INDEX('Subj-ConceptMap-1'!$I$15:$N$205,Q192+1,R192)</f>
        <v>0</v>
      </c>
    </row>
    <row r="193" spans="16:19" x14ac:dyDescent="0.75">
      <c r="P193" s="9">
        <v>179</v>
      </c>
      <c r="Q193" s="9">
        <f t="shared" si="19"/>
        <v>29</v>
      </c>
      <c r="R193" s="9">
        <f t="shared" si="20"/>
        <v>5</v>
      </c>
      <c r="S193" s="14" cm="1">
        <f t="array" ref="S193">INDEX('Subj-ConceptMap-1'!$I$15:$N$205,Q193+1,R193)</f>
        <v>0</v>
      </c>
    </row>
    <row r="194" spans="16:19" x14ac:dyDescent="0.75">
      <c r="P194" s="9">
        <v>180</v>
      </c>
      <c r="Q194" s="9">
        <f t="shared" si="19"/>
        <v>29</v>
      </c>
      <c r="R194" s="9">
        <f t="shared" si="20"/>
        <v>6</v>
      </c>
      <c r="S194" s="14" cm="1">
        <f t="array" ref="S194">INDEX('Subj-ConceptMap-1'!$I$15:$N$205,Q194+1,R194)</f>
        <v>0</v>
      </c>
    </row>
    <row r="195" spans="16:19" x14ac:dyDescent="0.75">
      <c r="P195" s="9">
        <v>181</v>
      </c>
      <c r="Q195" s="9">
        <f t="shared" si="19"/>
        <v>30</v>
      </c>
      <c r="R195" s="9">
        <f t="shared" si="20"/>
        <v>1</v>
      </c>
      <c r="S195" s="14" cm="1">
        <f t="array" ref="S195">INDEX('Subj-ConceptMap-1'!$I$15:$N$205,Q195+1,R195)</f>
        <v>0</v>
      </c>
    </row>
    <row r="196" spans="16:19" x14ac:dyDescent="0.75">
      <c r="P196" s="9">
        <v>182</v>
      </c>
      <c r="Q196" s="9">
        <f t="shared" si="19"/>
        <v>30</v>
      </c>
      <c r="R196" s="9">
        <f t="shared" si="20"/>
        <v>2</v>
      </c>
      <c r="S196" s="14" cm="1">
        <f t="array" ref="S196">INDEX('Subj-ConceptMap-1'!$I$15:$N$205,Q196+1,R196)</f>
        <v>0</v>
      </c>
    </row>
    <row r="197" spans="16:19" x14ac:dyDescent="0.75">
      <c r="P197" s="9">
        <v>183</v>
      </c>
      <c r="Q197" s="9">
        <f t="shared" si="19"/>
        <v>30</v>
      </c>
      <c r="R197" s="9">
        <f t="shared" si="20"/>
        <v>3</v>
      </c>
      <c r="S197" s="14" cm="1">
        <f t="array" ref="S197">INDEX('Subj-ConceptMap-1'!$I$15:$N$205,Q197+1,R197)</f>
        <v>0</v>
      </c>
    </row>
    <row r="198" spans="16:19" x14ac:dyDescent="0.75">
      <c r="P198" s="9">
        <v>184</v>
      </c>
      <c r="Q198" s="9">
        <f t="shared" si="19"/>
        <v>30</v>
      </c>
      <c r="R198" s="9">
        <f t="shared" si="20"/>
        <v>4</v>
      </c>
      <c r="S198" s="14" cm="1">
        <f t="array" ref="S198">INDEX('Subj-ConceptMap-1'!$I$15:$N$205,Q198+1,R198)</f>
        <v>0</v>
      </c>
    </row>
    <row r="199" spans="16:19" x14ac:dyDescent="0.75">
      <c r="P199" s="9">
        <v>185</v>
      </c>
      <c r="Q199" s="9">
        <f t="shared" si="19"/>
        <v>30</v>
      </c>
      <c r="R199" s="9">
        <f t="shared" si="20"/>
        <v>5</v>
      </c>
      <c r="S199" s="14" cm="1">
        <f t="array" ref="S199">INDEX('Subj-ConceptMap-1'!$I$15:$N$205,Q199+1,R199)</f>
        <v>0</v>
      </c>
    </row>
    <row r="200" spans="16:19" x14ac:dyDescent="0.75">
      <c r="P200" s="9">
        <v>186</v>
      </c>
      <c r="Q200" s="9">
        <f t="shared" si="19"/>
        <v>30</v>
      </c>
      <c r="R200" s="9">
        <f t="shared" si="20"/>
        <v>6</v>
      </c>
      <c r="S200" s="14" cm="1">
        <f t="array" ref="S200">INDEX('Subj-ConceptMap-1'!$I$15:$N$205,Q200+1,R200)</f>
        <v>0</v>
      </c>
    </row>
    <row r="201" spans="16:19" x14ac:dyDescent="0.75">
      <c r="P201" s="9">
        <v>187</v>
      </c>
      <c r="Q201" s="9">
        <f t="shared" si="19"/>
        <v>31</v>
      </c>
      <c r="R201" s="9">
        <f t="shared" si="20"/>
        <v>1</v>
      </c>
      <c r="S201" s="14" cm="1">
        <f t="array" ref="S201">INDEX('Subj-ConceptMap-1'!$I$15:$N$205,Q201+1,R201)</f>
        <v>0</v>
      </c>
    </row>
    <row r="202" spans="16:19" x14ac:dyDescent="0.75">
      <c r="P202" s="9">
        <v>188</v>
      </c>
      <c r="Q202" s="9">
        <f t="shared" si="19"/>
        <v>31</v>
      </c>
      <c r="R202" s="9">
        <f t="shared" si="20"/>
        <v>2</v>
      </c>
      <c r="S202" s="14" cm="1">
        <f t="array" ref="S202">INDEX('Subj-ConceptMap-1'!$I$15:$N$205,Q202+1,R202)</f>
        <v>0</v>
      </c>
    </row>
    <row r="203" spans="16:19" x14ac:dyDescent="0.75">
      <c r="P203" s="9">
        <v>189</v>
      </c>
      <c r="Q203" s="9">
        <f t="shared" si="19"/>
        <v>31</v>
      </c>
      <c r="R203" s="9">
        <f t="shared" si="20"/>
        <v>3</v>
      </c>
      <c r="S203" s="14" cm="1">
        <f t="array" ref="S203">INDEX('Subj-ConceptMap-1'!$I$15:$N$205,Q203+1,R203)</f>
        <v>0</v>
      </c>
    </row>
    <row r="204" spans="16:19" x14ac:dyDescent="0.75">
      <c r="P204" s="9">
        <v>190</v>
      </c>
      <c r="Q204" s="9">
        <f t="shared" si="19"/>
        <v>31</v>
      </c>
      <c r="R204" s="9">
        <f t="shared" si="20"/>
        <v>4</v>
      </c>
      <c r="S204" s="14" cm="1">
        <f t="array" ref="S204">INDEX('Subj-ConceptMap-1'!$I$15:$N$205,Q204+1,R204)</f>
        <v>0</v>
      </c>
    </row>
    <row r="205" spans="16:19" x14ac:dyDescent="0.75">
      <c r="P205" s="9">
        <v>191</v>
      </c>
      <c r="Q205" s="9">
        <f t="shared" si="19"/>
        <v>31</v>
      </c>
      <c r="R205" s="9">
        <f t="shared" si="20"/>
        <v>5</v>
      </c>
      <c r="S205" s="14" cm="1">
        <f t="array" ref="S205">INDEX('Subj-ConceptMap-1'!$I$15:$N$205,Q205+1,R205)</f>
        <v>0</v>
      </c>
    </row>
    <row r="206" spans="16:19" x14ac:dyDescent="0.75">
      <c r="P206" s="9">
        <v>192</v>
      </c>
      <c r="Q206" s="9">
        <f t="shared" si="19"/>
        <v>31</v>
      </c>
      <c r="R206" s="9">
        <f t="shared" si="20"/>
        <v>6</v>
      </c>
      <c r="S206" s="14" cm="1">
        <f t="array" ref="S206">INDEX('Subj-ConceptMap-1'!$I$15:$N$205,Q206+1,R206)</f>
        <v>0</v>
      </c>
    </row>
    <row r="207" spans="16:19" x14ac:dyDescent="0.75">
      <c r="P207" s="9">
        <v>193</v>
      </c>
      <c r="Q207" s="9">
        <f t="shared" si="19"/>
        <v>32</v>
      </c>
      <c r="R207" s="9">
        <f t="shared" si="20"/>
        <v>1</v>
      </c>
      <c r="S207" s="14" cm="1">
        <f t="array" ref="S207">INDEX('Subj-ConceptMap-1'!$I$15:$N$205,Q207+1,R207)</f>
        <v>0</v>
      </c>
    </row>
    <row r="208" spans="16:19" x14ac:dyDescent="0.75">
      <c r="P208" s="9">
        <v>194</v>
      </c>
      <c r="Q208" s="9">
        <f t="shared" ref="Q208:Q242" si="21">IF(MOD(P208,$Q$8)=0,P208/$Q$8-1,INT(P208/$Q$8))</f>
        <v>32</v>
      </c>
      <c r="R208" s="9">
        <f t="shared" ref="R208:R242" si="22">IF(MOD(P208,$Q$8)=0,$Q$8,MOD(P208,$Q$8))</f>
        <v>2</v>
      </c>
      <c r="S208" s="14" cm="1">
        <f t="array" ref="S208">INDEX('Subj-ConceptMap-1'!$I$15:$N$205,Q208+1,R208)</f>
        <v>0</v>
      </c>
    </row>
    <row r="209" spans="16:19" x14ac:dyDescent="0.75">
      <c r="P209" s="9">
        <v>195</v>
      </c>
      <c r="Q209" s="9">
        <f t="shared" si="21"/>
        <v>32</v>
      </c>
      <c r="R209" s="9">
        <f t="shared" si="22"/>
        <v>3</v>
      </c>
      <c r="S209" s="14" cm="1">
        <f t="array" ref="S209">INDEX('Subj-ConceptMap-1'!$I$15:$N$205,Q209+1,R209)</f>
        <v>0</v>
      </c>
    </row>
    <row r="210" spans="16:19" x14ac:dyDescent="0.75">
      <c r="P210" s="9">
        <v>196</v>
      </c>
      <c r="Q210" s="9">
        <f t="shared" si="21"/>
        <v>32</v>
      </c>
      <c r="R210" s="9">
        <f t="shared" si="22"/>
        <v>4</v>
      </c>
      <c r="S210" s="14" cm="1">
        <f t="array" ref="S210">INDEX('Subj-ConceptMap-1'!$I$15:$N$205,Q210+1,R210)</f>
        <v>0</v>
      </c>
    </row>
    <row r="211" spans="16:19" x14ac:dyDescent="0.75">
      <c r="P211" s="9">
        <v>197</v>
      </c>
      <c r="Q211" s="9">
        <f t="shared" si="21"/>
        <v>32</v>
      </c>
      <c r="R211" s="9">
        <f t="shared" si="22"/>
        <v>5</v>
      </c>
      <c r="S211" s="14" cm="1">
        <f t="array" ref="S211">INDEX('Subj-ConceptMap-1'!$I$15:$N$205,Q211+1,R211)</f>
        <v>0</v>
      </c>
    </row>
    <row r="212" spans="16:19" x14ac:dyDescent="0.75">
      <c r="P212" s="9">
        <v>198</v>
      </c>
      <c r="Q212" s="9">
        <f t="shared" si="21"/>
        <v>32</v>
      </c>
      <c r="R212" s="9">
        <f t="shared" si="22"/>
        <v>6</v>
      </c>
      <c r="S212" s="14" cm="1">
        <f t="array" ref="S212">INDEX('Subj-ConceptMap-1'!$I$15:$N$205,Q212+1,R212)</f>
        <v>0</v>
      </c>
    </row>
    <row r="213" spans="16:19" x14ac:dyDescent="0.75">
      <c r="P213" s="9">
        <v>199</v>
      </c>
      <c r="Q213" s="9">
        <f t="shared" si="21"/>
        <v>33</v>
      </c>
      <c r="R213" s="9">
        <f t="shared" si="22"/>
        <v>1</v>
      </c>
      <c r="S213" s="14" cm="1">
        <f t="array" ref="S213">INDEX('Subj-ConceptMap-1'!$I$15:$N$205,Q213+1,R213)</f>
        <v>0</v>
      </c>
    </row>
    <row r="214" spans="16:19" x14ac:dyDescent="0.75">
      <c r="P214" s="9">
        <v>200</v>
      </c>
      <c r="Q214" s="9">
        <f t="shared" si="21"/>
        <v>33</v>
      </c>
      <c r="R214" s="9">
        <f t="shared" si="22"/>
        <v>2</v>
      </c>
      <c r="S214" s="14" cm="1">
        <f t="array" ref="S214">INDEX('Subj-ConceptMap-1'!$I$15:$N$205,Q214+1,R214)</f>
        <v>0</v>
      </c>
    </row>
    <row r="215" spans="16:19" x14ac:dyDescent="0.75">
      <c r="P215" s="9">
        <v>201</v>
      </c>
      <c r="Q215" s="9">
        <f t="shared" si="21"/>
        <v>33</v>
      </c>
      <c r="R215" s="9">
        <f t="shared" si="22"/>
        <v>3</v>
      </c>
      <c r="S215" s="14" cm="1">
        <f t="array" ref="S215">INDEX('Subj-ConceptMap-1'!$I$15:$N$205,Q215+1,R215)</f>
        <v>0</v>
      </c>
    </row>
    <row r="216" spans="16:19" x14ac:dyDescent="0.75">
      <c r="P216" s="9">
        <v>202</v>
      </c>
      <c r="Q216" s="9">
        <f t="shared" si="21"/>
        <v>33</v>
      </c>
      <c r="R216" s="9">
        <f t="shared" si="22"/>
        <v>4</v>
      </c>
      <c r="S216" s="14" cm="1">
        <f t="array" ref="S216">INDEX('Subj-ConceptMap-1'!$I$15:$N$205,Q216+1,R216)</f>
        <v>0</v>
      </c>
    </row>
    <row r="217" spans="16:19" x14ac:dyDescent="0.75">
      <c r="P217" s="9">
        <v>203</v>
      </c>
      <c r="Q217" s="9">
        <f t="shared" si="21"/>
        <v>33</v>
      </c>
      <c r="R217" s="9">
        <f t="shared" si="22"/>
        <v>5</v>
      </c>
      <c r="S217" s="14" cm="1">
        <f t="array" ref="S217">INDEX('Subj-ConceptMap-1'!$I$15:$N$205,Q217+1,R217)</f>
        <v>0</v>
      </c>
    </row>
    <row r="218" spans="16:19" x14ac:dyDescent="0.75">
      <c r="P218" s="9">
        <v>204</v>
      </c>
      <c r="Q218" s="9">
        <f t="shared" si="21"/>
        <v>33</v>
      </c>
      <c r="R218" s="9">
        <f t="shared" si="22"/>
        <v>6</v>
      </c>
      <c r="S218" s="14" cm="1">
        <f t="array" ref="S218">INDEX('Subj-ConceptMap-1'!$I$15:$N$205,Q218+1,R218)</f>
        <v>0</v>
      </c>
    </row>
    <row r="219" spans="16:19" x14ac:dyDescent="0.75">
      <c r="P219" s="9">
        <v>205</v>
      </c>
      <c r="Q219" s="9">
        <f t="shared" si="21"/>
        <v>34</v>
      </c>
      <c r="R219" s="9">
        <f t="shared" si="22"/>
        <v>1</v>
      </c>
      <c r="S219" s="14" cm="1">
        <f t="array" ref="S219">INDEX('Subj-ConceptMap-1'!$I$15:$N$205,Q219+1,R219)</f>
        <v>0</v>
      </c>
    </row>
    <row r="220" spans="16:19" x14ac:dyDescent="0.75">
      <c r="P220" s="9">
        <v>206</v>
      </c>
      <c r="Q220" s="9">
        <f t="shared" si="21"/>
        <v>34</v>
      </c>
      <c r="R220" s="9">
        <f t="shared" si="22"/>
        <v>2</v>
      </c>
      <c r="S220" s="14" cm="1">
        <f t="array" ref="S220">INDEX('Subj-ConceptMap-1'!$I$15:$N$205,Q220+1,R220)</f>
        <v>0</v>
      </c>
    </row>
    <row r="221" spans="16:19" x14ac:dyDescent="0.75">
      <c r="P221" s="9">
        <v>207</v>
      </c>
      <c r="Q221" s="9">
        <f t="shared" si="21"/>
        <v>34</v>
      </c>
      <c r="R221" s="9">
        <f t="shared" si="22"/>
        <v>3</v>
      </c>
      <c r="S221" s="14" cm="1">
        <f t="array" ref="S221">INDEX('Subj-ConceptMap-1'!$I$15:$N$205,Q221+1,R221)</f>
        <v>0</v>
      </c>
    </row>
    <row r="222" spans="16:19" x14ac:dyDescent="0.75">
      <c r="P222" s="9">
        <v>208</v>
      </c>
      <c r="Q222" s="9">
        <f t="shared" si="21"/>
        <v>34</v>
      </c>
      <c r="R222" s="9">
        <f t="shared" si="22"/>
        <v>4</v>
      </c>
      <c r="S222" s="14" cm="1">
        <f t="array" ref="S222">INDEX('Subj-ConceptMap-1'!$I$15:$N$205,Q222+1,R222)</f>
        <v>0</v>
      </c>
    </row>
    <row r="223" spans="16:19" x14ac:dyDescent="0.75">
      <c r="P223" s="9">
        <v>209</v>
      </c>
      <c r="Q223" s="9">
        <f t="shared" si="21"/>
        <v>34</v>
      </c>
      <c r="R223" s="9">
        <f t="shared" si="22"/>
        <v>5</v>
      </c>
      <c r="S223" s="14" cm="1">
        <f t="array" ref="S223">INDEX('Subj-ConceptMap-1'!$I$15:$N$205,Q223+1,R223)</f>
        <v>0</v>
      </c>
    </row>
    <row r="224" spans="16:19" x14ac:dyDescent="0.75">
      <c r="P224" s="9">
        <v>210</v>
      </c>
      <c r="Q224" s="9">
        <f t="shared" si="21"/>
        <v>34</v>
      </c>
      <c r="R224" s="9">
        <f t="shared" si="22"/>
        <v>6</v>
      </c>
      <c r="S224" s="14" cm="1">
        <f t="array" ref="S224">INDEX('Subj-ConceptMap-1'!$I$15:$N$205,Q224+1,R224)</f>
        <v>0</v>
      </c>
    </row>
    <row r="225" spans="16:19" x14ac:dyDescent="0.75">
      <c r="P225" s="9">
        <v>211</v>
      </c>
      <c r="Q225" s="9">
        <f t="shared" si="21"/>
        <v>35</v>
      </c>
      <c r="R225" s="9">
        <f t="shared" si="22"/>
        <v>1</v>
      </c>
      <c r="S225" s="14" cm="1">
        <f t="array" ref="S225">INDEX('Subj-ConceptMap-1'!$I$15:$N$205,Q225+1,R225)</f>
        <v>0</v>
      </c>
    </row>
    <row r="226" spans="16:19" x14ac:dyDescent="0.75">
      <c r="P226" s="9">
        <v>212</v>
      </c>
      <c r="Q226" s="9">
        <f t="shared" si="21"/>
        <v>35</v>
      </c>
      <c r="R226" s="9">
        <f t="shared" si="22"/>
        <v>2</v>
      </c>
      <c r="S226" s="14" cm="1">
        <f t="array" ref="S226">INDEX('Subj-ConceptMap-1'!$I$15:$N$205,Q226+1,R226)</f>
        <v>0</v>
      </c>
    </row>
    <row r="227" spans="16:19" x14ac:dyDescent="0.75">
      <c r="P227" s="9">
        <v>213</v>
      </c>
      <c r="Q227" s="9">
        <f t="shared" si="21"/>
        <v>35</v>
      </c>
      <c r="R227" s="9">
        <f t="shared" si="22"/>
        <v>3</v>
      </c>
      <c r="S227" s="14" cm="1">
        <f t="array" ref="S227">INDEX('Subj-ConceptMap-1'!$I$15:$N$205,Q227+1,R227)</f>
        <v>0</v>
      </c>
    </row>
    <row r="228" spans="16:19" x14ac:dyDescent="0.75">
      <c r="P228" s="9">
        <v>214</v>
      </c>
      <c r="Q228" s="9">
        <f t="shared" si="21"/>
        <v>35</v>
      </c>
      <c r="R228" s="9">
        <f t="shared" si="22"/>
        <v>4</v>
      </c>
      <c r="S228" s="14" cm="1">
        <f t="array" ref="S228">INDEX('Subj-ConceptMap-1'!$I$15:$N$205,Q228+1,R228)</f>
        <v>0</v>
      </c>
    </row>
    <row r="229" spans="16:19" x14ac:dyDescent="0.75">
      <c r="P229" s="9">
        <v>215</v>
      </c>
      <c r="Q229" s="9">
        <f t="shared" si="21"/>
        <v>35</v>
      </c>
      <c r="R229" s="9">
        <f t="shared" si="22"/>
        <v>5</v>
      </c>
      <c r="S229" s="14" cm="1">
        <f t="array" ref="S229">INDEX('Subj-ConceptMap-1'!$I$15:$N$205,Q229+1,R229)</f>
        <v>0</v>
      </c>
    </row>
    <row r="230" spans="16:19" x14ac:dyDescent="0.75">
      <c r="P230" s="9">
        <v>216</v>
      </c>
      <c r="Q230" s="9">
        <f t="shared" si="21"/>
        <v>35</v>
      </c>
      <c r="R230" s="9">
        <f t="shared" si="22"/>
        <v>6</v>
      </c>
      <c r="S230" s="14" cm="1">
        <f t="array" ref="S230">INDEX('Subj-ConceptMap-1'!$I$15:$N$205,Q230+1,R230)</f>
        <v>0</v>
      </c>
    </row>
    <row r="231" spans="16:19" x14ac:dyDescent="0.75">
      <c r="P231" s="9">
        <v>217</v>
      </c>
      <c r="Q231" s="9">
        <f t="shared" si="21"/>
        <v>36</v>
      </c>
      <c r="R231" s="9">
        <f t="shared" si="22"/>
        <v>1</v>
      </c>
      <c r="S231" s="14" cm="1">
        <f t="array" ref="S231">INDEX('Subj-ConceptMap-1'!$I$15:$N$205,Q231+1,R231)</f>
        <v>0</v>
      </c>
    </row>
    <row r="232" spans="16:19" x14ac:dyDescent="0.75">
      <c r="P232" s="9">
        <v>218</v>
      </c>
      <c r="Q232" s="9">
        <f t="shared" si="21"/>
        <v>36</v>
      </c>
      <c r="R232" s="9">
        <f t="shared" si="22"/>
        <v>2</v>
      </c>
      <c r="S232" s="14" cm="1">
        <f t="array" ref="S232">INDEX('Subj-ConceptMap-1'!$I$15:$N$205,Q232+1,R232)</f>
        <v>0</v>
      </c>
    </row>
    <row r="233" spans="16:19" x14ac:dyDescent="0.75">
      <c r="P233" s="9">
        <v>219</v>
      </c>
      <c r="Q233" s="9">
        <f t="shared" si="21"/>
        <v>36</v>
      </c>
      <c r="R233" s="9">
        <f t="shared" si="22"/>
        <v>3</v>
      </c>
      <c r="S233" s="14" cm="1">
        <f t="array" ref="S233">INDEX('Subj-ConceptMap-1'!$I$15:$N$205,Q233+1,R233)</f>
        <v>0</v>
      </c>
    </row>
    <row r="234" spans="16:19" x14ac:dyDescent="0.75">
      <c r="P234" s="9">
        <v>220</v>
      </c>
      <c r="Q234" s="9">
        <f t="shared" si="21"/>
        <v>36</v>
      </c>
      <c r="R234" s="9">
        <f t="shared" si="22"/>
        <v>4</v>
      </c>
      <c r="S234" s="14" cm="1">
        <f t="array" ref="S234">INDEX('Subj-ConceptMap-1'!$I$15:$N$205,Q234+1,R234)</f>
        <v>0</v>
      </c>
    </row>
    <row r="235" spans="16:19" x14ac:dyDescent="0.75">
      <c r="P235" s="9">
        <v>221</v>
      </c>
      <c r="Q235" s="9">
        <f t="shared" si="21"/>
        <v>36</v>
      </c>
      <c r="R235" s="9">
        <f t="shared" si="22"/>
        <v>5</v>
      </c>
      <c r="S235" s="14" cm="1">
        <f t="array" ref="S235">INDEX('Subj-ConceptMap-1'!$I$15:$N$205,Q235+1,R235)</f>
        <v>0</v>
      </c>
    </row>
    <row r="236" spans="16:19" x14ac:dyDescent="0.75">
      <c r="P236" s="9">
        <v>222</v>
      </c>
      <c r="Q236" s="9">
        <f t="shared" si="21"/>
        <v>36</v>
      </c>
      <c r="R236" s="9">
        <f t="shared" si="22"/>
        <v>6</v>
      </c>
      <c r="S236" s="14" cm="1">
        <f t="array" ref="S236">INDEX('Subj-ConceptMap-1'!$I$15:$N$205,Q236+1,R236)</f>
        <v>0</v>
      </c>
    </row>
    <row r="237" spans="16:19" x14ac:dyDescent="0.75">
      <c r="P237" s="9">
        <v>223</v>
      </c>
      <c r="Q237" s="9">
        <f t="shared" si="21"/>
        <v>37</v>
      </c>
      <c r="R237" s="9">
        <f t="shared" si="22"/>
        <v>1</v>
      </c>
      <c r="S237" s="14" cm="1">
        <f t="array" ref="S237">INDEX('Subj-ConceptMap-1'!$I$15:$N$205,Q237+1,R237)</f>
        <v>0</v>
      </c>
    </row>
    <row r="238" spans="16:19" x14ac:dyDescent="0.75">
      <c r="P238" s="9">
        <v>224</v>
      </c>
      <c r="Q238" s="9">
        <f t="shared" si="21"/>
        <v>37</v>
      </c>
      <c r="R238" s="9">
        <f t="shared" si="22"/>
        <v>2</v>
      </c>
      <c r="S238" s="14" cm="1">
        <f t="array" ref="S238">INDEX('Subj-ConceptMap-1'!$I$15:$N$205,Q238+1,R238)</f>
        <v>0</v>
      </c>
    </row>
    <row r="239" spans="16:19" x14ac:dyDescent="0.75">
      <c r="P239" s="9">
        <v>225</v>
      </c>
      <c r="Q239" s="9">
        <f t="shared" si="21"/>
        <v>37</v>
      </c>
      <c r="R239" s="9">
        <f t="shared" si="22"/>
        <v>3</v>
      </c>
      <c r="S239" s="14" cm="1">
        <f t="array" ref="S239">INDEX('Subj-ConceptMap-1'!$I$15:$N$205,Q239+1,R239)</f>
        <v>0</v>
      </c>
    </row>
    <row r="240" spans="16:19" x14ac:dyDescent="0.75">
      <c r="P240" s="9">
        <v>226</v>
      </c>
      <c r="Q240" s="9">
        <f t="shared" si="21"/>
        <v>37</v>
      </c>
      <c r="R240" s="9">
        <f t="shared" si="22"/>
        <v>4</v>
      </c>
      <c r="S240" s="14" cm="1">
        <f t="array" ref="S240">INDEX('Subj-ConceptMap-1'!$I$15:$N$205,Q240+1,R240)</f>
        <v>0</v>
      </c>
    </row>
    <row r="241" spans="16:19" x14ac:dyDescent="0.75">
      <c r="P241" s="9">
        <v>227</v>
      </c>
      <c r="Q241" s="9">
        <f t="shared" si="21"/>
        <v>37</v>
      </c>
      <c r="R241" s="9">
        <f t="shared" si="22"/>
        <v>5</v>
      </c>
      <c r="S241" s="14" cm="1">
        <f t="array" ref="S241">INDEX('Subj-ConceptMap-1'!$I$15:$N$205,Q241+1,R241)</f>
        <v>0</v>
      </c>
    </row>
    <row r="242" spans="16:19" x14ac:dyDescent="0.75">
      <c r="P242" s="9">
        <v>228</v>
      </c>
      <c r="Q242" s="9">
        <f t="shared" si="21"/>
        <v>37</v>
      </c>
      <c r="R242" s="9">
        <f t="shared" si="22"/>
        <v>6</v>
      </c>
      <c r="S242" s="14" cm="1">
        <f t="array" ref="S242">INDEX('Subj-ConceptMap-1'!$I$15:$N$205,Q242+1,R242)</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8EAB-370A-45BC-ABC9-B184097D9C33}">
  <sheetPr codeName="Foglio76">
    <tabColor theme="0" tint="-0.499984740745262"/>
  </sheetPr>
  <dimension ref="A2:S224"/>
  <sheetViews>
    <sheetView zoomScale="70" zoomScaleNormal="70" workbookViewId="0">
      <selection activeCell="P81" sqref="P81:S1048576"/>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1324</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1308</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Subj!B5</f>
        <v>Subject</v>
      </c>
      <c r="C14" s="9"/>
      <c r="D14" s="4" t="s">
        <v>1131</v>
      </c>
      <c r="E14" s="8"/>
      <c r="F14" s="9"/>
      <c r="G14" s="14"/>
      <c r="I14" s="14"/>
      <c r="J14" s="9"/>
      <c r="K14" s="9"/>
      <c r="L14" s="9"/>
      <c r="M14" s="59"/>
      <c r="N14" s="62"/>
    </row>
    <row r="15" spans="1:19" ht="44.25" x14ac:dyDescent="0.75">
      <c r="A15" s="22"/>
      <c r="B15" s="9" t="str">
        <f>Subj!B8</f>
        <v>identification</v>
      </c>
      <c r="C15" s="9" t="str">
        <f>Subj!C8</f>
        <v>A.1.1 Identification of the patient/subject</v>
      </c>
      <c r="D15" s="9" t="s">
        <v>201</v>
      </c>
      <c r="E15" s="54"/>
      <c r="F15" s="63" t="s">
        <v>193</v>
      </c>
      <c r="G15" s="70"/>
      <c r="H15" s="64"/>
      <c r="I15" s="14" t="str">
        <f>"* group[=].element[+].code = #"&amp;$B$14&amp;"."&amp;B15</f>
        <v>* group[=].element[+].code = #Subject.identification</v>
      </c>
      <c r="J15" s="14" t="str">
        <f t="shared" ref="J15:J16" si="0">"* group[=].element[=].display = ##34#"&amp;C15&amp;"##34#"</f>
        <v>* group[=].element[=].display = ##34#A.1.1 Identification of the patient/subject##34#</v>
      </c>
      <c r="K15" s="14" t="str">
        <f>IF(F15="unmatched","//-- unmatched",IF(D15="","* group[=].element[=].target.code = #"&amp;$D$14,"* group[=].element[=].target.code = #"&amp;$D$14&amp;"."&amp;D15))</f>
        <v>* group[=].element[=].target.code = #Condition.subject</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INDEX('Subj-ConceptMap-2'!$I$15:$N$187,Q15+1,R15)</f>
        <v>* group[=].element[+].code = #Subject.identification</v>
      </c>
    </row>
    <row r="16" spans="1:19" ht="59" x14ac:dyDescent="0.75">
      <c r="B16" s="9" t="str">
        <f>Subj!B25</f>
        <v>hpToContact</v>
      </c>
      <c r="C16" s="9" t="str">
        <f>Subj!C25</f>
        <v>A.1.2.2 Preferred HP to contact</v>
      </c>
      <c r="D16" s="14" t="s">
        <v>1326</v>
      </c>
      <c r="E16" s="14"/>
      <c r="F16" s="63" t="s">
        <v>193</v>
      </c>
      <c r="G16" s="79" t="s">
        <v>1325</v>
      </c>
      <c r="H16" s="64"/>
      <c r="I16" s="14" t="str">
        <f t="shared" ref="I16" si="4">"* group[=].element[+].code = #"&amp;$B$14&amp;"."&amp;B16</f>
        <v>* group[=].element[+].code = #Subject.hpToContact</v>
      </c>
      <c r="J16" s="14" t="str">
        <f t="shared" si="0"/>
        <v>* group[=].element[=].display = ##34#A.1.2.2 Preferred HP to contact##34#</v>
      </c>
      <c r="K16" s="14" t="str">
        <f t="shared" ref="K16" si="5">IF(F16="unmatched","//-- unmatched",IF(D16="","* group[=].element[=].target.code = #"&amp;$D$14,"* group[=].element[=].target.code = #"&amp;$D$14&amp;"."&amp;D16))</f>
        <v>* group[=].element[=].target.code = #Condition.participant.actor</v>
      </c>
      <c r="L16" s="14" t="str">
        <f t="shared" si="1"/>
        <v>* group[=].element[=].target.display = ##34###34#</v>
      </c>
      <c r="M16" s="14" t="str">
        <f t="shared" si="2"/>
        <v>* group[=].element[=].target.equivalence = #relatedto</v>
      </c>
      <c r="N16" s="14" t="str">
        <f t="shared" si="3"/>
        <v>* group[=].element[=].target.comment = ##34#where function = TBD##34#</v>
      </c>
      <c r="P16" s="9">
        <v>2</v>
      </c>
      <c r="Q16" s="9">
        <f t="shared" ref="Q16:Q80" si="6">IF(MOD(P16,$Q$8)=0,P16/$Q$8-1,INT(P16/$Q$8))</f>
        <v>0</v>
      </c>
      <c r="R16" s="9">
        <f t="shared" ref="R16:R54" si="7">IF(MOD(P16,$Q$8)=0,$Q$8,MOD(P16,$Q$8))</f>
        <v>2</v>
      </c>
      <c r="S16" s="14" t="str" cm="1">
        <f t="array" ref="S16">INDEX('Subj-ConceptMap-2'!$I$15:$N$187,Q16+1,R16)</f>
        <v>* group[=].element[=].display = ##34#A.1.1 Identification of the patient/subject##34#</v>
      </c>
    </row>
    <row r="17" spans="1:19" ht="73.75" x14ac:dyDescent="0.75">
      <c r="B17" s="9" t="str">
        <f>Subj!B26</f>
        <v>hpToContact.name</v>
      </c>
      <c r="C17" s="9" t="str">
        <f>Subj!C26</f>
        <v>A.1.2.2.1 Name of the HP</v>
      </c>
      <c r="D17" s="14" t="s">
        <v>1328</v>
      </c>
      <c r="E17" s="14"/>
      <c r="F17" s="63" t="s">
        <v>193</v>
      </c>
      <c r="G17" s="79" t="s">
        <v>1329</v>
      </c>
      <c r="H17" s="64"/>
      <c r="I17" s="14" t="str">
        <f t="shared" ref="I17:I23" si="8">"* group[=].element[+].code = #"&amp;$B$14&amp;"."&amp;B17</f>
        <v>* group[=].element[+].code = #Subject.hpToContact.name</v>
      </c>
      <c r="J17" s="14" t="str">
        <f t="shared" ref="J17:J23" si="9">"* group[=].element[=].display = ##34#"&amp;C17&amp;"##34#"</f>
        <v>* group[=].element[=].display = ##34#A.1.2.2.1 Name of the HP##34#</v>
      </c>
      <c r="K17" s="14" t="str">
        <f t="shared" ref="K17:K23" si="10">IF(F17="unmatched","//-- unmatched",IF(D17="","* group[=].element[=].target.code = #"&amp;$D$14,"* group[=].element[=].target.code = #"&amp;$D$14&amp;"."&amp;D17))</f>
        <v>* group[=].element[=].target.code = #Condition.participant.actor.practitioner.name</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##34#where function = TBD AND actor of type PracticionerRole##34#</v>
      </c>
      <c r="P17" s="9">
        <v>3</v>
      </c>
      <c r="Q17" s="9">
        <f t="shared" si="6"/>
        <v>0</v>
      </c>
      <c r="R17" s="9">
        <f t="shared" si="7"/>
        <v>3</v>
      </c>
      <c r="S17" s="14" t="str" cm="1">
        <f t="array" ref="S17">INDEX('Subj-ConceptMap-2'!$I$15:$N$187,Q17+1,R17)</f>
        <v>* group[=].element[=].target.code = #Condition.subject</v>
      </c>
    </row>
    <row r="18" spans="1:19" ht="73.75" x14ac:dyDescent="0.75">
      <c r="B18" s="9" t="str">
        <f>Subj!B27</f>
        <v>hpToContact.role</v>
      </c>
      <c r="C18" s="9" t="str">
        <f>Subj!C27</f>
        <v>A.1.2.2.2 Role of the HP</v>
      </c>
      <c r="D18" s="14" t="s">
        <v>1330</v>
      </c>
      <c r="E18" s="14"/>
      <c r="F18" s="63" t="s">
        <v>193</v>
      </c>
      <c r="G18" s="79" t="s">
        <v>1329</v>
      </c>
      <c r="H18" s="64"/>
      <c r="I18" s="14" t="str">
        <f t="shared" si="8"/>
        <v>* group[=].element[+].code = #Subject.hpToContact.role</v>
      </c>
      <c r="J18" s="14" t="str">
        <f t="shared" si="9"/>
        <v>* group[=].element[=].display = ##34#A.1.2.2.2 Role of the HP##34#</v>
      </c>
      <c r="K18" s="14" t="str">
        <f t="shared" si="10"/>
        <v>* group[=].element[=].target.code = #Condition.participant.actor.code</v>
      </c>
      <c r="L18" s="14" t="str">
        <f t="shared" si="11"/>
        <v>* group[=].element[=].target.display = ##34###34#</v>
      </c>
      <c r="M18" s="14" t="str">
        <f t="shared" si="12"/>
        <v>* group[=].element[=].target.equivalence = #relatedto</v>
      </c>
      <c r="N18" s="14" t="str">
        <f t="shared" si="13"/>
        <v>* group[=].element[=].target.comment = ##34#where function = TBD AND actor of type PracticionerRole##34#</v>
      </c>
      <c r="P18" s="9">
        <v>4</v>
      </c>
      <c r="Q18" s="9">
        <f t="shared" si="6"/>
        <v>0</v>
      </c>
      <c r="R18" s="9">
        <f t="shared" si="7"/>
        <v>4</v>
      </c>
      <c r="S18" s="14" t="str" cm="1">
        <f t="array" ref="S18">INDEX('Subj-ConceptMap-2'!$I$15:$N$187,Q18+1,R18)</f>
        <v>* group[=].element[=].target.display = ##34###34#</v>
      </c>
    </row>
    <row r="19" spans="1:19" ht="73.75" x14ac:dyDescent="0.75">
      <c r="B19" s="9" t="str">
        <f>Subj!B28</f>
        <v>hpToContact.organization</v>
      </c>
      <c r="C19" s="9" t="str">
        <f>Subj!C28</f>
        <v>A.1.2.2.3 HP Organisation</v>
      </c>
      <c r="D19" s="14" t="s">
        <v>1327</v>
      </c>
      <c r="E19" s="14"/>
      <c r="F19" s="63" t="s">
        <v>193</v>
      </c>
      <c r="G19" s="79" t="s">
        <v>1329</v>
      </c>
      <c r="H19" s="64"/>
      <c r="I19" s="14" t="str">
        <f t="shared" si="8"/>
        <v>* group[=].element[+].code = #Subject.hpToContact.organization</v>
      </c>
      <c r="J19" s="14" t="str">
        <f t="shared" si="9"/>
        <v>* group[=].element[=].display = ##34#A.1.2.2.3 HP Organisation##34#</v>
      </c>
      <c r="K19" s="14" t="str">
        <f t="shared" si="10"/>
        <v>* group[=].element[=].target.code = #Condition.participant.actor.organization</v>
      </c>
      <c r="L19" s="14" t="str">
        <f t="shared" si="11"/>
        <v>* group[=].element[=].target.display = ##34###34#</v>
      </c>
      <c r="M19" s="14" t="str">
        <f t="shared" si="12"/>
        <v>* group[=].element[=].target.equivalence = #relatedto</v>
      </c>
      <c r="N19" s="14" t="str">
        <f t="shared" si="13"/>
        <v>* group[=].element[=].target.comment = ##34#where function = TBD AND actor of type PracticionerRole##34#</v>
      </c>
      <c r="P19" s="9">
        <v>5</v>
      </c>
      <c r="Q19" s="9">
        <f t="shared" si="6"/>
        <v>0</v>
      </c>
      <c r="R19" s="9">
        <f t="shared" si="7"/>
        <v>5</v>
      </c>
      <c r="S19" s="14" t="str" cm="1">
        <f t="array" ref="S19">INDEX('Subj-ConceptMap-2'!$I$15:$N$187,Q19+1,R19)</f>
        <v>* group[=].element[=].target.equivalence = #relatedto</v>
      </c>
    </row>
    <row r="20" spans="1:19" ht="73.75" x14ac:dyDescent="0.75">
      <c r="B20" s="9" t="str">
        <f>Subj!B29</f>
        <v>hpToContact.telephone</v>
      </c>
      <c r="C20" s="9" t="str">
        <f>Subj!C29</f>
        <v>A.1.2.2.4 Telephone no.</v>
      </c>
      <c r="D20" s="14" t="s">
        <v>1331</v>
      </c>
      <c r="E20" s="14"/>
      <c r="F20" s="63" t="s">
        <v>193</v>
      </c>
      <c r="G20" s="79" t="s">
        <v>1329</v>
      </c>
      <c r="H20" s="64"/>
      <c r="I20" s="14" t="str">
        <f t="shared" si="8"/>
        <v>* group[=].element[+].code = #Subject.hpToContact.telephone</v>
      </c>
      <c r="J20" s="14" t="str">
        <f t="shared" si="9"/>
        <v>* group[=].element[=].display = ##34#A.1.2.2.4 Telephone no.##34#</v>
      </c>
      <c r="K20" s="14" t="str">
        <f t="shared" si="10"/>
        <v>* group[=].element[=].target.code = #Condition.participant.actor.telecom</v>
      </c>
      <c r="L20" s="14" t="str">
        <f t="shared" si="11"/>
        <v>* group[=].element[=].target.display = ##34###34#</v>
      </c>
      <c r="M20" s="14" t="str">
        <f t="shared" si="12"/>
        <v>* group[=].element[=].target.equivalence = #relatedto</v>
      </c>
      <c r="N20" s="14" t="str">
        <f t="shared" si="13"/>
        <v>* group[=].element[=].target.comment = ##34#where function = TBD AND actor of type PracticionerRole##34#</v>
      </c>
      <c r="P20" s="9">
        <v>6</v>
      </c>
      <c r="Q20" s="9">
        <f t="shared" si="6"/>
        <v>0</v>
      </c>
      <c r="R20" s="9">
        <f t="shared" si="7"/>
        <v>6</v>
      </c>
      <c r="S20" s="14" t="str" cm="1">
        <f t="array" ref="S20">INDEX('Subj-ConceptMap-2'!$I$15:$N$187,Q20+1,R20)</f>
        <v/>
      </c>
    </row>
    <row r="21" spans="1:19" s="1" customFormat="1" ht="73.75" x14ac:dyDescent="0.75">
      <c r="A21"/>
      <c r="B21" s="9" t="str">
        <f>Subj!B30</f>
        <v>hpToContact.email</v>
      </c>
      <c r="C21" s="9" t="str">
        <f>Subj!C30</f>
        <v>A.1.2.2.5 Email</v>
      </c>
      <c r="D21" s="14" t="s">
        <v>1331</v>
      </c>
      <c r="E21" s="14"/>
      <c r="F21" s="63" t="s">
        <v>193</v>
      </c>
      <c r="G21" s="79" t="s">
        <v>1329</v>
      </c>
      <c r="H21" s="64"/>
      <c r="I21" s="14" t="str">
        <f t="shared" si="8"/>
        <v>* group[=].element[+].code = #Subject.hpToContact.email</v>
      </c>
      <c r="J21" s="14" t="str">
        <f t="shared" si="9"/>
        <v>* group[=].element[=].display = ##34#A.1.2.2.5 Email##34#</v>
      </c>
      <c r="K21" s="14" t="str">
        <f t="shared" si="10"/>
        <v>* group[=].element[=].target.code = #Condition.participant.actor.telecom</v>
      </c>
      <c r="L21" s="14" t="str">
        <f t="shared" si="11"/>
        <v>* group[=].element[=].target.display = ##34###34#</v>
      </c>
      <c r="M21" s="14" t="str">
        <f t="shared" si="12"/>
        <v>* group[=].element[=].target.equivalence = #relatedto</v>
      </c>
      <c r="N21" s="14" t="str">
        <f t="shared" si="13"/>
        <v>* group[=].element[=].target.comment = ##34#where function = TBD AND actor of type PracticionerRole##34#</v>
      </c>
      <c r="P21" s="9">
        <v>7</v>
      </c>
      <c r="Q21" s="9">
        <f t="shared" si="6"/>
        <v>1</v>
      </c>
      <c r="R21" s="9">
        <f t="shared" si="7"/>
        <v>1</v>
      </c>
      <c r="S21" s="14" t="str" cm="1">
        <f t="array" ref="S21">INDEX('Subj-ConceptMap-2'!$I$15:$N$187,Q21+1,R21)</f>
        <v>* group[=].element[+].code = #Subject.hpToContact</v>
      </c>
    </row>
    <row r="22" spans="1:19" s="1" customFormat="1" ht="88.5" x14ac:dyDescent="0.75">
      <c r="A22"/>
      <c r="B22" s="9" t="str">
        <f>Subj!B31</f>
        <v>hpToContact.affiliatedNetwork</v>
      </c>
      <c r="C22" s="9" t="str">
        <f>Subj!C31</f>
        <v>A.1.2.2.6 Network affiliation</v>
      </c>
      <c r="D22" s="14" t="s">
        <v>1327</v>
      </c>
      <c r="E22" s="14"/>
      <c r="F22" s="63" t="s">
        <v>193</v>
      </c>
      <c r="G22" s="79" t="s">
        <v>1333</v>
      </c>
      <c r="H22" s="64"/>
      <c r="I22" s="14" t="str">
        <f t="shared" si="8"/>
        <v>* group[=].element[+].code = #Subject.hpToContact.affiliatedNetwork</v>
      </c>
      <c r="J22" s="14" t="str">
        <f t="shared" si="9"/>
        <v>* group[=].element[=].display = ##34#A.1.2.2.6 Network affiliation##34#</v>
      </c>
      <c r="K22" s="14" t="str">
        <f t="shared" si="10"/>
        <v>* group[=].element[=].target.code = #Condition.participant.actor.organization</v>
      </c>
      <c r="L22" s="14" t="str">
        <f t="shared" si="11"/>
        <v>* group[=].element[=].target.display = ##34###34#</v>
      </c>
      <c r="M22" s="14" t="str">
        <f t="shared" si="12"/>
        <v>* group[=].element[=].target.equivalence = #relatedto</v>
      </c>
      <c r="N22" s="14" t="str">
        <f t="shared" si="13"/>
        <v>* group[=].element[=].target.comment = ##34#This might be described by using a CareTeam having this organization as participant.member##34#</v>
      </c>
      <c r="P22" s="9">
        <v>8</v>
      </c>
      <c r="Q22" s="9">
        <f t="shared" si="6"/>
        <v>1</v>
      </c>
      <c r="R22" s="9">
        <f t="shared" si="7"/>
        <v>2</v>
      </c>
      <c r="S22" s="14" t="str" cm="1">
        <f t="array" ref="S22">INDEX('Subj-ConceptMap-2'!$I$15:$N$187,Q22+1,R22)</f>
        <v>* group[=].element[=].display = ##34#A.1.2.2 Preferred HP to contact##34#</v>
      </c>
    </row>
    <row r="23" spans="1:19" s="1" customFormat="1" ht="73.75" x14ac:dyDescent="0.75">
      <c r="A23"/>
      <c r="B23" s="9" t="str">
        <f>Subj!B32</f>
        <v>hpToContact.relatedWith</v>
      </c>
      <c r="C23" s="9" t="str">
        <f>Subj!C32</f>
        <v>A.1.2.2.7 Related with</v>
      </c>
      <c r="D23" s="14"/>
      <c r="E23" s="14"/>
      <c r="F23" s="63" t="s">
        <v>193</v>
      </c>
      <c r="G23" s="79" t="s">
        <v>1332</v>
      </c>
      <c r="H23" s="64"/>
      <c r="I23" s="14" t="str">
        <f t="shared" si="8"/>
        <v>* group[=].element[+].code = #Subject.hpToContact.relatedWith</v>
      </c>
      <c r="J23" s="14" t="str">
        <f t="shared" si="9"/>
        <v>* group[=].element[=].display = ##34#A.1.2.2.7 Related with##34#</v>
      </c>
      <c r="K23" s="14" t="str">
        <f t="shared" si="10"/>
        <v>* group[=].element[=].target.code = #Condition</v>
      </c>
      <c r="L23" s="14" t="str">
        <f t="shared" si="11"/>
        <v>* group[=].element[=].target.display = ##34###34#</v>
      </c>
      <c r="M23" s="14" t="str">
        <f t="shared" si="12"/>
        <v>* group[=].element[=].target.equivalence = #relatedto</v>
      </c>
      <c r="N23" s="14" t="str">
        <f t="shared" si="13"/>
        <v>* group[=].element[=].target.comment = ##34#The contact is intrinsically connected with the Condition##34#</v>
      </c>
      <c r="P23" s="9">
        <v>9</v>
      </c>
      <c r="Q23" s="9">
        <f t="shared" si="6"/>
        <v>1</v>
      </c>
      <c r="R23" s="9">
        <f t="shared" si="7"/>
        <v>3</v>
      </c>
      <c r="S23" s="14" t="str" cm="1">
        <f t="array" ref="S23">INDEX('Subj-ConceptMap-2'!$I$15:$N$187,Q23+1,R23)</f>
        <v>* group[=].element[=].target.code = #Condition.participant.actor</v>
      </c>
    </row>
    <row r="24" spans="1:19" s="1" customFormat="1" x14ac:dyDescent="0.75">
      <c r="A24"/>
      <c r="B24" s="51">
        <f>Subj!B40</f>
        <v>0</v>
      </c>
      <c r="C24" s="51"/>
      <c r="F24" s="64"/>
      <c r="G24" s="81"/>
      <c r="H24" s="64"/>
      <c r="I24" s="64"/>
      <c r="J24" s="64"/>
      <c r="K24" s="64"/>
      <c r="L24" s="64"/>
      <c r="M24" s="64"/>
      <c r="N24" s="64"/>
      <c r="P24" s="9">
        <v>10</v>
      </c>
      <c r="Q24" s="9">
        <f t="shared" si="6"/>
        <v>1</v>
      </c>
      <c r="R24" s="9">
        <f t="shared" si="7"/>
        <v>4</v>
      </c>
      <c r="S24" s="14" t="str" cm="1">
        <f t="array" ref="S24">INDEX('Subj-ConceptMap-2'!$I$15:$N$187,Q24+1,R24)</f>
        <v>* group[=].element[=].target.display = ##34###34#</v>
      </c>
    </row>
    <row r="25" spans="1:19" s="1" customFormat="1" x14ac:dyDescent="0.75">
      <c r="A25"/>
      <c r="B25" s="9">
        <f>Subj!B41</f>
        <v>0</v>
      </c>
      <c r="C25" s="9"/>
      <c r="F25" s="64"/>
      <c r="G25" s="81"/>
      <c r="H25" s="64"/>
      <c r="I25" s="64"/>
      <c r="J25" s="64"/>
      <c r="K25" s="64"/>
      <c r="L25" s="64"/>
      <c r="M25" s="64"/>
      <c r="N25" s="64"/>
      <c r="P25" s="9">
        <v>11</v>
      </c>
      <c r="Q25" s="9">
        <f t="shared" si="6"/>
        <v>1</v>
      </c>
      <c r="R25" s="9">
        <f t="shared" si="7"/>
        <v>5</v>
      </c>
      <c r="S25" s="14" t="str" cm="1">
        <f t="array" ref="S25">INDEX('Subj-ConceptMap-2'!$I$15:$N$187,Q25+1,R25)</f>
        <v>* group[=].element[=].target.equivalence = #relatedto</v>
      </c>
    </row>
    <row r="26" spans="1:19" x14ac:dyDescent="0.75">
      <c r="B26" s="9">
        <f>Subj!B42</f>
        <v>0</v>
      </c>
      <c r="C26" s="9"/>
      <c r="F26" s="64"/>
      <c r="G26" s="81"/>
      <c r="H26" s="64"/>
      <c r="J26" s="64"/>
      <c r="K26" s="64"/>
      <c r="L26" s="64"/>
      <c r="M26" s="64"/>
      <c r="N26" s="64"/>
      <c r="P26" s="9">
        <v>12</v>
      </c>
      <c r="Q26" s="9">
        <f t="shared" si="6"/>
        <v>1</v>
      </c>
      <c r="R26" s="9">
        <f t="shared" si="7"/>
        <v>6</v>
      </c>
      <c r="S26" s="14" t="str" cm="1">
        <f t="array" ref="S26">INDEX('Subj-ConceptMap-2'!$I$15:$N$187,Q26+1,R26)</f>
        <v>* group[=].element[=].target.comment = ##34#where function = TBD##34#</v>
      </c>
    </row>
    <row r="27" spans="1:19" x14ac:dyDescent="0.75">
      <c r="B27" s="9">
        <f>Subj!B43</f>
        <v>0</v>
      </c>
      <c r="C27" s="9"/>
      <c r="F27" s="64"/>
      <c r="G27" s="81"/>
      <c r="H27" s="64"/>
      <c r="J27" s="64"/>
      <c r="K27" s="64"/>
      <c r="L27" s="64"/>
      <c r="M27" s="64"/>
      <c r="N27" s="64"/>
      <c r="P27" s="9">
        <v>13</v>
      </c>
      <c r="Q27" s="9">
        <f t="shared" si="6"/>
        <v>2</v>
      </c>
      <c r="R27" s="9">
        <f t="shared" si="7"/>
        <v>1</v>
      </c>
      <c r="S27" s="14" t="str" cm="1">
        <f t="array" ref="S27">INDEX('Subj-ConceptMap-2'!$I$15:$N$187,Q27+1,R27)</f>
        <v>* group[=].element[+].code = #Subject.hpToContact.name</v>
      </c>
    </row>
    <row r="28" spans="1:19" x14ac:dyDescent="0.75">
      <c r="B28" s="9">
        <f>Subj!B44</f>
        <v>0</v>
      </c>
      <c r="C28" s="9"/>
      <c r="F28" s="64"/>
      <c r="G28" s="81"/>
      <c r="H28" s="64"/>
      <c r="J28" s="64"/>
      <c r="K28" s="64"/>
      <c r="L28" s="64"/>
      <c r="M28" s="64"/>
      <c r="N28" s="64"/>
      <c r="P28" s="9">
        <v>14</v>
      </c>
      <c r="Q28" s="9">
        <f t="shared" si="6"/>
        <v>2</v>
      </c>
      <c r="R28" s="9">
        <f t="shared" si="7"/>
        <v>2</v>
      </c>
      <c r="S28" s="14" t="str" cm="1">
        <f t="array" ref="S28">INDEX('Subj-ConceptMap-2'!$I$15:$N$187,Q28+1,R28)</f>
        <v>* group[=].element[=].display = ##34#A.1.2.2.1 Name of the HP##34#</v>
      </c>
    </row>
    <row r="29" spans="1:19" x14ac:dyDescent="0.75">
      <c r="B29" s="9">
        <f>Subj!B45</f>
        <v>0</v>
      </c>
      <c r="C29" s="9"/>
      <c r="F29" s="64"/>
      <c r="G29" s="81"/>
      <c r="H29" s="64"/>
      <c r="J29" s="64"/>
      <c r="K29" s="64"/>
      <c r="L29" s="64"/>
      <c r="M29" s="64"/>
      <c r="N29" s="64"/>
      <c r="P29" s="9">
        <v>15</v>
      </c>
      <c r="Q29" s="9">
        <f t="shared" si="6"/>
        <v>2</v>
      </c>
      <c r="R29" s="9">
        <f t="shared" si="7"/>
        <v>3</v>
      </c>
      <c r="S29" s="14" t="str" cm="1">
        <f t="array" ref="S29">INDEX('Subj-ConceptMap-2'!$I$15:$N$187,Q29+1,R29)</f>
        <v>* group[=].element[=].target.code = #Condition.participant.actor.practitioner.name</v>
      </c>
    </row>
    <row r="30" spans="1:19" x14ac:dyDescent="0.75">
      <c r="E30"/>
      <c r="P30" s="9">
        <v>16</v>
      </c>
      <c r="Q30" s="9">
        <f t="shared" si="6"/>
        <v>2</v>
      </c>
      <c r="R30" s="9">
        <f t="shared" si="7"/>
        <v>4</v>
      </c>
      <c r="S30" s="14" t="str" cm="1">
        <f t="array" ref="S30">INDEX('Subj-ConceptMap-2'!$I$15:$N$187,Q30+1,R30)</f>
        <v>* group[=].element[=].target.display = ##34###34#</v>
      </c>
    </row>
    <row r="31" spans="1:19" x14ac:dyDescent="0.75">
      <c r="P31" s="9">
        <v>17</v>
      </c>
      <c r="Q31" s="9">
        <f t="shared" si="6"/>
        <v>2</v>
      </c>
      <c r="R31" s="9">
        <f t="shared" si="7"/>
        <v>5</v>
      </c>
      <c r="S31" s="14" t="str" cm="1">
        <f t="array" ref="S31">INDEX('Subj-ConceptMap-2'!$I$15:$N$187,Q31+1,R31)</f>
        <v>* group[=].element[=].target.equivalence = #relatedto</v>
      </c>
    </row>
    <row r="32" spans="1:19" ht="29.5" x14ac:dyDescent="0.75">
      <c r="P32" s="9">
        <v>18</v>
      </c>
      <c r="Q32" s="9">
        <f t="shared" si="6"/>
        <v>2</v>
      </c>
      <c r="R32" s="9">
        <f t="shared" si="7"/>
        <v>6</v>
      </c>
      <c r="S32" s="14" t="str" cm="1">
        <f t="array" ref="S32">INDEX('Subj-ConceptMap-2'!$I$15:$N$187,Q32+1,R32)</f>
        <v>* group[=].element[=].target.comment = ##34#where function = TBD AND actor of type PracticionerRole##34#</v>
      </c>
    </row>
    <row r="33" spans="16:19" x14ac:dyDescent="0.75">
      <c r="P33" s="9">
        <v>19</v>
      </c>
      <c r="Q33" s="9">
        <f t="shared" si="6"/>
        <v>3</v>
      </c>
      <c r="R33" s="9">
        <f t="shared" si="7"/>
        <v>1</v>
      </c>
      <c r="S33" s="14" t="str" cm="1">
        <f t="array" ref="S33">INDEX('Subj-ConceptMap-2'!$I$15:$N$187,Q33+1,R33)</f>
        <v>* group[=].element[+].code = #Subject.hpToContact.role</v>
      </c>
    </row>
    <row r="34" spans="16:19" x14ac:dyDescent="0.75">
      <c r="P34" s="9">
        <v>20</v>
      </c>
      <c r="Q34" s="9">
        <f t="shared" si="6"/>
        <v>3</v>
      </c>
      <c r="R34" s="9">
        <f t="shared" si="7"/>
        <v>2</v>
      </c>
      <c r="S34" s="14" t="str" cm="1">
        <f t="array" ref="S34">INDEX('Subj-ConceptMap-2'!$I$15:$N$187,Q34+1,R34)</f>
        <v>* group[=].element[=].display = ##34#A.1.2.2.2 Role of the HP##34#</v>
      </c>
    </row>
    <row r="35" spans="16:19" x14ac:dyDescent="0.75">
      <c r="P35" s="9">
        <v>21</v>
      </c>
      <c r="Q35" s="9">
        <f t="shared" si="6"/>
        <v>3</v>
      </c>
      <c r="R35" s="9">
        <f t="shared" si="7"/>
        <v>3</v>
      </c>
      <c r="S35" s="14" t="str" cm="1">
        <f t="array" ref="S35">INDEX('Subj-ConceptMap-2'!$I$15:$N$187,Q35+1,R35)</f>
        <v>* group[=].element[=].target.code = #Condition.participant.actor.code</v>
      </c>
    </row>
    <row r="36" spans="16:19" x14ac:dyDescent="0.75">
      <c r="P36" s="9">
        <v>22</v>
      </c>
      <c r="Q36" s="9">
        <f t="shared" si="6"/>
        <v>3</v>
      </c>
      <c r="R36" s="9">
        <f t="shared" si="7"/>
        <v>4</v>
      </c>
      <c r="S36" s="14" t="str" cm="1">
        <f t="array" ref="S36">INDEX('Subj-ConceptMap-2'!$I$15:$N$187,Q36+1,R36)</f>
        <v>* group[=].element[=].target.display = ##34###34#</v>
      </c>
    </row>
    <row r="37" spans="16:19" x14ac:dyDescent="0.75">
      <c r="P37" s="9">
        <v>23</v>
      </c>
      <c r="Q37" s="9">
        <f t="shared" si="6"/>
        <v>3</v>
      </c>
      <c r="R37" s="9">
        <f t="shared" si="7"/>
        <v>5</v>
      </c>
      <c r="S37" s="14" t="str" cm="1">
        <f t="array" ref="S37">INDEX('Subj-ConceptMap-2'!$I$15:$N$187,Q37+1,R37)</f>
        <v>* group[=].element[=].target.equivalence = #relatedto</v>
      </c>
    </row>
    <row r="38" spans="16:19" ht="29.5" x14ac:dyDescent="0.75">
      <c r="P38" s="9">
        <v>24</v>
      </c>
      <c r="Q38" s="9">
        <f t="shared" si="6"/>
        <v>3</v>
      </c>
      <c r="R38" s="9">
        <f t="shared" si="7"/>
        <v>6</v>
      </c>
      <c r="S38" s="14" t="str" cm="1">
        <f t="array" ref="S38">INDEX('Subj-ConceptMap-2'!$I$15:$N$187,Q38+1,R38)</f>
        <v>* group[=].element[=].target.comment = ##34#where function = TBD AND actor of type PracticionerRole##34#</v>
      </c>
    </row>
    <row r="39" spans="16:19" x14ac:dyDescent="0.75">
      <c r="P39" s="9">
        <v>25</v>
      </c>
      <c r="Q39" s="9">
        <f t="shared" si="6"/>
        <v>4</v>
      </c>
      <c r="R39" s="9">
        <f t="shared" si="7"/>
        <v>1</v>
      </c>
      <c r="S39" s="14" t="str" cm="1">
        <f t="array" ref="S39">INDEX('Subj-ConceptMap-2'!$I$15:$N$187,Q39+1,R39)</f>
        <v>* group[=].element[+].code = #Subject.hpToContact.organization</v>
      </c>
    </row>
    <row r="40" spans="16:19" x14ac:dyDescent="0.75">
      <c r="P40" s="9">
        <v>26</v>
      </c>
      <c r="Q40" s="9">
        <f t="shared" si="6"/>
        <v>4</v>
      </c>
      <c r="R40" s="9">
        <f t="shared" si="7"/>
        <v>2</v>
      </c>
      <c r="S40" s="14" t="str" cm="1">
        <f t="array" ref="S40">INDEX('Subj-ConceptMap-2'!$I$15:$N$187,Q40+1,R40)</f>
        <v>* group[=].element[=].display = ##34#A.1.2.2.3 HP Organisation##34#</v>
      </c>
    </row>
    <row r="41" spans="16:19" x14ac:dyDescent="0.75">
      <c r="P41" s="9">
        <v>27</v>
      </c>
      <c r="Q41" s="9">
        <f t="shared" si="6"/>
        <v>4</v>
      </c>
      <c r="R41" s="9">
        <f t="shared" si="7"/>
        <v>3</v>
      </c>
      <c r="S41" s="14" t="str" cm="1">
        <f t="array" ref="S41">INDEX('Subj-ConceptMap-2'!$I$15:$N$187,Q41+1,R41)</f>
        <v>* group[=].element[=].target.code = #Condition.participant.actor.organization</v>
      </c>
    </row>
    <row r="42" spans="16:19" x14ac:dyDescent="0.75">
      <c r="P42" s="9">
        <v>28</v>
      </c>
      <c r="Q42" s="9">
        <f t="shared" si="6"/>
        <v>4</v>
      </c>
      <c r="R42" s="9">
        <f t="shared" si="7"/>
        <v>4</v>
      </c>
      <c r="S42" s="14" t="str" cm="1">
        <f t="array" ref="S42">INDEX('Subj-ConceptMap-2'!$I$15:$N$187,Q42+1,R42)</f>
        <v>* group[=].element[=].target.display = ##34###34#</v>
      </c>
    </row>
    <row r="43" spans="16:19" x14ac:dyDescent="0.75">
      <c r="P43" s="9">
        <v>29</v>
      </c>
      <c r="Q43" s="9">
        <f t="shared" si="6"/>
        <v>4</v>
      </c>
      <c r="R43" s="9">
        <f t="shared" si="7"/>
        <v>5</v>
      </c>
      <c r="S43" s="14" t="str" cm="1">
        <f t="array" ref="S43">INDEX('Subj-ConceptMap-2'!$I$15:$N$187,Q43+1,R43)</f>
        <v>* group[=].element[=].target.equivalence = #relatedto</v>
      </c>
    </row>
    <row r="44" spans="16:19" ht="29.5" x14ac:dyDescent="0.75">
      <c r="P44" s="9">
        <v>30</v>
      </c>
      <c r="Q44" s="9">
        <f t="shared" si="6"/>
        <v>4</v>
      </c>
      <c r="R44" s="9">
        <f t="shared" si="7"/>
        <v>6</v>
      </c>
      <c r="S44" s="14" t="str" cm="1">
        <f t="array" ref="S44">INDEX('Subj-ConceptMap-2'!$I$15:$N$187,Q44+1,R44)</f>
        <v>* group[=].element[=].target.comment = ##34#where function = TBD AND actor of type PracticionerRole##34#</v>
      </c>
    </row>
    <row r="45" spans="16:19" x14ac:dyDescent="0.75">
      <c r="P45" s="9">
        <v>31</v>
      </c>
      <c r="Q45" s="9">
        <f t="shared" si="6"/>
        <v>5</v>
      </c>
      <c r="R45" s="9">
        <f t="shared" si="7"/>
        <v>1</v>
      </c>
      <c r="S45" s="14" t="str" cm="1">
        <f t="array" ref="S45">INDEX('Subj-ConceptMap-2'!$I$15:$N$187,Q45+1,R45)</f>
        <v>* group[=].element[+].code = #Subject.hpToContact.telephone</v>
      </c>
    </row>
    <row r="46" spans="16:19" x14ac:dyDescent="0.75">
      <c r="P46" s="9">
        <v>32</v>
      </c>
      <c r="Q46" s="9">
        <f t="shared" si="6"/>
        <v>5</v>
      </c>
      <c r="R46" s="9">
        <f t="shared" si="7"/>
        <v>2</v>
      </c>
      <c r="S46" s="14" t="str" cm="1">
        <f t="array" ref="S46">INDEX('Subj-ConceptMap-2'!$I$15:$N$187,Q46+1,R46)</f>
        <v>* group[=].element[=].display = ##34#A.1.2.2.4 Telephone no.##34#</v>
      </c>
    </row>
    <row r="47" spans="16:19" x14ac:dyDescent="0.75">
      <c r="P47" s="9">
        <v>33</v>
      </c>
      <c r="Q47" s="9">
        <f t="shared" si="6"/>
        <v>5</v>
      </c>
      <c r="R47" s="9">
        <f t="shared" si="7"/>
        <v>3</v>
      </c>
      <c r="S47" s="14" t="str" cm="1">
        <f t="array" ref="S47">INDEX('Subj-ConceptMap-2'!$I$15:$N$187,Q47+1,R47)</f>
        <v>* group[=].element[=].target.code = #Condition.participant.actor.telecom</v>
      </c>
    </row>
    <row r="48" spans="16:19" x14ac:dyDescent="0.75">
      <c r="P48" s="9">
        <v>34</v>
      </c>
      <c r="Q48" s="9">
        <f t="shared" si="6"/>
        <v>5</v>
      </c>
      <c r="R48" s="9">
        <f t="shared" si="7"/>
        <v>4</v>
      </c>
      <c r="S48" s="14" t="str" cm="1">
        <f t="array" ref="S48">INDEX('Subj-ConceptMap-2'!$I$15:$N$187,Q48+1,R48)</f>
        <v>* group[=].element[=].target.display = ##34###34#</v>
      </c>
    </row>
    <row r="49" spans="16:19" x14ac:dyDescent="0.75">
      <c r="P49" s="9">
        <v>35</v>
      </c>
      <c r="Q49" s="9">
        <f t="shared" si="6"/>
        <v>5</v>
      </c>
      <c r="R49" s="9">
        <f t="shared" si="7"/>
        <v>5</v>
      </c>
      <c r="S49" s="14" t="str" cm="1">
        <f t="array" ref="S49">INDEX('Subj-ConceptMap-2'!$I$15:$N$187,Q49+1,R49)</f>
        <v>* group[=].element[=].target.equivalence = #relatedto</v>
      </c>
    </row>
    <row r="50" spans="16:19" ht="29.5" x14ac:dyDescent="0.75">
      <c r="P50" s="9">
        <v>36</v>
      </c>
      <c r="Q50" s="9">
        <f t="shared" si="6"/>
        <v>5</v>
      </c>
      <c r="R50" s="9">
        <f t="shared" si="7"/>
        <v>6</v>
      </c>
      <c r="S50" s="14" t="str" cm="1">
        <f t="array" ref="S50">INDEX('Subj-ConceptMap-2'!$I$15:$N$187,Q50+1,R50)</f>
        <v>* group[=].element[=].target.comment = ##34#where function = TBD AND actor of type PracticionerRole##34#</v>
      </c>
    </row>
    <row r="51" spans="16:19" x14ac:dyDescent="0.75">
      <c r="P51" s="9">
        <v>37</v>
      </c>
      <c r="Q51" s="9">
        <f t="shared" si="6"/>
        <v>6</v>
      </c>
      <c r="R51" s="9">
        <f t="shared" si="7"/>
        <v>1</v>
      </c>
      <c r="S51" s="14" t="str" cm="1">
        <f t="array" ref="S51">INDEX('Subj-ConceptMap-2'!$I$15:$N$187,Q51+1,R51)</f>
        <v>* group[=].element[+].code = #Subject.hpToContact.email</v>
      </c>
    </row>
    <row r="52" spans="16:19" x14ac:dyDescent="0.75">
      <c r="P52" s="9">
        <v>38</v>
      </c>
      <c r="Q52" s="9">
        <f t="shared" si="6"/>
        <v>6</v>
      </c>
      <c r="R52" s="9">
        <f t="shared" si="7"/>
        <v>2</v>
      </c>
      <c r="S52" s="14" t="str" cm="1">
        <f t="array" ref="S52">INDEX('Subj-ConceptMap-2'!$I$15:$N$187,Q52+1,R52)</f>
        <v>* group[=].element[=].display = ##34#A.1.2.2.5 Email##34#</v>
      </c>
    </row>
    <row r="53" spans="16:19" x14ac:dyDescent="0.75">
      <c r="P53" s="9">
        <v>39</v>
      </c>
      <c r="Q53" s="9">
        <f t="shared" si="6"/>
        <v>6</v>
      </c>
      <c r="R53" s="9">
        <f t="shared" si="7"/>
        <v>3</v>
      </c>
      <c r="S53" s="14" t="str" cm="1">
        <f t="array" ref="S53">INDEX('Subj-ConceptMap-2'!$I$15:$N$187,Q53+1,R53)</f>
        <v>* group[=].element[=].target.code = #Condition.participant.actor.telecom</v>
      </c>
    </row>
    <row r="54" spans="16:19" x14ac:dyDescent="0.75">
      <c r="P54" s="9">
        <v>40</v>
      </c>
      <c r="Q54" s="9">
        <f t="shared" si="6"/>
        <v>6</v>
      </c>
      <c r="R54" s="9">
        <f t="shared" si="7"/>
        <v>4</v>
      </c>
      <c r="S54" s="14" t="str" cm="1">
        <f t="array" ref="S54">INDEX('Subj-ConceptMap-2'!$I$15:$N$187,Q54+1,R54)</f>
        <v>* group[=].element[=].target.display = ##34###34#</v>
      </c>
    </row>
    <row r="55" spans="16:19" x14ac:dyDescent="0.75">
      <c r="P55" s="9">
        <v>41</v>
      </c>
      <c r="Q55" s="9">
        <f t="shared" si="6"/>
        <v>6</v>
      </c>
      <c r="R55" s="9">
        <f t="shared" ref="R55:R73" si="14">IF(MOD(P55,$Q$8)=0,$Q$8,MOD(P55,$Q$8))</f>
        <v>5</v>
      </c>
      <c r="S55" s="14" t="str" cm="1">
        <f t="array" ref="S55">INDEX('Subj-ConceptMap-2'!$I$15:$N$187,Q55+1,R55)</f>
        <v>* group[=].element[=].target.equivalence = #relatedto</v>
      </c>
    </row>
    <row r="56" spans="16:19" ht="29.5" x14ac:dyDescent="0.75">
      <c r="P56" s="9">
        <v>42</v>
      </c>
      <c r="Q56" s="9">
        <f t="shared" si="6"/>
        <v>6</v>
      </c>
      <c r="R56" s="9">
        <f t="shared" si="14"/>
        <v>6</v>
      </c>
      <c r="S56" s="14" t="str" cm="1">
        <f t="array" ref="S56">INDEX('Subj-ConceptMap-2'!$I$15:$N$187,Q56+1,R56)</f>
        <v>* group[=].element[=].target.comment = ##34#where function = TBD AND actor of type PracticionerRole##34#</v>
      </c>
    </row>
    <row r="57" spans="16:19" x14ac:dyDescent="0.75">
      <c r="P57" s="9">
        <v>43</v>
      </c>
      <c r="Q57" s="9">
        <f t="shared" si="6"/>
        <v>7</v>
      </c>
      <c r="R57" s="9">
        <f t="shared" si="14"/>
        <v>1</v>
      </c>
      <c r="S57" s="14" t="str" cm="1">
        <f t="array" ref="S57">INDEX('Subj-ConceptMap-2'!$I$15:$N$187,Q57+1,R57)</f>
        <v>* group[=].element[+].code = #Subject.hpToContact.affiliatedNetwork</v>
      </c>
    </row>
    <row r="58" spans="16:19" x14ac:dyDescent="0.75">
      <c r="P58" s="9">
        <v>44</v>
      </c>
      <c r="Q58" s="9">
        <f t="shared" si="6"/>
        <v>7</v>
      </c>
      <c r="R58" s="9">
        <f t="shared" si="14"/>
        <v>2</v>
      </c>
      <c r="S58" s="14" t="str" cm="1">
        <f t="array" ref="S58">INDEX('Subj-ConceptMap-2'!$I$15:$N$187,Q58+1,R58)</f>
        <v>* group[=].element[=].display = ##34#A.1.2.2.6 Network affiliation##34#</v>
      </c>
    </row>
    <row r="59" spans="16:19" x14ac:dyDescent="0.75">
      <c r="P59" s="9">
        <v>45</v>
      </c>
      <c r="Q59" s="9">
        <f t="shared" si="6"/>
        <v>7</v>
      </c>
      <c r="R59" s="9">
        <f t="shared" si="14"/>
        <v>3</v>
      </c>
      <c r="S59" s="14" t="str" cm="1">
        <f t="array" ref="S59">INDEX('Subj-ConceptMap-2'!$I$15:$N$187,Q59+1,R59)</f>
        <v>* group[=].element[=].target.code = #Condition.participant.actor.organization</v>
      </c>
    </row>
    <row r="60" spans="16:19" x14ac:dyDescent="0.75">
      <c r="P60" s="9">
        <v>46</v>
      </c>
      <c r="Q60" s="9">
        <f t="shared" si="6"/>
        <v>7</v>
      </c>
      <c r="R60" s="9">
        <f t="shared" si="14"/>
        <v>4</v>
      </c>
      <c r="S60" s="14" t="str" cm="1">
        <f t="array" ref="S60">INDEX('Subj-ConceptMap-2'!$I$15:$N$187,Q60+1,R60)</f>
        <v>* group[=].element[=].target.display = ##34###34#</v>
      </c>
    </row>
    <row r="61" spans="16:19" x14ac:dyDescent="0.75">
      <c r="P61" s="9">
        <v>47</v>
      </c>
      <c r="Q61" s="9">
        <f t="shared" si="6"/>
        <v>7</v>
      </c>
      <c r="R61" s="9">
        <f t="shared" si="14"/>
        <v>5</v>
      </c>
      <c r="S61" s="14" t="str" cm="1">
        <f t="array" ref="S61">INDEX('Subj-ConceptMap-2'!$I$15:$N$187,Q61+1,R61)</f>
        <v>* group[=].element[=].target.equivalence = #relatedto</v>
      </c>
    </row>
    <row r="62" spans="16:19" ht="29.5" x14ac:dyDescent="0.75">
      <c r="P62" s="9">
        <v>48</v>
      </c>
      <c r="Q62" s="9">
        <f t="shared" si="6"/>
        <v>7</v>
      </c>
      <c r="R62" s="9">
        <f t="shared" si="14"/>
        <v>6</v>
      </c>
      <c r="S62" s="14" t="str" cm="1">
        <f t="array" ref="S62">INDEX('Subj-ConceptMap-2'!$I$15:$N$187,Q62+1,R62)</f>
        <v>* group[=].element[=].target.comment = ##34#This might be described by using a CareTeam having this organization as participant.member##34#</v>
      </c>
    </row>
    <row r="63" spans="16:19" x14ac:dyDescent="0.75">
      <c r="P63" s="9">
        <v>49</v>
      </c>
      <c r="Q63" s="9">
        <f t="shared" si="6"/>
        <v>8</v>
      </c>
      <c r="R63" s="9">
        <f t="shared" si="14"/>
        <v>1</v>
      </c>
      <c r="S63" s="14" t="str" cm="1">
        <f t="array" ref="S63">INDEX('Subj-ConceptMap-2'!$I$15:$N$187,Q63+1,R63)</f>
        <v>* group[=].element[+].code = #Subject.hpToContact.relatedWith</v>
      </c>
    </row>
    <row r="64" spans="16:19" x14ac:dyDescent="0.75">
      <c r="P64" s="9">
        <v>50</v>
      </c>
      <c r="Q64" s="9">
        <f t="shared" si="6"/>
        <v>8</v>
      </c>
      <c r="R64" s="9">
        <f t="shared" si="14"/>
        <v>2</v>
      </c>
      <c r="S64" s="14" t="str" cm="1">
        <f t="array" ref="S64">INDEX('Subj-ConceptMap-2'!$I$15:$N$187,Q64+1,R64)</f>
        <v>* group[=].element[=].display = ##34#A.1.2.2.7 Related with##34#</v>
      </c>
    </row>
    <row r="65" spans="16:19" x14ac:dyDescent="0.75">
      <c r="P65" s="9">
        <v>51</v>
      </c>
      <c r="Q65" s="9">
        <f t="shared" si="6"/>
        <v>8</v>
      </c>
      <c r="R65" s="9">
        <f t="shared" si="14"/>
        <v>3</v>
      </c>
      <c r="S65" s="14" t="str" cm="1">
        <f t="array" ref="S65">INDEX('Subj-ConceptMap-2'!$I$15:$N$187,Q65+1,R65)</f>
        <v>* group[=].element[=].target.code = #Condition</v>
      </c>
    </row>
    <row r="66" spans="16:19" x14ac:dyDescent="0.75">
      <c r="P66" s="9">
        <v>52</v>
      </c>
      <c r="Q66" s="9">
        <f t="shared" si="6"/>
        <v>8</v>
      </c>
      <c r="R66" s="9">
        <f t="shared" si="14"/>
        <v>4</v>
      </c>
      <c r="S66" s="14" t="str" cm="1">
        <f t="array" ref="S66">INDEX('Subj-ConceptMap-2'!$I$15:$N$187,Q66+1,R66)</f>
        <v>* group[=].element[=].target.display = ##34###34#</v>
      </c>
    </row>
    <row r="67" spans="16:19" x14ac:dyDescent="0.75">
      <c r="P67" s="9">
        <v>53</v>
      </c>
      <c r="Q67" s="9">
        <f t="shared" si="6"/>
        <v>8</v>
      </c>
      <c r="R67" s="9">
        <f t="shared" si="14"/>
        <v>5</v>
      </c>
      <c r="S67" s="14" t="str" cm="1">
        <f t="array" ref="S67">INDEX('Subj-ConceptMap-2'!$I$15:$N$187,Q67+1,R67)</f>
        <v>* group[=].element[=].target.equivalence = #relatedto</v>
      </c>
    </row>
    <row r="68" spans="16:19" ht="29.5" x14ac:dyDescent="0.75">
      <c r="P68" s="9">
        <v>54</v>
      </c>
      <c r="Q68" s="9">
        <f t="shared" si="6"/>
        <v>8</v>
      </c>
      <c r="R68" s="9">
        <f t="shared" si="14"/>
        <v>6</v>
      </c>
      <c r="S68" s="14" t="str" cm="1">
        <f t="array" ref="S68">INDEX('Subj-ConceptMap-2'!$I$15:$N$187,Q68+1,R68)</f>
        <v>* group[=].element[=].target.comment = ##34#The contact is intrinsically connected with the Condition##34#</v>
      </c>
    </row>
    <row r="69" spans="16:19" x14ac:dyDescent="0.75">
      <c r="P69" s="9">
        <v>55</v>
      </c>
      <c r="Q69" s="9">
        <f t="shared" si="6"/>
        <v>9</v>
      </c>
      <c r="R69" s="9">
        <f t="shared" si="14"/>
        <v>1</v>
      </c>
      <c r="S69" s="14" cm="1">
        <f t="array" ref="S69">INDEX('Subj-ConceptMap-2'!$I$15:$N$187,Q69+1,R69)</f>
        <v>0</v>
      </c>
    </row>
    <row r="70" spans="16:19" x14ac:dyDescent="0.75">
      <c r="P70" s="9">
        <v>56</v>
      </c>
      <c r="Q70" s="9">
        <f t="shared" si="6"/>
        <v>9</v>
      </c>
      <c r="R70" s="9">
        <f t="shared" si="14"/>
        <v>2</v>
      </c>
      <c r="S70" s="14" cm="1">
        <f t="array" ref="S70">INDEX('Subj-ConceptMap-2'!$I$15:$N$187,Q70+1,R70)</f>
        <v>0</v>
      </c>
    </row>
    <row r="71" spans="16:19" x14ac:dyDescent="0.75">
      <c r="P71" s="9">
        <v>57</v>
      </c>
      <c r="Q71" s="9">
        <f t="shared" si="6"/>
        <v>9</v>
      </c>
      <c r="R71" s="9">
        <f t="shared" si="14"/>
        <v>3</v>
      </c>
      <c r="S71" s="14" cm="1">
        <f t="array" ref="S71">INDEX('Subj-ConceptMap-2'!$I$15:$N$187,Q71+1,R71)</f>
        <v>0</v>
      </c>
    </row>
    <row r="72" spans="16:19" x14ac:dyDescent="0.75">
      <c r="P72" s="9">
        <v>58</v>
      </c>
      <c r="Q72" s="9">
        <f t="shared" si="6"/>
        <v>9</v>
      </c>
      <c r="R72" s="9">
        <f t="shared" si="14"/>
        <v>4</v>
      </c>
      <c r="S72" s="14" cm="1">
        <f t="array" ref="S72">INDEX('Subj-ConceptMap-2'!$I$15:$N$187,Q72+1,R72)</f>
        <v>0</v>
      </c>
    </row>
    <row r="73" spans="16:19" x14ac:dyDescent="0.75">
      <c r="P73" s="9">
        <v>59</v>
      </c>
      <c r="Q73" s="9">
        <f t="shared" si="6"/>
        <v>9</v>
      </c>
      <c r="R73" s="9">
        <f t="shared" si="14"/>
        <v>5</v>
      </c>
      <c r="S73" s="14" cm="1">
        <f t="array" ref="S73">INDEX('Subj-ConceptMap-2'!$I$15:$N$187,Q73+1,R73)</f>
        <v>0</v>
      </c>
    </row>
    <row r="74" spans="16:19" x14ac:dyDescent="0.75">
      <c r="P74" s="9">
        <v>60</v>
      </c>
      <c r="Q74" s="9">
        <f t="shared" si="6"/>
        <v>9</v>
      </c>
      <c r="R74" s="9">
        <f t="shared" ref="R74:R80" si="15">IF(MOD(P74,$Q$8)=0,$Q$8,MOD(P74,$Q$8))</f>
        <v>6</v>
      </c>
      <c r="S74" s="14" cm="1">
        <f t="array" ref="S74">INDEX('Subj-ConceptMap-2'!$I$15:$N$187,Q74+1,R74)</f>
        <v>0</v>
      </c>
    </row>
    <row r="75" spans="16:19" x14ac:dyDescent="0.75">
      <c r="P75" s="9">
        <v>61</v>
      </c>
      <c r="Q75" s="9">
        <f t="shared" si="6"/>
        <v>10</v>
      </c>
      <c r="R75" s="9">
        <f t="shared" si="15"/>
        <v>1</v>
      </c>
      <c r="S75" s="14" cm="1">
        <f t="array" ref="S75">INDEX('Subj-ConceptMap-2'!$I$15:$N$187,Q75+1,R75)</f>
        <v>0</v>
      </c>
    </row>
    <row r="76" spans="16:19" x14ac:dyDescent="0.75">
      <c r="P76" s="9">
        <v>62</v>
      </c>
      <c r="Q76" s="9">
        <f t="shared" si="6"/>
        <v>10</v>
      </c>
      <c r="R76" s="9">
        <f t="shared" si="15"/>
        <v>2</v>
      </c>
      <c r="S76" s="14" cm="1">
        <f t="array" ref="S76">INDEX('Subj-ConceptMap-2'!$I$15:$N$187,Q76+1,R76)</f>
        <v>0</v>
      </c>
    </row>
    <row r="77" spans="16:19" x14ac:dyDescent="0.75">
      <c r="P77" s="9">
        <v>63</v>
      </c>
      <c r="Q77" s="9">
        <f t="shared" si="6"/>
        <v>10</v>
      </c>
      <c r="R77" s="9">
        <f t="shared" si="15"/>
        <v>3</v>
      </c>
      <c r="S77" s="14" cm="1">
        <f t="array" ref="S77">INDEX('Subj-ConceptMap-2'!$I$15:$N$187,Q77+1,R77)</f>
        <v>0</v>
      </c>
    </row>
    <row r="78" spans="16:19" x14ac:dyDescent="0.75">
      <c r="P78" s="9">
        <v>64</v>
      </c>
      <c r="Q78" s="9">
        <f t="shared" si="6"/>
        <v>10</v>
      </c>
      <c r="R78" s="9">
        <f t="shared" si="15"/>
        <v>4</v>
      </c>
      <c r="S78" s="14" cm="1">
        <f t="array" ref="S78">INDEX('Subj-ConceptMap-2'!$I$15:$N$187,Q78+1,R78)</f>
        <v>0</v>
      </c>
    </row>
    <row r="79" spans="16:19" x14ac:dyDescent="0.75">
      <c r="P79" s="9">
        <v>65</v>
      </c>
      <c r="Q79" s="9">
        <f t="shared" si="6"/>
        <v>10</v>
      </c>
      <c r="R79" s="9">
        <f t="shared" si="15"/>
        <v>5</v>
      </c>
      <c r="S79" s="14" cm="1">
        <f t="array" ref="S79">INDEX('Subj-ConceptMap-2'!$I$15:$N$187,Q79+1,R79)</f>
        <v>0</v>
      </c>
    </row>
    <row r="80" spans="16:19" x14ac:dyDescent="0.75">
      <c r="P80" s="9">
        <v>66</v>
      </c>
      <c r="Q80" s="9">
        <f t="shared" si="6"/>
        <v>10</v>
      </c>
      <c r="R80" s="9">
        <f t="shared" si="15"/>
        <v>6</v>
      </c>
      <c r="S80" s="14" cm="1">
        <f t="array" ref="S80">INDEX('Subj-ConceptMap-2'!$I$15:$N$187,Q80+1,R80)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c r="Q125" s="9"/>
      <c r="R125" s="9"/>
      <c r="S125" s="14"/>
    </row>
    <row r="126" spans="16:19" x14ac:dyDescent="0.75">
      <c r="P126" s="9"/>
      <c r="Q126" s="9"/>
      <c r="R126" s="9"/>
      <c r="S126" s="14"/>
    </row>
    <row r="127" spans="16:19" x14ac:dyDescent="0.75">
      <c r="P127" s="9"/>
      <c r="Q127" s="9"/>
      <c r="R127" s="9"/>
      <c r="S127" s="14"/>
    </row>
    <row r="128" spans="16:19" x14ac:dyDescent="0.75">
      <c r="P128" s="9"/>
      <c r="Q128" s="9"/>
      <c r="R128" s="9"/>
      <c r="S128" s="14"/>
    </row>
    <row r="129" spans="16:19" x14ac:dyDescent="0.75">
      <c r="P129" s="9"/>
      <c r="Q129" s="9"/>
      <c r="R129" s="9"/>
      <c r="S129" s="14"/>
    </row>
    <row r="130" spans="16:19" x14ac:dyDescent="0.75">
      <c r="P130" s="9"/>
      <c r="Q130" s="9"/>
      <c r="R130" s="9"/>
      <c r="S130" s="14"/>
    </row>
    <row r="131" spans="16:19" x14ac:dyDescent="0.75">
      <c r="P131" s="9"/>
      <c r="Q131" s="9"/>
      <c r="R131" s="9"/>
      <c r="S131" s="14"/>
    </row>
    <row r="132" spans="16:19" x14ac:dyDescent="0.75">
      <c r="P132" s="9"/>
      <c r="Q132" s="9"/>
      <c r="R132" s="9"/>
      <c r="S132" s="14"/>
    </row>
    <row r="133" spans="16:19" x14ac:dyDescent="0.75">
      <c r="P133" s="9"/>
      <c r="Q133" s="9"/>
      <c r="R133" s="9"/>
      <c r="S133" s="14"/>
    </row>
    <row r="134" spans="16:19" x14ac:dyDescent="0.75">
      <c r="P134" s="9"/>
      <c r="Q134" s="9"/>
      <c r="R134" s="9"/>
      <c r="S134" s="14"/>
    </row>
    <row r="135" spans="16:19" x14ac:dyDescent="0.75">
      <c r="P135" s="9"/>
      <c r="Q135" s="9"/>
      <c r="R135" s="9"/>
      <c r="S135" s="14"/>
    </row>
    <row r="136" spans="16:19" x14ac:dyDescent="0.75">
      <c r="P136" s="9"/>
      <c r="Q136" s="9"/>
      <c r="R136" s="9"/>
      <c r="S136" s="14"/>
    </row>
    <row r="137" spans="16:19" x14ac:dyDescent="0.75">
      <c r="P137" s="9"/>
      <c r="Q137" s="9"/>
      <c r="R137" s="9"/>
      <c r="S137" s="14"/>
    </row>
    <row r="138" spans="16:19" x14ac:dyDescent="0.75">
      <c r="P138" s="9"/>
      <c r="Q138" s="9"/>
      <c r="R138" s="9"/>
      <c r="S138" s="14"/>
    </row>
    <row r="139" spans="16:19" x14ac:dyDescent="0.75">
      <c r="P139" s="9"/>
      <c r="Q139" s="9"/>
      <c r="R139" s="9"/>
      <c r="S139" s="14"/>
    </row>
    <row r="140" spans="16:19" x14ac:dyDescent="0.75">
      <c r="P140" s="9"/>
      <c r="Q140" s="9"/>
      <c r="R140" s="9"/>
      <c r="S140" s="14"/>
    </row>
    <row r="141" spans="16:19" x14ac:dyDescent="0.75">
      <c r="P141" s="9"/>
      <c r="Q141" s="9"/>
      <c r="R141" s="9"/>
      <c r="S141" s="14"/>
    </row>
    <row r="142" spans="16:19" x14ac:dyDescent="0.75">
      <c r="P142" s="9"/>
      <c r="Q142" s="9"/>
      <c r="R142" s="9"/>
      <c r="S142" s="14"/>
    </row>
    <row r="143" spans="16:19" x14ac:dyDescent="0.75">
      <c r="P143" s="9"/>
      <c r="Q143" s="9"/>
      <c r="R143" s="9"/>
      <c r="S143" s="14"/>
    </row>
    <row r="144" spans="16:19" x14ac:dyDescent="0.75">
      <c r="P144" s="9"/>
      <c r="Q144" s="9"/>
      <c r="R144" s="9"/>
      <c r="S144" s="14"/>
    </row>
    <row r="145" spans="16:19" x14ac:dyDescent="0.75">
      <c r="P145" s="9"/>
      <c r="Q145" s="9"/>
      <c r="R145" s="9"/>
      <c r="S145" s="14"/>
    </row>
    <row r="146" spans="16:19" x14ac:dyDescent="0.75">
      <c r="P146" s="9"/>
      <c r="Q146" s="9"/>
      <c r="R146" s="9"/>
      <c r="S146" s="14"/>
    </row>
    <row r="147" spans="16:19" x14ac:dyDescent="0.75">
      <c r="P147" s="9"/>
      <c r="Q147" s="9"/>
      <c r="R147" s="9"/>
      <c r="S147" s="14"/>
    </row>
    <row r="148" spans="16:19" x14ac:dyDescent="0.75">
      <c r="P148" s="9"/>
      <c r="Q148" s="9"/>
      <c r="R148" s="9"/>
      <c r="S148" s="14"/>
    </row>
    <row r="149" spans="16:19" x14ac:dyDescent="0.75">
      <c r="P149" s="9"/>
      <c r="Q149" s="9"/>
      <c r="R149" s="9"/>
      <c r="S149" s="14"/>
    </row>
    <row r="150" spans="16:19" x14ac:dyDescent="0.75">
      <c r="P150" s="9"/>
      <c r="Q150" s="9"/>
      <c r="R150" s="9"/>
      <c r="S150" s="14"/>
    </row>
    <row r="151" spans="16:19" x14ac:dyDescent="0.75">
      <c r="P151" s="9"/>
      <c r="Q151" s="9"/>
      <c r="R151" s="9"/>
      <c r="S151" s="14"/>
    </row>
    <row r="152" spans="16:19" x14ac:dyDescent="0.75">
      <c r="P152" s="9"/>
      <c r="Q152" s="9"/>
      <c r="R152" s="9"/>
      <c r="S152" s="14"/>
    </row>
    <row r="153" spans="16:19" x14ac:dyDescent="0.75">
      <c r="P153" s="9"/>
      <c r="Q153" s="9"/>
      <c r="R153" s="9"/>
      <c r="S153" s="14"/>
    </row>
    <row r="154" spans="16:19" x14ac:dyDescent="0.75">
      <c r="P154" s="9"/>
      <c r="Q154" s="9"/>
      <c r="R154" s="9"/>
      <c r="S154" s="14"/>
    </row>
    <row r="155" spans="16:19" x14ac:dyDescent="0.75">
      <c r="P155" s="9"/>
      <c r="Q155" s="9"/>
      <c r="R155" s="9"/>
      <c r="S155" s="14"/>
    </row>
    <row r="156" spans="16:19" x14ac:dyDescent="0.75">
      <c r="P156" s="9"/>
      <c r="Q156" s="9"/>
      <c r="R156" s="9"/>
      <c r="S156" s="14"/>
    </row>
    <row r="157" spans="16:19" x14ac:dyDescent="0.75">
      <c r="P157" s="9"/>
      <c r="Q157" s="9"/>
      <c r="R157" s="9"/>
      <c r="S157" s="14"/>
    </row>
    <row r="158" spans="16:19" x14ac:dyDescent="0.75">
      <c r="P158" s="9"/>
      <c r="Q158" s="9"/>
      <c r="R158" s="9"/>
      <c r="S158" s="14"/>
    </row>
    <row r="159" spans="16:19" x14ac:dyDescent="0.75">
      <c r="P159" s="9"/>
      <c r="Q159" s="9"/>
      <c r="R159" s="9"/>
      <c r="S159" s="14"/>
    </row>
    <row r="160" spans="16:19" x14ac:dyDescent="0.75">
      <c r="P160" s="9"/>
      <c r="Q160" s="9"/>
      <c r="R160" s="9"/>
      <c r="S160" s="14"/>
    </row>
    <row r="161" spans="16:19" x14ac:dyDescent="0.75">
      <c r="P161" s="9"/>
      <c r="Q161" s="9"/>
      <c r="R161" s="9"/>
      <c r="S161" s="14"/>
    </row>
    <row r="162" spans="16:19" x14ac:dyDescent="0.75">
      <c r="P162" s="9"/>
      <c r="Q162" s="9"/>
      <c r="R162" s="9"/>
      <c r="S162" s="14"/>
    </row>
    <row r="163" spans="16:19" x14ac:dyDescent="0.75">
      <c r="P163" s="9"/>
      <c r="Q163" s="9"/>
      <c r="R163" s="9"/>
      <c r="S163" s="14"/>
    </row>
    <row r="164" spans="16:19" x14ac:dyDescent="0.75">
      <c r="P164" s="9"/>
      <c r="Q164" s="9"/>
      <c r="R164" s="9"/>
      <c r="S164" s="14"/>
    </row>
    <row r="165" spans="16:19" x14ac:dyDescent="0.75">
      <c r="P165" s="9"/>
      <c r="Q165" s="9"/>
      <c r="R165" s="9"/>
      <c r="S165" s="14"/>
    </row>
    <row r="166" spans="16:19" x14ac:dyDescent="0.75">
      <c r="P166" s="9"/>
      <c r="Q166" s="9"/>
      <c r="R166" s="9"/>
      <c r="S166" s="14"/>
    </row>
    <row r="167" spans="16:19" x14ac:dyDescent="0.75">
      <c r="P167" s="9"/>
      <c r="Q167" s="9"/>
      <c r="R167" s="9"/>
      <c r="S167" s="14"/>
    </row>
    <row r="168" spans="16:19" x14ac:dyDescent="0.75">
      <c r="P168" s="9"/>
      <c r="Q168" s="9"/>
      <c r="R168" s="9"/>
      <c r="S168" s="14"/>
    </row>
    <row r="169" spans="16:19" x14ac:dyDescent="0.75">
      <c r="P169" s="9"/>
      <c r="Q169" s="9"/>
      <c r="R169" s="9"/>
      <c r="S169" s="14"/>
    </row>
    <row r="170" spans="16:19" x14ac:dyDescent="0.75">
      <c r="P170" s="9"/>
      <c r="Q170" s="9"/>
      <c r="R170" s="9"/>
      <c r="S170" s="14"/>
    </row>
    <row r="171" spans="16:19" x14ac:dyDescent="0.75">
      <c r="P171" s="9"/>
      <c r="Q171" s="9"/>
      <c r="R171" s="9"/>
      <c r="S171" s="14"/>
    </row>
    <row r="172" spans="16:19" x14ac:dyDescent="0.75">
      <c r="P172" s="9"/>
      <c r="Q172" s="9"/>
      <c r="R172" s="9"/>
      <c r="S172" s="14"/>
    </row>
    <row r="173" spans="16:19" x14ac:dyDescent="0.75">
      <c r="P173" s="9"/>
      <c r="Q173" s="9"/>
      <c r="R173" s="9"/>
      <c r="S173" s="14"/>
    </row>
    <row r="174" spans="16:19" x14ac:dyDescent="0.75">
      <c r="P174" s="9"/>
      <c r="Q174" s="9"/>
      <c r="R174" s="9"/>
      <c r="S174" s="14"/>
    </row>
    <row r="175" spans="16:19" x14ac:dyDescent="0.75">
      <c r="P175" s="9"/>
      <c r="Q175" s="9"/>
      <c r="R175" s="9"/>
      <c r="S175" s="14"/>
    </row>
    <row r="176" spans="16:19" x14ac:dyDescent="0.75">
      <c r="P176" s="9"/>
      <c r="Q176" s="9"/>
      <c r="R176" s="9"/>
      <c r="S176" s="14"/>
    </row>
    <row r="177" spans="16:19" x14ac:dyDescent="0.75">
      <c r="P177" s="9"/>
      <c r="Q177" s="9"/>
      <c r="R177" s="9"/>
      <c r="S177" s="14"/>
    </row>
    <row r="178" spans="16:19" x14ac:dyDescent="0.75">
      <c r="P178" s="9"/>
      <c r="Q178" s="9"/>
      <c r="R178" s="9"/>
      <c r="S178" s="14"/>
    </row>
    <row r="179" spans="16:19" x14ac:dyDescent="0.75">
      <c r="P179" s="9"/>
      <c r="Q179" s="9"/>
      <c r="R179" s="9"/>
      <c r="S179" s="14"/>
    </row>
    <row r="180" spans="16:19" x14ac:dyDescent="0.75">
      <c r="P180" s="9"/>
      <c r="Q180" s="9"/>
      <c r="R180" s="9"/>
      <c r="S180" s="14"/>
    </row>
    <row r="181" spans="16:19" x14ac:dyDescent="0.75">
      <c r="P181" s="9"/>
      <c r="Q181" s="9"/>
      <c r="R181" s="9"/>
      <c r="S181" s="14"/>
    </row>
    <row r="182" spans="16:19" x14ac:dyDescent="0.75">
      <c r="P182" s="9"/>
      <c r="Q182" s="9"/>
      <c r="R182" s="9"/>
      <c r="S182" s="14"/>
    </row>
    <row r="183" spans="16:19" x14ac:dyDescent="0.75">
      <c r="P183" s="9"/>
      <c r="Q183" s="9"/>
      <c r="R183" s="9"/>
      <c r="S183" s="14"/>
    </row>
    <row r="184" spans="16:19" x14ac:dyDescent="0.75">
      <c r="P184" s="9"/>
      <c r="Q184" s="9"/>
      <c r="R184" s="9"/>
      <c r="S184" s="14"/>
    </row>
    <row r="185" spans="16:19" x14ac:dyDescent="0.75">
      <c r="P185" s="9"/>
      <c r="Q185" s="9"/>
      <c r="R185" s="9"/>
      <c r="S185" s="14"/>
    </row>
    <row r="186" spans="16:19" x14ac:dyDescent="0.75">
      <c r="P186" s="9"/>
      <c r="Q186" s="9"/>
      <c r="R186" s="9"/>
      <c r="S186" s="14"/>
    </row>
    <row r="187" spans="16:19" x14ac:dyDescent="0.75">
      <c r="P187" s="9"/>
      <c r="Q187" s="9"/>
      <c r="R187" s="9"/>
      <c r="S187" s="14"/>
    </row>
    <row r="188" spans="16:19" x14ac:dyDescent="0.75">
      <c r="P188" s="9"/>
      <c r="Q188" s="9"/>
      <c r="R188" s="9"/>
      <c r="S188" s="14"/>
    </row>
    <row r="189" spans="16:19" x14ac:dyDescent="0.75">
      <c r="P189" s="9"/>
      <c r="Q189" s="9"/>
      <c r="R189" s="9"/>
      <c r="S189" s="14"/>
    </row>
    <row r="190" spans="16:19" x14ac:dyDescent="0.75">
      <c r="P190" s="9"/>
      <c r="Q190" s="9"/>
      <c r="R190" s="9"/>
      <c r="S190" s="14"/>
    </row>
    <row r="191" spans="16:19" x14ac:dyDescent="0.75">
      <c r="P191" s="9"/>
      <c r="Q191" s="9"/>
      <c r="R191" s="9"/>
      <c r="S191" s="14"/>
    </row>
    <row r="192" spans="16:19" x14ac:dyDescent="0.75">
      <c r="P192" s="9"/>
      <c r="Q192" s="9"/>
      <c r="R192" s="9"/>
      <c r="S192" s="14"/>
    </row>
    <row r="193" spans="16:19" x14ac:dyDescent="0.75">
      <c r="P193" s="9"/>
      <c r="Q193" s="9"/>
      <c r="R193" s="9"/>
      <c r="S193" s="14"/>
    </row>
    <row r="194" spans="16:19" x14ac:dyDescent="0.75">
      <c r="P194" s="9"/>
      <c r="Q194" s="9"/>
      <c r="R194" s="9"/>
      <c r="S194" s="14"/>
    </row>
    <row r="195" spans="16:19" x14ac:dyDescent="0.75">
      <c r="P195" s="9"/>
      <c r="Q195" s="9"/>
      <c r="R195" s="9"/>
      <c r="S195" s="14"/>
    </row>
    <row r="196" spans="16:19" x14ac:dyDescent="0.75">
      <c r="P196" s="9"/>
      <c r="Q196" s="9"/>
      <c r="R196" s="9"/>
      <c r="S196" s="14"/>
    </row>
    <row r="197" spans="16:19" x14ac:dyDescent="0.75">
      <c r="P197" s="9"/>
      <c r="Q197" s="9"/>
      <c r="R197" s="9"/>
      <c r="S197" s="14"/>
    </row>
    <row r="198" spans="16:19" x14ac:dyDescent="0.75">
      <c r="P198" s="9"/>
      <c r="Q198" s="9"/>
      <c r="R198" s="9"/>
      <c r="S198" s="14"/>
    </row>
    <row r="199" spans="16:19" x14ac:dyDescent="0.75">
      <c r="P199" s="9"/>
      <c r="Q199" s="9"/>
      <c r="R199" s="9"/>
      <c r="S199" s="14"/>
    </row>
    <row r="200" spans="16:19" x14ac:dyDescent="0.75">
      <c r="P200" s="9"/>
      <c r="Q200" s="9"/>
      <c r="R200" s="9"/>
      <c r="S200" s="14"/>
    </row>
    <row r="201" spans="16:19" x14ac:dyDescent="0.75">
      <c r="P201" s="9"/>
      <c r="Q201" s="9"/>
      <c r="R201" s="9"/>
      <c r="S201" s="14"/>
    </row>
    <row r="202" spans="16:19" x14ac:dyDescent="0.75">
      <c r="P202" s="9"/>
      <c r="Q202" s="9"/>
      <c r="R202" s="9"/>
      <c r="S202" s="14"/>
    </row>
    <row r="203" spans="16:19" x14ac:dyDescent="0.75">
      <c r="P203" s="9"/>
      <c r="Q203" s="9"/>
      <c r="R203" s="9"/>
      <c r="S203" s="14"/>
    </row>
    <row r="204" spans="16:19" x14ac:dyDescent="0.75">
      <c r="P204" s="9"/>
      <c r="Q204" s="9"/>
      <c r="R204" s="9"/>
      <c r="S204" s="14"/>
    </row>
    <row r="205" spans="16:19" x14ac:dyDescent="0.75">
      <c r="P205" s="9"/>
      <c r="Q205" s="9"/>
      <c r="R205" s="9"/>
      <c r="S205" s="14"/>
    </row>
    <row r="206" spans="16:19" x14ac:dyDescent="0.75">
      <c r="P206" s="9"/>
      <c r="Q206" s="9"/>
      <c r="R206" s="9"/>
      <c r="S206" s="14"/>
    </row>
    <row r="207" spans="16:19" x14ac:dyDescent="0.75">
      <c r="P207" s="9"/>
      <c r="Q207" s="9"/>
      <c r="R207" s="9"/>
      <c r="S207" s="14"/>
    </row>
    <row r="208" spans="16:19" x14ac:dyDescent="0.75">
      <c r="P208" s="9"/>
      <c r="Q208" s="9"/>
      <c r="R208" s="9"/>
      <c r="S208" s="14"/>
    </row>
    <row r="209" spans="16:19" x14ac:dyDescent="0.75">
      <c r="P209" s="9"/>
      <c r="Q209" s="9"/>
      <c r="R209" s="9"/>
      <c r="S209" s="14"/>
    </row>
    <row r="210" spans="16:19" x14ac:dyDescent="0.75">
      <c r="P210" s="9"/>
      <c r="Q210" s="9"/>
      <c r="R210" s="9"/>
      <c r="S210" s="14"/>
    </row>
    <row r="211" spans="16:19" x14ac:dyDescent="0.75">
      <c r="P211" s="9"/>
      <c r="Q211" s="9"/>
      <c r="R211" s="9"/>
      <c r="S211" s="14"/>
    </row>
    <row r="212" spans="16:19" x14ac:dyDescent="0.75">
      <c r="P212" s="9"/>
      <c r="Q212" s="9"/>
      <c r="R212" s="9"/>
      <c r="S212" s="14"/>
    </row>
    <row r="213" spans="16:19" x14ac:dyDescent="0.75">
      <c r="P213" s="9"/>
      <c r="Q213" s="9"/>
      <c r="R213" s="9"/>
      <c r="S213" s="14"/>
    </row>
    <row r="214" spans="16:19" x14ac:dyDescent="0.75">
      <c r="P214" s="9"/>
      <c r="Q214" s="9"/>
      <c r="R214" s="9"/>
      <c r="S214" s="14"/>
    </row>
    <row r="215" spans="16:19" x14ac:dyDescent="0.75">
      <c r="P215" s="9"/>
      <c r="Q215" s="9"/>
      <c r="R215" s="9"/>
      <c r="S215" s="14"/>
    </row>
    <row r="216" spans="16:19" x14ac:dyDescent="0.75">
      <c r="P216" s="9"/>
      <c r="Q216" s="9"/>
      <c r="R216" s="9"/>
      <c r="S216" s="14"/>
    </row>
    <row r="217" spans="16:19" x14ac:dyDescent="0.75">
      <c r="P217" s="9"/>
      <c r="Q217" s="9"/>
      <c r="R217" s="9"/>
      <c r="S217" s="14"/>
    </row>
    <row r="218" spans="16:19" x14ac:dyDescent="0.75">
      <c r="P218" s="9"/>
      <c r="Q218" s="9"/>
      <c r="R218" s="9"/>
      <c r="S218" s="14"/>
    </row>
    <row r="219" spans="16:19" x14ac:dyDescent="0.75">
      <c r="P219" s="9"/>
      <c r="Q219" s="9"/>
      <c r="R219" s="9"/>
      <c r="S219" s="14"/>
    </row>
    <row r="220" spans="16:19" x14ac:dyDescent="0.75">
      <c r="P220" s="9"/>
      <c r="Q220" s="9"/>
      <c r="R220" s="9"/>
      <c r="S220" s="14"/>
    </row>
    <row r="221" spans="16:19" x14ac:dyDescent="0.75">
      <c r="P221" s="9"/>
      <c r="Q221" s="9"/>
      <c r="R221" s="9"/>
      <c r="S221" s="14"/>
    </row>
    <row r="222" spans="16:19" x14ac:dyDescent="0.75">
      <c r="P222" s="9"/>
      <c r="Q222" s="9"/>
      <c r="R222" s="9"/>
      <c r="S222" s="14"/>
    </row>
    <row r="223" spans="16:19" x14ac:dyDescent="0.75">
      <c r="P223" s="9"/>
      <c r="Q223" s="9"/>
      <c r="R223" s="9"/>
      <c r="S223" s="14"/>
    </row>
    <row r="224" spans="16:19" x14ac:dyDescent="0.75">
      <c r="P224" s="9"/>
      <c r="Q224" s="9"/>
      <c r="R224" s="9"/>
      <c r="S224" s="14"/>
    </row>
  </sheetData>
  <mergeCells count="4">
    <mergeCell ref="E3:G3"/>
    <mergeCell ref="E4:G4"/>
    <mergeCell ref="E6:G6"/>
    <mergeCell ref="E7:G7"/>
  </mergeCells>
  <hyperlinks>
    <hyperlink ref="E4" r:id="rId1" xr:uid="{F99E3215-30AC-4761-B427-16CD60633C37}"/>
    <hyperlink ref="E7" r:id="rId2" xr:uid="{C2D072FD-36D9-4D50-824F-7856171BF92F}"/>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2"/>
  <sheetViews>
    <sheetView workbookViewId="0">
      <selection activeCell="B194" sqref="B194:B25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##34#http://hl7.eu/fhir/ig/xpandh/ps/StructureDefinition/Bundle-ps-xpandh##34#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#Subject.contactPerson</v>
      </c>
    </row>
    <row r="141" spans="2:2" x14ac:dyDescent="0.75">
      <c r="B141" s="14" t="str">
        <f>IF('Subj-ConceptMap-1'!S136=0,"//---END",'Subj-ConceptMap-1'!S136)</f>
        <v>* group[=].element[=].display = ##34#A.1.2.3 Contact person/ legal guardian ##34#</v>
      </c>
    </row>
    <row r="142" spans="2:2" x14ac:dyDescent="0.75">
      <c r="B142" s="14" t="str">
        <f>IF('Subj-ConceptMap-1'!S137=0,"//---END",'Subj-ConceptMap-1'!S137)</f>
        <v>* group[=].element[=].target.code = #Patient.contact</v>
      </c>
    </row>
    <row r="143" spans="2:2" x14ac:dyDescent="0.75">
      <c r="B143" s="14" t="str">
        <f>IF('Subj-ConceptMap-1'!S138=0,"//---END",'Subj-ConceptMap-1'!S138)</f>
        <v>* group[=].element[=].target.display = ##34###34#</v>
      </c>
    </row>
    <row r="144" spans="2:2" x14ac:dyDescent="0.75">
      <c r="B144" s="14" t="str">
        <f>IF('Subj-ConceptMap-1'!S139=0,"//---END",'Subj-ConceptMap-1'!S139)</f>
        <v>* group[=].element[=].target.equivalence = #equivalent</v>
      </c>
    </row>
    <row r="145" spans="2:2" x14ac:dyDescent="0.75">
      <c r="B145" s="14" t="str">
        <f>IF('Subj-ConceptMap-1'!S140=0,"//---END",'Subj-ConceptMap-1'!S140)</f>
        <v/>
      </c>
    </row>
    <row r="146" spans="2:2" x14ac:dyDescent="0.75">
      <c r="B146" s="14" t="str">
        <f>IF('Subj-ConceptMap-1'!S141=0,"//---END",'Subj-ConceptMap-1'!S141)</f>
        <v>* group[=].element[+].code = #Subject.contactPerson.role</v>
      </c>
    </row>
    <row r="147" spans="2:2" x14ac:dyDescent="0.75">
      <c r="B147" s="14" t="str">
        <f>IF('Subj-ConceptMap-1'!S142=0,"//---END",'Subj-ConceptMap-1'!S142)</f>
        <v>* group[=].element[=].display = ##34#A.1.2.3.1 Role of that person##34#</v>
      </c>
    </row>
    <row r="148" spans="2:2" x14ac:dyDescent="0.75">
      <c r="B148" s="14" t="str">
        <f>IF('Subj-ConceptMap-1'!S143=0,"//---END",'Subj-ConceptMap-1'!S143)</f>
        <v>* group[=].element[=].target.code = #Patient.contact.relationship</v>
      </c>
    </row>
    <row r="149" spans="2:2" x14ac:dyDescent="0.75">
      <c r="B149" s="14" t="str">
        <f>IF('Subj-ConceptMap-1'!S144=0,"//---END",'Subj-ConceptMap-1'!S144)</f>
        <v>* group[=].element[=].target.display = ##34###34#</v>
      </c>
    </row>
    <row r="150" spans="2:2" x14ac:dyDescent="0.75">
      <c r="B150" s="14" t="str">
        <f>IF('Subj-ConceptMap-1'!S145=0,"//---END",'Subj-ConceptMap-1'!S145)</f>
        <v>* group[=].element[=].target.equivalence = #relatedto</v>
      </c>
    </row>
    <row r="151" spans="2:2" x14ac:dyDescent="0.75">
      <c r="B151" s="14" t="str">
        <f>IF('Subj-ConceptMap-1'!S146=0,"//---END",'Subj-ConceptMap-1'!S146)</f>
        <v>* group[=].element[=].target.comment = ##34#To be checked##34#</v>
      </c>
    </row>
    <row r="152" spans="2:2" x14ac:dyDescent="0.75">
      <c r="B152" s="14" t="str">
        <f>IF('Subj-ConceptMap-1'!S147=0,"//---END",'Subj-ConceptMap-1'!S147)</f>
        <v>* group[=].element[+].code = #Subject.contactPerson.relationship</v>
      </c>
    </row>
    <row r="153" spans="2:2" x14ac:dyDescent="0.75">
      <c r="B153" s="14" t="str">
        <f>IF('Subj-ConceptMap-1'!S148=0,"//---END",'Subj-ConceptMap-1'!S148)</f>
        <v>* group[=].element[=].display = ##34#A.1.2.3.2 Relationship level##34#</v>
      </c>
    </row>
    <row r="154" spans="2:2" x14ac:dyDescent="0.75">
      <c r="B154" s="14" t="str">
        <f>IF('Subj-ConceptMap-1'!S149=0,"//---END",'Subj-ConceptMap-1'!S149)</f>
        <v>* group[=].element[=].target.code = #Patient.contact.relationship</v>
      </c>
    </row>
    <row r="155" spans="2:2" x14ac:dyDescent="0.75">
      <c r="B155" s="14" t="str">
        <f>IF('Subj-ConceptMap-1'!S150=0,"//---END",'Subj-ConceptMap-1'!S150)</f>
        <v>* group[=].element[=].target.display = ##34###34#</v>
      </c>
    </row>
    <row r="156" spans="2:2" x14ac:dyDescent="0.75">
      <c r="B156" s="14" t="str">
        <f>IF('Subj-ConceptMap-1'!S151=0,"//---END",'Subj-ConceptMap-1'!S151)</f>
        <v>* group[=].element[=].target.equivalence = #equivalent</v>
      </c>
    </row>
    <row r="157" spans="2:2" x14ac:dyDescent="0.75">
      <c r="B157" s="14" t="str">
        <f>IF('Subj-ConceptMap-1'!S152=0,"//---END",'Subj-ConceptMap-1'!S152)</f>
        <v/>
      </c>
    </row>
    <row r="158" spans="2:2" x14ac:dyDescent="0.75">
      <c r="B158" s="14" t="str">
        <f>IF('Subj-ConceptMap-1'!S153=0,"//---END",'Subj-ConceptMap-1'!S153)</f>
        <v>* group[=].element[+].code = #Subject.contactPerson.givenName</v>
      </c>
    </row>
    <row r="159" spans="2:2" x14ac:dyDescent="0.75">
      <c r="B159" s="14" t="str">
        <f>IF('Subj-ConceptMap-1'!S154=0,"//---END",'Subj-ConceptMap-1'!S154)</f>
        <v>* group[=].element[=].display = ##34#A.1.2.3.3 Given name##34#</v>
      </c>
    </row>
    <row r="160" spans="2:2" x14ac:dyDescent="0.75">
      <c r="B160" s="14" t="str">
        <f>IF('Subj-ConceptMap-1'!S155=0,"//---END",'Subj-ConceptMap-1'!S155)</f>
        <v>* group[=].element[=].target.code = #Patient.contact.name.given</v>
      </c>
    </row>
    <row r="161" spans="2:2" x14ac:dyDescent="0.75">
      <c r="B161" s="14" t="str">
        <f>IF('Subj-ConceptMap-1'!S156=0,"//---END",'Subj-ConceptMap-1'!S156)</f>
        <v>* group[=].element[=].target.display = ##34###34#</v>
      </c>
    </row>
    <row r="162" spans="2:2" x14ac:dyDescent="0.75">
      <c r="B162" s="14" t="str">
        <f>IF('Subj-ConceptMap-1'!S157=0,"//---END",'Subj-ConceptMap-1'!S157)</f>
        <v>* group[=].element[=].target.equivalence = #equivalent</v>
      </c>
    </row>
    <row r="163" spans="2:2" x14ac:dyDescent="0.75">
      <c r="B163" s="14" t="str">
        <f>IF('Subj-ConceptMap-1'!S158=0,"//---END",'Subj-ConceptMap-1'!S158)</f>
        <v/>
      </c>
    </row>
    <row r="164" spans="2:2" x14ac:dyDescent="0.75">
      <c r="B164" s="14" t="str">
        <f>IF('Subj-ConceptMap-1'!S159=0,"//---END",'Subj-ConceptMap-1'!S159)</f>
        <v>* group[=].element[+].code = #Subject.contactPerson.familyName</v>
      </c>
    </row>
    <row r="165" spans="2:2" x14ac:dyDescent="0.75">
      <c r="B165" s="14" t="str">
        <f>IF('Subj-ConceptMap-1'!S160=0,"//---END",'Subj-ConceptMap-1'!S160)</f>
        <v>* group[=].element[=].display = ##34#A.1.2.3.4 Family name/surname##34#</v>
      </c>
    </row>
    <row r="166" spans="2:2" x14ac:dyDescent="0.75">
      <c r="B166" s="14" t="str">
        <f>IF('Subj-ConceptMap-1'!S161=0,"//---END",'Subj-ConceptMap-1'!S161)</f>
        <v>* group[=].element[=].target.code = #Patient.contact.name.family</v>
      </c>
    </row>
    <row r="167" spans="2:2" x14ac:dyDescent="0.75">
      <c r="B167" s="14" t="str">
        <f>IF('Subj-ConceptMap-1'!S162=0,"//---END",'Subj-ConceptMap-1'!S162)</f>
        <v>* group[=].element[=].target.display = ##34###34#</v>
      </c>
    </row>
    <row r="168" spans="2:2" x14ac:dyDescent="0.75">
      <c r="B168" s="14" t="str">
        <f>IF('Subj-ConceptMap-1'!S163=0,"//---END",'Subj-ConceptMap-1'!S163)</f>
        <v>* group[=].element[=].target.equivalence = #equivalent</v>
      </c>
    </row>
    <row r="169" spans="2:2" x14ac:dyDescent="0.75">
      <c r="B169" s="14" t="str">
        <f>IF('Subj-ConceptMap-1'!S164=0,"//---END",'Subj-ConceptMap-1'!S164)</f>
        <v/>
      </c>
    </row>
    <row r="170" spans="2:2" x14ac:dyDescent="0.75">
      <c r="B170" s="14" t="str">
        <f>IF('Subj-ConceptMap-1'!S165=0,"//---END",'Subj-ConceptMap-1'!S165)</f>
        <v>* group[=].element[+].code = #Subject.contactPerson.telephone</v>
      </c>
    </row>
    <row r="171" spans="2:2" x14ac:dyDescent="0.75">
      <c r="B171" s="14" t="str">
        <f>IF('Subj-ConceptMap-1'!S166=0,"//---END",'Subj-ConceptMap-1'!S166)</f>
        <v>* group[=].element[=].display = ##34#A.1.2.3.5 Telephone no.##34#</v>
      </c>
    </row>
    <row r="172" spans="2:2" x14ac:dyDescent="0.75">
      <c r="B172" s="14" t="str">
        <f>IF('Subj-ConceptMap-1'!S167=0,"//---END",'Subj-ConceptMap-1'!S167)</f>
        <v>* group[=].element[=].target.code = #Patient.contact.telecom</v>
      </c>
    </row>
    <row r="173" spans="2:2" x14ac:dyDescent="0.75">
      <c r="B173" s="14" t="str">
        <f>IF('Subj-ConceptMap-1'!S168=0,"//---END",'Subj-ConceptMap-1'!S168)</f>
        <v>* group[=].element[=].target.display = ##34###34#</v>
      </c>
    </row>
    <row r="174" spans="2:2" x14ac:dyDescent="0.75">
      <c r="B174" s="14" t="str">
        <f>IF('Subj-ConceptMap-1'!S169=0,"//---END",'Subj-ConceptMap-1'!S169)</f>
        <v>* group[=].element[=].target.equivalence = #equivalent</v>
      </c>
    </row>
    <row r="175" spans="2:2" x14ac:dyDescent="0.75">
      <c r="B175" s="14" t="str">
        <f>IF('Subj-ConceptMap-1'!S170=0,"//---END",'Subj-ConceptMap-1'!S170)</f>
        <v/>
      </c>
    </row>
    <row r="176" spans="2:2" x14ac:dyDescent="0.75">
      <c r="B176" s="14" t="str">
        <f>IF('Subj-ConceptMap-1'!S171=0,"//---END",'Subj-ConceptMap-1'!S171)</f>
        <v>* group[=].element[+].code = #Subject.contactPerson.email</v>
      </c>
    </row>
    <row r="177" spans="2:2" x14ac:dyDescent="0.75">
      <c r="B177" s="14" t="str">
        <f>IF('Subj-ConceptMap-1'!S172=0,"//---END",'Subj-ConceptMap-1'!S172)</f>
        <v>* group[=].element[=].display = ##34#A.1.2.3.6 Email##34#</v>
      </c>
    </row>
    <row r="178" spans="2:2" x14ac:dyDescent="0.75">
      <c r="B178" s="14" t="str">
        <f>IF('Subj-ConceptMap-1'!S173=0,"//---END",'Subj-ConceptMap-1'!S173)</f>
        <v>* group[=].element[=].target.code = #Patient.contact.telecom</v>
      </c>
    </row>
    <row r="179" spans="2:2" x14ac:dyDescent="0.75">
      <c r="B179" s="14" t="str">
        <f>IF('Subj-ConceptMap-1'!S174=0,"//---END",'Subj-ConceptMap-1'!S174)</f>
        <v>* group[=].element[=].target.display = ##34###34#</v>
      </c>
    </row>
    <row r="180" spans="2:2" x14ac:dyDescent="0.75">
      <c r="B180" s="14" t="str">
        <f>IF('Subj-ConceptMap-1'!S175=0,"//---END",'Subj-ConceptMap-1'!S175)</f>
        <v>* group[=].element[=].target.equivalence = #equivalent</v>
      </c>
    </row>
    <row r="181" spans="2:2" x14ac:dyDescent="0.75">
      <c r="B181" s="14" t="str">
        <f>IF('Subj-ConceptMap-1'!S176=0,"//---END",'Subj-ConceptMap-1'!S176)</f>
        <v/>
      </c>
    </row>
    <row r="182" spans="2:2" x14ac:dyDescent="0.75">
      <c r="B182" s="14" t="str">
        <f>IF('Subj-ConceptMap-1'!S177=0,"//---END",'Subj-ConceptMap-1'!S177)</f>
        <v>//---END</v>
      </c>
    </row>
    <row r="183" spans="2:2" x14ac:dyDescent="0.75">
      <c r="B183" s="14" t="str">
        <f>IF('Subj-ConceptMap-1'!S178=0,"//---END",'Subj-ConceptMap-1'!S178)</f>
        <v>//---END</v>
      </c>
    </row>
    <row r="184" spans="2:2" x14ac:dyDescent="0.75">
      <c r="B184" s="14" t="str">
        <f>IF('Subj-ConceptMap-1'!S179=0,"//---END",'Subj-ConceptMap-1'!S179)</f>
        <v>//---END</v>
      </c>
    </row>
    <row r="185" spans="2:2" x14ac:dyDescent="0.75">
      <c r="B185" s="14" t="str">
        <f>IF('Subj-ConceptMap-1'!S180=0,"//---END",'Subj-ConceptMap-1'!S180)</f>
        <v>//---END</v>
      </c>
    </row>
    <row r="186" spans="2:2" x14ac:dyDescent="0.75">
      <c r="B186" s="14" t="str">
        <f>IF('Subj-ConceptMap-1'!S181=0,"//---END",'Subj-ConceptMap-1'!S181)</f>
        <v>//---END</v>
      </c>
    </row>
    <row r="187" spans="2:2" x14ac:dyDescent="0.75">
      <c r="B187" s="14" t="str">
        <f>IF('Subj-ConceptMap-1'!S182=0,"//---END",'Subj-ConceptMap-1'!S182)</f>
        <v>//---END</v>
      </c>
    </row>
    <row r="188" spans="2:2" x14ac:dyDescent="0.75">
      <c r="B188" s="14" t="str">
        <f>IF('Subj-ConceptMap-1'!S183=0,"//---END",'Subj-ConceptMap-1'!S183)</f>
        <v>//---END</v>
      </c>
    </row>
    <row r="190" spans="2:2" x14ac:dyDescent="0.75">
      <c r="B190" s="65"/>
    </row>
    <row r="191" spans="2:2" x14ac:dyDescent="0.75">
      <c r="B191" s="67" t="str">
        <f>"* group[+].source = ##34#"&amp;'Subj-ConceptMap-2'!E6&amp;"##34#"</f>
        <v>* group[+].source = ##34#http://hl7.eu/fhir/ig/xpandh/ps/StructureDefinition/Subject##34#</v>
      </c>
    </row>
    <row r="192" spans="2:2" x14ac:dyDescent="0.75">
      <c r="B192" s="67" t="str">
        <f>"* group[=].target = ##34#"&amp;'Subj-ConceptMap-2'!E7&amp;"##34#"</f>
        <v>* group[=].target = ##34#http://hl7.eu/fhir/ig/xpandh/ps/StructureDefinition/Condition-ps-xpandh##34#</v>
      </c>
    </row>
    <row r="193" spans="2:2" x14ac:dyDescent="0.75">
      <c r="B193" s="69"/>
    </row>
    <row r="194" spans="2:2" x14ac:dyDescent="0.75">
      <c r="B194" t="str">
        <f>IF('Subj-ConceptMap-2'!S15=0,"//---END",'Subj-ConceptMap-2'!S15)</f>
        <v>* group[=].element[+].code = #Subject.identification</v>
      </c>
    </row>
    <row r="195" spans="2:2" x14ac:dyDescent="0.75">
      <c r="B195" t="str">
        <f>IF('Subj-ConceptMap-2'!S16=0,"//---END",'Subj-ConceptMap-2'!S16)</f>
        <v>* group[=].element[=].display = ##34#A.1.1 Identification of the patient/subject##34#</v>
      </c>
    </row>
    <row r="196" spans="2:2" x14ac:dyDescent="0.75">
      <c r="B196" t="str">
        <f>IF('Subj-ConceptMap-2'!S17=0,"//---END",'Subj-ConceptMap-2'!S17)</f>
        <v>* group[=].element[=].target.code = #Condition.subject</v>
      </c>
    </row>
    <row r="197" spans="2:2" x14ac:dyDescent="0.75">
      <c r="B197" t="str">
        <f>IF('Subj-ConceptMap-2'!S18=0,"//---END",'Subj-ConceptMap-2'!S18)</f>
        <v>* group[=].element[=].target.display = ##34###34#</v>
      </c>
    </row>
    <row r="198" spans="2:2" x14ac:dyDescent="0.75">
      <c r="B198" t="str">
        <f>IF('Subj-ConceptMap-2'!S19=0,"//---END",'Subj-ConceptMap-2'!S19)</f>
        <v>* group[=].element[=].target.equivalence = #relatedto</v>
      </c>
    </row>
    <row r="199" spans="2:2" x14ac:dyDescent="0.75">
      <c r="B199" t="str">
        <f>IF('Subj-ConceptMap-2'!S20=0,"//---END",'Subj-ConceptMap-2'!S20)</f>
        <v/>
      </c>
    </row>
    <row r="200" spans="2:2" x14ac:dyDescent="0.75">
      <c r="B200" t="str">
        <f>IF('Subj-ConceptMap-2'!S21=0,"//---END",'Subj-ConceptMap-2'!S21)</f>
        <v>* group[=].element[+].code = #Subject.hpToContact</v>
      </c>
    </row>
    <row r="201" spans="2:2" x14ac:dyDescent="0.75">
      <c r="B201" t="str">
        <f>IF('Subj-ConceptMap-2'!S22=0,"//---END",'Subj-ConceptMap-2'!S22)</f>
        <v>* group[=].element[=].display = ##34#A.1.2.2 Preferred HP to contact##34#</v>
      </c>
    </row>
    <row r="202" spans="2:2" x14ac:dyDescent="0.75">
      <c r="B202" t="str">
        <f>IF('Subj-ConceptMap-2'!S23=0,"//---END",'Subj-ConceptMap-2'!S23)</f>
        <v>* group[=].element[=].target.code = #Condition.participant.actor</v>
      </c>
    </row>
    <row r="203" spans="2:2" x14ac:dyDescent="0.75">
      <c r="B203" t="str">
        <f>IF('Subj-ConceptMap-2'!S24=0,"//---END",'Subj-ConceptMap-2'!S24)</f>
        <v>* group[=].element[=].target.display = ##34###34#</v>
      </c>
    </row>
    <row r="204" spans="2:2" x14ac:dyDescent="0.75">
      <c r="B204" t="str">
        <f>IF('Subj-ConceptMap-2'!S25=0,"//---END",'Subj-ConceptMap-2'!S25)</f>
        <v>* group[=].element[=].target.equivalence = #relatedto</v>
      </c>
    </row>
    <row r="205" spans="2:2" x14ac:dyDescent="0.75">
      <c r="B205" t="str">
        <f>IF('Subj-ConceptMap-2'!S26=0,"//---END",'Subj-ConceptMap-2'!S26)</f>
        <v>* group[=].element[=].target.comment = ##34#where function = TBD##34#</v>
      </c>
    </row>
    <row r="206" spans="2:2" x14ac:dyDescent="0.75">
      <c r="B206" t="str">
        <f>IF('Subj-ConceptMap-2'!S27=0,"//---END",'Subj-ConceptMap-2'!S27)</f>
        <v>* group[=].element[+].code = #Subject.hpToContact.name</v>
      </c>
    </row>
    <row r="207" spans="2:2" x14ac:dyDescent="0.75">
      <c r="B207" t="str">
        <f>IF('Subj-ConceptMap-2'!S28=0,"//---END",'Subj-ConceptMap-2'!S28)</f>
        <v>* group[=].element[=].display = ##34#A.1.2.2.1 Name of the HP##34#</v>
      </c>
    </row>
    <row r="208" spans="2:2" x14ac:dyDescent="0.75">
      <c r="B208" t="str">
        <f>IF('Subj-ConceptMap-2'!S29=0,"//---END",'Subj-ConceptMap-2'!S29)</f>
        <v>* group[=].element[=].target.code = #Condition.participant.actor.practitioner.name</v>
      </c>
    </row>
    <row r="209" spans="2:2" x14ac:dyDescent="0.75">
      <c r="B209" t="str">
        <f>IF('Subj-ConceptMap-2'!S30=0,"//---END",'Subj-ConceptMap-2'!S30)</f>
        <v>* group[=].element[=].target.display = ##34###34#</v>
      </c>
    </row>
    <row r="210" spans="2:2" x14ac:dyDescent="0.75">
      <c r="B210" t="str">
        <f>IF('Subj-ConceptMap-2'!S31=0,"//---END",'Subj-ConceptMap-2'!S31)</f>
        <v>* group[=].element[=].target.equivalence = #relatedto</v>
      </c>
    </row>
    <row r="211" spans="2:2" x14ac:dyDescent="0.75">
      <c r="B211" t="str">
        <f>IF('Subj-ConceptMap-2'!S32=0,"//---END",'Subj-ConceptMap-2'!S32)</f>
        <v>* group[=].element[=].target.comment = ##34#where function = TBD AND actor of type PracticionerRole##34#</v>
      </c>
    </row>
    <row r="212" spans="2:2" x14ac:dyDescent="0.75">
      <c r="B212" t="str">
        <f>IF('Subj-ConceptMap-2'!S33=0,"//---END",'Subj-ConceptMap-2'!S33)</f>
        <v>* group[=].element[+].code = #Subject.hpToContact.role</v>
      </c>
    </row>
    <row r="213" spans="2:2" x14ac:dyDescent="0.75">
      <c r="B213" t="str">
        <f>IF('Subj-ConceptMap-2'!S34=0,"//---END",'Subj-ConceptMap-2'!S34)</f>
        <v>* group[=].element[=].display = ##34#A.1.2.2.2 Role of the HP##34#</v>
      </c>
    </row>
    <row r="214" spans="2:2" x14ac:dyDescent="0.75">
      <c r="B214" t="str">
        <f>IF('Subj-ConceptMap-2'!S35=0,"//---END",'Subj-ConceptMap-2'!S35)</f>
        <v>* group[=].element[=].target.code = #Condition.participant.actor.code</v>
      </c>
    </row>
    <row r="215" spans="2:2" x14ac:dyDescent="0.75">
      <c r="B215" t="str">
        <f>IF('Subj-ConceptMap-2'!S36=0,"//---END",'Subj-ConceptMap-2'!S36)</f>
        <v>* group[=].element[=].target.display = ##34###34#</v>
      </c>
    </row>
    <row r="216" spans="2:2" x14ac:dyDescent="0.75">
      <c r="B216" t="str">
        <f>IF('Subj-ConceptMap-2'!S37=0,"//---END",'Subj-ConceptMap-2'!S37)</f>
        <v>* group[=].element[=].target.equivalence = #relatedto</v>
      </c>
    </row>
    <row r="217" spans="2:2" x14ac:dyDescent="0.75">
      <c r="B217" t="str">
        <f>IF('Subj-ConceptMap-2'!S38=0,"//---END",'Subj-ConceptMap-2'!S38)</f>
        <v>* group[=].element[=].target.comment = ##34#where function = TBD AND actor of type PracticionerRole##34#</v>
      </c>
    </row>
    <row r="218" spans="2:2" x14ac:dyDescent="0.75">
      <c r="B218" t="str">
        <f>IF('Subj-ConceptMap-2'!S39=0,"//---END",'Subj-ConceptMap-2'!S39)</f>
        <v>* group[=].element[+].code = #Subject.hpToContact.organization</v>
      </c>
    </row>
    <row r="219" spans="2:2" x14ac:dyDescent="0.75">
      <c r="B219" t="str">
        <f>IF('Subj-ConceptMap-2'!S40=0,"//---END",'Subj-ConceptMap-2'!S40)</f>
        <v>* group[=].element[=].display = ##34#A.1.2.2.3 HP Organisation##34#</v>
      </c>
    </row>
    <row r="220" spans="2:2" x14ac:dyDescent="0.75">
      <c r="B220" t="str">
        <f>IF('Subj-ConceptMap-2'!S41=0,"//---END",'Subj-ConceptMap-2'!S41)</f>
        <v>* group[=].element[=].target.code = #Condition.participant.actor.organization</v>
      </c>
    </row>
    <row r="221" spans="2:2" x14ac:dyDescent="0.75">
      <c r="B221" t="str">
        <f>IF('Subj-ConceptMap-2'!S42=0,"//---END",'Subj-ConceptMap-2'!S42)</f>
        <v>* group[=].element[=].target.display = ##34###34#</v>
      </c>
    </row>
    <row r="222" spans="2:2" x14ac:dyDescent="0.75">
      <c r="B222" t="str">
        <f>IF('Subj-ConceptMap-2'!S43=0,"//---END",'Subj-ConceptMap-2'!S43)</f>
        <v>* group[=].element[=].target.equivalence = #relatedto</v>
      </c>
    </row>
    <row r="223" spans="2:2" x14ac:dyDescent="0.75">
      <c r="B223" t="str">
        <f>IF('Subj-ConceptMap-2'!S44=0,"//---END",'Subj-ConceptMap-2'!S44)</f>
        <v>* group[=].element[=].target.comment = ##34#where function = TBD AND actor of type PracticionerRole##34#</v>
      </c>
    </row>
    <row r="224" spans="2:2" x14ac:dyDescent="0.75">
      <c r="B224" t="str">
        <f>IF('Subj-ConceptMap-2'!S45=0,"//---END",'Subj-ConceptMap-2'!S45)</f>
        <v>* group[=].element[+].code = #Subject.hpToContact.telephone</v>
      </c>
    </row>
    <row r="225" spans="2:2" x14ac:dyDescent="0.75">
      <c r="B225" t="str">
        <f>IF('Subj-ConceptMap-2'!S46=0,"//---END",'Subj-ConceptMap-2'!S46)</f>
        <v>* group[=].element[=].display = ##34#A.1.2.2.4 Telephone no.##34#</v>
      </c>
    </row>
    <row r="226" spans="2:2" x14ac:dyDescent="0.75">
      <c r="B226" t="str">
        <f>IF('Subj-ConceptMap-2'!S47=0,"//---END",'Subj-ConceptMap-2'!S47)</f>
        <v>* group[=].element[=].target.code = #Condition.participant.actor.telecom</v>
      </c>
    </row>
    <row r="227" spans="2:2" x14ac:dyDescent="0.75">
      <c r="B227" t="str">
        <f>IF('Subj-ConceptMap-2'!S48=0,"//---END",'Subj-ConceptMap-2'!S48)</f>
        <v>* group[=].element[=].target.display = ##34###34#</v>
      </c>
    </row>
    <row r="228" spans="2:2" x14ac:dyDescent="0.75">
      <c r="B228" t="str">
        <f>IF('Subj-ConceptMap-2'!S49=0,"//---END",'Subj-ConceptMap-2'!S49)</f>
        <v>* group[=].element[=].target.equivalence = #relatedto</v>
      </c>
    </row>
    <row r="229" spans="2:2" x14ac:dyDescent="0.75">
      <c r="B229" t="str">
        <f>IF('Subj-ConceptMap-2'!S50=0,"//---END",'Subj-ConceptMap-2'!S50)</f>
        <v>* group[=].element[=].target.comment = ##34#where function = TBD AND actor of type PracticionerRole##34#</v>
      </c>
    </row>
    <row r="230" spans="2:2" x14ac:dyDescent="0.75">
      <c r="B230" t="str">
        <f>IF('Subj-ConceptMap-2'!S51=0,"//---END",'Subj-ConceptMap-2'!S51)</f>
        <v>* group[=].element[+].code = #Subject.hpToContact.email</v>
      </c>
    </row>
    <row r="231" spans="2:2" x14ac:dyDescent="0.75">
      <c r="B231" t="str">
        <f>IF('Subj-ConceptMap-2'!S52=0,"//---END",'Subj-ConceptMap-2'!S52)</f>
        <v>* group[=].element[=].display = ##34#A.1.2.2.5 Email##34#</v>
      </c>
    </row>
    <row r="232" spans="2:2" x14ac:dyDescent="0.75">
      <c r="B232" t="str">
        <f>IF('Subj-ConceptMap-2'!S53=0,"//---END",'Subj-ConceptMap-2'!S53)</f>
        <v>* group[=].element[=].target.code = #Condition.participant.actor.telecom</v>
      </c>
    </row>
    <row r="233" spans="2:2" x14ac:dyDescent="0.75">
      <c r="B233" t="str">
        <f>IF('Subj-ConceptMap-2'!S54=0,"//---END",'Subj-ConceptMap-2'!S54)</f>
        <v>* group[=].element[=].target.display = ##34###34#</v>
      </c>
    </row>
    <row r="234" spans="2:2" x14ac:dyDescent="0.75">
      <c r="B234" t="str">
        <f>IF('Subj-ConceptMap-2'!S55=0,"//---END",'Subj-ConceptMap-2'!S55)</f>
        <v>* group[=].element[=].target.equivalence = #relatedto</v>
      </c>
    </row>
    <row r="235" spans="2:2" x14ac:dyDescent="0.75">
      <c r="B235" t="str">
        <f>IF('Subj-ConceptMap-2'!S56=0,"//---END",'Subj-ConceptMap-2'!S56)</f>
        <v>* group[=].element[=].target.comment = ##34#where function = TBD AND actor of type PracticionerRole##34#</v>
      </c>
    </row>
    <row r="236" spans="2:2" x14ac:dyDescent="0.75">
      <c r="B236" t="str">
        <f>IF('Subj-ConceptMap-2'!S57=0,"//---END",'Subj-ConceptMap-2'!S57)</f>
        <v>* group[=].element[+].code = #Subject.hpToContact.affiliatedNetwork</v>
      </c>
    </row>
    <row r="237" spans="2:2" x14ac:dyDescent="0.75">
      <c r="B237" t="str">
        <f>IF('Subj-ConceptMap-2'!S58=0,"//---END",'Subj-ConceptMap-2'!S58)</f>
        <v>* group[=].element[=].display = ##34#A.1.2.2.6 Network affiliation##34#</v>
      </c>
    </row>
    <row r="238" spans="2:2" x14ac:dyDescent="0.75">
      <c r="B238" t="str">
        <f>IF('Subj-ConceptMap-2'!S59=0,"//---END",'Subj-ConceptMap-2'!S59)</f>
        <v>* group[=].element[=].target.code = #Condition.participant.actor.organization</v>
      </c>
    </row>
    <row r="239" spans="2:2" x14ac:dyDescent="0.75">
      <c r="B239" t="str">
        <f>IF('Subj-ConceptMap-2'!S60=0,"//---END",'Subj-ConceptMap-2'!S60)</f>
        <v>* group[=].element[=].target.display = ##34###34#</v>
      </c>
    </row>
    <row r="240" spans="2:2" x14ac:dyDescent="0.75">
      <c r="B240" t="str">
        <f>IF('Subj-ConceptMap-2'!S61=0,"//---END",'Subj-ConceptMap-2'!S61)</f>
        <v>* group[=].element[=].target.equivalence = #relatedto</v>
      </c>
    </row>
    <row r="241" spans="2:2" x14ac:dyDescent="0.75">
      <c r="B241" t="str">
        <f>IF('Subj-ConceptMap-2'!S62=0,"//---END",'Subj-ConceptMap-2'!S62)</f>
        <v>* group[=].element[=].target.comment = ##34#This might be described by using a CareTeam having this organization as participant.member##34#</v>
      </c>
    </row>
    <row r="242" spans="2:2" x14ac:dyDescent="0.75">
      <c r="B242" t="str">
        <f>IF('Subj-ConceptMap-2'!S63=0,"//---END",'Subj-ConceptMap-2'!S63)</f>
        <v>* group[=].element[+].code = #Subject.hpToContact.relatedWith</v>
      </c>
    </row>
    <row r="243" spans="2:2" x14ac:dyDescent="0.75">
      <c r="B243" t="str">
        <f>IF('Subj-ConceptMap-2'!S64=0,"//---END",'Subj-ConceptMap-2'!S64)</f>
        <v>* group[=].element[=].display = ##34#A.1.2.2.7 Related with##34#</v>
      </c>
    </row>
    <row r="244" spans="2:2" x14ac:dyDescent="0.75">
      <c r="B244" t="str">
        <f>IF('Subj-ConceptMap-2'!S65=0,"//---END",'Subj-ConceptMap-2'!S65)</f>
        <v>* group[=].element[=].target.code = #Condition</v>
      </c>
    </row>
    <row r="245" spans="2:2" x14ac:dyDescent="0.75">
      <c r="B245" t="str">
        <f>IF('Subj-ConceptMap-2'!S66=0,"//---END",'Subj-ConceptMap-2'!S66)</f>
        <v>* group[=].element[=].target.display = ##34###34#</v>
      </c>
    </row>
    <row r="246" spans="2:2" x14ac:dyDescent="0.75">
      <c r="B246" t="str">
        <f>IF('Subj-ConceptMap-2'!S67=0,"//---END",'Subj-ConceptMap-2'!S67)</f>
        <v>* group[=].element[=].target.equivalence = #relatedto</v>
      </c>
    </row>
    <row r="247" spans="2:2" x14ac:dyDescent="0.75">
      <c r="B247" t="str">
        <f>IF('Subj-ConceptMap-2'!S68=0,"//---END",'Subj-ConceptMap-2'!S68)</f>
        <v>* group[=].element[=].target.comment = ##34#The contact is intrinsically connected with the Condition##34#</v>
      </c>
    </row>
    <row r="248" spans="2:2" x14ac:dyDescent="0.75">
      <c r="B248" t="str">
        <f>IF('Subj-ConceptMap-2'!S69=0,"//---END",'Subj-ConceptMap-2'!S69)</f>
        <v>//---END</v>
      </c>
    </row>
    <row r="249" spans="2:2" x14ac:dyDescent="0.75">
      <c r="B249" t="str">
        <f>IF('Subj-ConceptMap-2'!S70=0,"//---END",'Subj-ConceptMap-2'!S70)</f>
        <v>//---END</v>
      </c>
    </row>
    <row r="250" spans="2:2" x14ac:dyDescent="0.75">
      <c r="B250" t="str">
        <f>IF('Subj-ConceptMap-2'!S71=0,"//---END",'Subj-ConceptMap-2'!S71)</f>
        <v>//---END</v>
      </c>
    </row>
    <row r="251" spans="2:2" x14ac:dyDescent="0.75">
      <c r="B251" t="str">
        <f>IF('Subj-ConceptMap-2'!S72=0,"//---END",'Subj-ConceptMap-2'!S72)</f>
        <v>//---END</v>
      </c>
    </row>
    <row r="252" spans="2:2" x14ac:dyDescent="0.75">
      <c r="B252" t="str">
        <f>IF('Subj-ConceptMap-2'!S73=0,"//---END",'Subj-ConceptMap-2'!S73)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70" t="s">
        <v>120</v>
      </c>
      <c r="D23" s="152"/>
      <c r="E23" s="152"/>
      <c r="F23" s="153"/>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903</v>
      </c>
      <c r="F3" s="164"/>
      <c r="G3" s="164"/>
    </row>
    <row r="4" spans="1:19" x14ac:dyDescent="0.75">
      <c r="B4" s="61" t="s">
        <v>19</v>
      </c>
      <c r="C4" s="47" t="s">
        <v>517</v>
      </c>
      <c r="D4" s="61" t="s">
        <v>209</v>
      </c>
      <c r="E4" s="165" t="s">
        <v>901</v>
      </c>
      <c r="F4" s="164"/>
      <c r="G4" s="164"/>
    </row>
    <row r="5" spans="1:19" x14ac:dyDescent="0.75">
      <c r="B5" s="61" t="s">
        <v>13</v>
      </c>
      <c r="C5" s="10" t="s">
        <v>224</v>
      </c>
      <c r="D5" s="61"/>
      <c r="E5" s="10"/>
    </row>
    <row r="6" spans="1:19" x14ac:dyDescent="0.75">
      <c r="B6" s="61" t="s">
        <v>35</v>
      </c>
      <c r="C6" s="60" t="s">
        <v>900</v>
      </c>
      <c r="D6" s="61" t="s">
        <v>206</v>
      </c>
      <c r="E6" s="165" t="s">
        <v>903</v>
      </c>
      <c r="F6" s="164"/>
      <c r="G6" s="164"/>
    </row>
    <row r="7" spans="1:19" x14ac:dyDescent="0.75">
      <c r="B7" s="61" t="s">
        <v>18</v>
      </c>
      <c r="C7" s="68" t="s">
        <v>540</v>
      </c>
      <c r="D7" s="61" t="s">
        <v>207</v>
      </c>
      <c r="E7" s="165" t="s">
        <v>904</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903</v>
      </c>
      <c r="F3" s="164"/>
      <c r="G3" s="164"/>
    </row>
    <row r="4" spans="1:19" x14ac:dyDescent="0.75">
      <c r="B4" s="61" t="s">
        <v>19</v>
      </c>
      <c r="C4" s="47" t="s">
        <v>517</v>
      </c>
      <c r="D4" s="61" t="s">
        <v>209</v>
      </c>
      <c r="E4" s="165" t="s">
        <v>901</v>
      </c>
      <c r="F4" s="164"/>
      <c r="G4" s="164"/>
    </row>
    <row r="5" spans="1:19" x14ac:dyDescent="0.75">
      <c r="B5" s="61" t="s">
        <v>13</v>
      </c>
      <c r="C5" s="10" t="s">
        <v>224</v>
      </c>
      <c r="D5" s="61"/>
      <c r="E5" s="10"/>
    </row>
    <row r="6" spans="1:19" x14ac:dyDescent="0.75">
      <c r="B6" s="61" t="s">
        <v>35</v>
      </c>
      <c r="C6" s="60" t="s">
        <v>900</v>
      </c>
      <c r="D6" s="61" t="s">
        <v>206</v>
      </c>
      <c r="E6" s="165" t="s">
        <v>903</v>
      </c>
      <c r="F6" s="164"/>
      <c r="G6" s="164"/>
    </row>
    <row r="7" spans="1:19" x14ac:dyDescent="0.75">
      <c r="B7" s="61" t="s">
        <v>18</v>
      </c>
      <c r="C7" s="68" t="s">
        <v>540</v>
      </c>
      <c r="D7" s="61" t="s">
        <v>207</v>
      </c>
      <c r="E7" s="165" t="s">
        <v>313</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9" t="str">
        <f>'Payer-ConceptMap-1'!E3</f>
        <v>http://hl7.eu/fhir/ig/xpandh/ps/StructureDefinition/Payer</v>
      </c>
      <c r="F3" s="180"/>
      <c r="G3" s="180"/>
    </row>
    <row r="4" spans="1:19" x14ac:dyDescent="0.75">
      <c r="B4" s="61" t="s">
        <v>19</v>
      </c>
      <c r="C4" s="47" t="str">
        <f>'Payer-ConceptMap-1'!C4</f>
        <v>payer2FHIR-eu-ps</v>
      </c>
      <c r="D4" s="61" t="s">
        <v>209</v>
      </c>
      <c r="E4" s="165" t="str">
        <f>'Payer-ConceptMap-1'!E4</f>
        <v>http://hl7.eu/fhir/ig/xpandh/ps/StructureDefinition/Bundle-eu-ps</v>
      </c>
      <c r="F4" s="164"/>
      <c r="G4" s="164"/>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5" t="str">
        <f>E3</f>
        <v>http://hl7.eu/fhir/ig/xpandh/ps/StructureDefinition/Payer</v>
      </c>
      <c r="F6" s="164"/>
      <c r="G6" s="164"/>
    </row>
    <row r="7" spans="1:19" x14ac:dyDescent="0.75">
      <c r="B7" s="61" t="s">
        <v>18</v>
      </c>
      <c r="C7" s="68" t="str">
        <f>'Payer-ConceptMap-1'!C7</f>
        <v>http://hl7.eu/fhir/ig/xpandh/ps</v>
      </c>
      <c r="D7" s="61" t="s">
        <v>207</v>
      </c>
      <c r="E7" s="165" t="s">
        <v>905</v>
      </c>
      <c r="F7" s="164"/>
      <c r="G7" s="164"/>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892</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920</v>
      </c>
      <c r="D8" s="14" t="s">
        <v>931</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921</v>
      </c>
      <c r="D9" s="14" t="s">
        <v>932</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887</v>
      </c>
      <c r="C10" s="9" t="s">
        <v>922</v>
      </c>
      <c r="D10" s="14" t="s">
        <v>930</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888</v>
      </c>
      <c r="C11" s="9" t="s">
        <v>923</v>
      </c>
      <c r="D11" s="14" t="s">
        <v>933</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889</v>
      </c>
      <c r="C12" s="9" t="s">
        <v>924</v>
      </c>
      <c r="D12" s="14" t="s">
        <v>934</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890</v>
      </c>
      <c r="C13" s="9" t="s">
        <v>925</v>
      </c>
      <c r="D13" s="14" t="s">
        <v>935</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891</v>
      </c>
      <c r="C14" s="9" t="s">
        <v>926</v>
      </c>
      <c r="D14" s="14" t="s">
        <v>936</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927</v>
      </c>
      <c r="D15" s="14" t="s">
        <v>937</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885</v>
      </c>
      <c r="C16" s="9" t="s">
        <v>928</v>
      </c>
      <c r="D16" s="14" t="s">
        <v>938</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886</v>
      </c>
      <c r="C17" s="9" t="s">
        <v>929</v>
      </c>
      <c r="D17" s="14" t="s">
        <v>939</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70" t="s">
        <v>1005</v>
      </c>
      <c r="D25" s="152"/>
      <c r="E25" s="152"/>
      <c r="F25" s="153"/>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893</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894</v>
      </c>
      <c r="D3" s="61" t="s">
        <v>208</v>
      </c>
      <c r="E3" s="165" t="s">
        <v>906</v>
      </c>
      <c r="F3" s="164"/>
      <c r="G3" s="164"/>
    </row>
    <row r="4" spans="1:19" x14ac:dyDescent="0.75">
      <c r="B4" s="61" t="s">
        <v>19</v>
      </c>
      <c r="C4" s="47" t="s">
        <v>898</v>
      </c>
      <c r="D4" s="61" t="s">
        <v>209</v>
      </c>
      <c r="E4" s="72" t="s">
        <v>899</v>
      </c>
    </row>
    <row r="5" spans="1:19" x14ac:dyDescent="0.75">
      <c r="B5" s="61" t="s">
        <v>13</v>
      </c>
      <c r="C5" s="10" t="s">
        <v>895</v>
      </c>
      <c r="D5" s="61"/>
      <c r="E5" s="10"/>
    </row>
    <row r="6" spans="1:19" x14ac:dyDescent="0.75">
      <c r="B6" s="61" t="s">
        <v>35</v>
      </c>
      <c r="C6" s="60" t="s">
        <v>906</v>
      </c>
      <c r="D6" s="61" t="s">
        <v>206</v>
      </c>
      <c r="E6" s="165" t="s">
        <v>906</v>
      </c>
      <c r="F6" s="164"/>
      <c r="G6" s="164"/>
    </row>
    <row r="7" spans="1:19" x14ac:dyDescent="0.75">
      <c r="B7" s="61" t="s">
        <v>18</v>
      </c>
      <c r="C7" s="68" t="s">
        <v>540</v>
      </c>
      <c r="D7" s="61" t="s">
        <v>207</v>
      </c>
      <c r="E7" s="165" t="s">
        <v>899</v>
      </c>
      <c r="F7" s="164"/>
      <c r="G7" s="164"/>
    </row>
    <row r="8" spans="1:19" ht="44.25" x14ac:dyDescent="0.75">
      <c r="B8" s="61" t="s">
        <v>204</v>
      </c>
      <c r="C8" s="10" t="s">
        <v>896</v>
      </c>
      <c r="D8" s="61"/>
      <c r="E8"/>
      <c r="I8" s="14" t="s">
        <v>181</v>
      </c>
      <c r="J8" s="14" t="s">
        <v>182</v>
      </c>
      <c r="K8" s="14" t="s">
        <v>183</v>
      </c>
      <c r="L8" s="14" t="s">
        <v>184</v>
      </c>
      <c r="M8" s="9" t="s">
        <v>185</v>
      </c>
      <c r="P8" s="57" t="s">
        <v>186</v>
      </c>
      <c r="Q8" s="57">
        <v>6</v>
      </c>
    </row>
    <row r="9" spans="1:19" ht="29.5" x14ac:dyDescent="0.75">
      <c r="B9" s="61" t="s">
        <v>205</v>
      </c>
      <c r="C9" s="1" t="s">
        <v>897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918</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909</v>
      </c>
      <c r="E17" s="9"/>
      <c r="F17" s="63" t="s">
        <v>193</v>
      </c>
      <c r="G17" s="70" t="s">
        <v>911</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910</v>
      </c>
      <c r="E18" s="9"/>
      <c r="F18" s="63" t="s">
        <v>192</v>
      </c>
      <c r="G18" s="70" t="s">
        <v>912</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913</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889</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915</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914</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916</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917</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919</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78</v>
      </c>
      <c r="D26" s="152"/>
      <c r="E26" s="152"/>
      <c r="F26" s="153"/>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907</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5" t="s">
        <v>907</v>
      </c>
      <c r="F6" s="164"/>
      <c r="G6" s="164"/>
    </row>
    <row r="7" spans="1:19" x14ac:dyDescent="0.75">
      <c r="B7" s="61" t="s">
        <v>18</v>
      </c>
      <c r="C7" s="68"/>
      <c r="D7" s="61" t="s">
        <v>207</v>
      </c>
      <c r="E7" s="165" t="s">
        <v>902</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907</v>
      </c>
    </row>
    <row r="4" spans="1:19" x14ac:dyDescent="0.75">
      <c r="B4" s="61" t="s">
        <v>19</v>
      </c>
      <c r="C4" s="47" t="s">
        <v>518</v>
      </c>
      <c r="D4" s="61" t="s">
        <v>209</v>
      </c>
      <c r="E4" s="165" t="s">
        <v>901</v>
      </c>
      <c r="F4" s="164"/>
      <c r="G4" s="164"/>
    </row>
    <row r="5" spans="1:19" x14ac:dyDescent="0.75">
      <c r="B5" s="61" t="s">
        <v>13</v>
      </c>
      <c r="C5" s="10" t="s">
        <v>230</v>
      </c>
      <c r="D5" s="61"/>
      <c r="E5" s="10"/>
    </row>
    <row r="6" spans="1:19" x14ac:dyDescent="0.75">
      <c r="B6" s="61" t="s">
        <v>35</v>
      </c>
      <c r="C6" s="60"/>
      <c r="D6" s="61" t="s">
        <v>206</v>
      </c>
      <c r="E6" s="165" t="s">
        <v>907</v>
      </c>
      <c r="F6" s="164"/>
      <c r="G6" s="164"/>
    </row>
    <row r="7" spans="1:19" x14ac:dyDescent="0.75">
      <c r="B7" s="61" t="s">
        <v>18</v>
      </c>
      <c r="C7" s="68"/>
      <c r="D7" s="61" t="s">
        <v>207</v>
      </c>
      <c r="E7" s="164" t="s">
        <v>908</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907</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5" t="s">
        <v>907</v>
      </c>
      <c r="F6" s="164"/>
      <c r="G6" s="164"/>
    </row>
    <row r="7" spans="1:19" x14ac:dyDescent="0.75">
      <c r="B7" s="61" t="s">
        <v>18</v>
      </c>
      <c r="C7" s="68"/>
      <c r="D7" s="61" t="s">
        <v>207</v>
      </c>
      <c r="E7" s="164" t="s">
        <v>908</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2"/>
      <c r="E26" s="152"/>
      <c r="F26" s="153"/>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5" t="str">
        <f>"http://hl7.eu/fhir/ig/xpandh/ps/StructureDefinition/"&amp;'A1.6 LegalAuth'!B5</f>
        <v>http://hl7.eu/fhir/ig/xpandh/ps/StructureDefinition/LegalAuthenticator</v>
      </c>
      <c r="F3" s="164"/>
      <c r="G3" s="164"/>
    </row>
    <row r="4" spans="1:19" x14ac:dyDescent="0.75">
      <c r="B4" s="61" t="s">
        <v>19</v>
      </c>
      <c r="C4" s="47" t="s">
        <v>519</v>
      </c>
      <c r="D4" s="61" t="s">
        <v>209</v>
      </c>
      <c r="E4" s="165" t="s">
        <v>902</v>
      </c>
      <c r="F4" s="164"/>
      <c r="G4" s="164"/>
    </row>
    <row r="5" spans="1:19" x14ac:dyDescent="0.75">
      <c r="B5" s="61" t="s">
        <v>13</v>
      </c>
      <c r="C5" s="10" t="s">
        <v>226</v>
      </c>
      <c r="D5" s="61"/>
      <c r="E5" s="10"/>
    </row>
    <row r="6" spans="1:19" x14ac:dyDescent="0.75">
      <c r="B6" s="61" t="s">
        <v>35</v>
      </c>
      <c r="C6" s="60"/>
      <c r="D6" s="61" t="s">
        <v>206</v>
      </c>
      <c r="E6" s="165" t="str">
        <f>E3</f>
        <v>http://hl7.eu/fhir/ig/xpandh/ps/StructureDefinition/LegalAuthenticator</v>
      </c>
      <c r="F6" s="164"/>
      <c r="G6" s="164"/>
    </row>
    <row r="7" spans="1:19" x14ac:dyDescent="0.75">
      <c r="B7" s="61" t="s">
        <v>18</v>
      </c>
      <c r="C7" s="68"/>
      <c r="D7" s="61" t="s">
        <v>207</v>
      </c>
      <c r="E7" s="165" t="str">
        <f>E4</f>
        <v>http://hl7.eu/fhir/ig/xpandh/ps/StructureDefinition/Composition-eu-ps</v>
      </c>
      <c r="F7" s="164"/>
      <c r="G7" s="164"/>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73</vt:i4>
      </vt:variant>
      <vt:variant>
        <vt:lpstr>Intervalli denominati</vt:lpstr>
      </vt:variant>
      <vt:variant>
        <vt:i4>1</vt:i4>
      </vt:variant>
    </vt:vector>
  </HeadingPairs>
  <TitlesOfParts>
    <vt:vector size="74" baseType="lpstr">
      <vt:lpstr>Body</vt:lpstr>
      <vt:lpstr>Header</vt:lpstr>
      <vt:lpstr>PS</vt:lpstr>
      <vt:lpstr>PS-fsh</vt:lpstr>
      <vt:lpstr>PS-ConceptMap-1</vt:lpstr>
      <vt:lpstr>PS-ConceptMap-2</vt:lpstr>
      <vt:lpstr>PS-CM-fsh</vt:lpstr>
      <vt:lpstr>A.2.3.3 Pregnancy</vt:lpstr>
      <vt:lpstr>Pregnancy-fsh</vt:lpstr>
      <vt:lpstr>Pregnancy-ConceptMap-1</vt:lpstr>
      <vt:lpstr>Pregnancy-ConceptMap-2</vt:lpstr>
      <vt:lpstr>Pregnancy-ConceptMap-3</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Subj-ConceptMap-2</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2024-03-01T15:32:40Z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