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drawings/drawing21.xml" ContentType="application/vnd.openxmlformats-officedocument.drawing+xml"/>
  <Override PartName="/xl/ctrlProps/ctrlProp22.xml" ContentType="application/vnd.ms-excel.controlproperties+xml"/>
  <Override PartName="/xl/drawings/drawing22.xml" ContentType="application/vnd.openxmlformats-officedocument.drawing+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FB3E2B4B-E683-492D-B5B5-D86E2B2ADC1F}" xr6:coauthVersionLast="47" xr6:coauthVersionMax="47" xr10:uidLastSave="{00000000-0000-0000-0000-000000000000}"/>
  <bookViews>
    <workbookView xWindow="-90" yWindow="-21710" windowWidth="38620" windowHeight="21100" firstSheet="44" activeTab="50" xr2:uid="{6572D17F-2786-461A-AF68-FCA595C6091B}"/>
  </bookViews>
  <sheets>
    <sheet name="Body" sheetId="107" r:id="rId1"/>
    <sheet name="Header" sheetId="106" r:id="rId2"/>
    <sheet name="PS" sheetId="108" r:id="rId3"/>
    <sheet name="PS-fsh" sheetId="110" r:id="rId4"/>
    <sheet name="PS-ConceptMap-1" sheetId="137" r:id="rId5"/>
    <sheet name="PS-ConceptMap-2" sheetId="199" r:id="rId6"/>
    <sheet name="PS-CM-fsh" sheetId="138" r:id="rId7"/>
    <sheet name="A.2.3.3 Pregnancy" sheetId="192" r:id="rId8"/>
    <sheet name="Pregnancy-fsh" sheetId="193" r:id="rId9"/>
    <sheet name="Pregnancy-ConceptMap-1" sheetId="194" r:id="rId10"/>
    <sheet name="Pregnancy-ConceptMap-2" sheetId="196" r:id="rId11"/>
    <sheet name="Pregnancy-ConceptMap-3" sheetId="197" r:id="rId12"/>
    <sheet name="Pregnancy-CM-fsh" sheetId="195" r:id="rId13"/>
    <sheet name="A.2.3.3 FunctionalStatus" sheetId="188" r:id="rId14"/>
    <sheet name="FunctionalStatus-fsh" sheetId="189" r:id="rId15"/>
    <sheet name="FunctionalStat-ConceptMap-1" sheetId="190" r:id="rId16"/>
    <sheet name="FunctionalStatus-CM-fsh" sheetId="191" r:id="rId17"/>
    <sheet name="A.2.3.3 Procedures" sheetId="184" r:id="rId18"/>
    <sheet name="Procedures-fsh" sheetId="185" r:id="rId19"/>
    <sheet name="Procedures-ConceptMap-1" sheetId="186" r:id="rId20"/>
    <sheet name="Procedures-CM-fsh" sheetId="187" r:id="rId21"/>
    <sheet name="A.2.3.2 Devices" sheetId="180" r:id="rId22"/>
    <sheet name="Devices-fsh" sheetId="181" r:id="rId23"/>
    <sheet name="Devices-ConceptMap-1" sheetId="182" r:id="rId24"/>
    <sheet name="Devices-CM-fsh" sheetId="183" r:id="rId25"/>
    <sheet name="A.2.3.1 Problem" sheetId="176" r:id="rId26"/>
    <sheet name="Problem-fsh" sheetId="177" r:id="rId27"/>
    <sheet name="Problem-ConceptMap-1" sheetId="178" r:id="rId28"/>
    <sheet name="Problem-CM-fsh" sheetId="179" r:id="rId29"/>
    <sheet name="A.2.2.2 ClosedProblem" sheetId="131" r:id="rId30"/>
    <sheet name="ClosedProblem-fsh" sheetId="133" r:id="rId31"/>
    <sheet name="ClosedProblem-ConceptMap-1" sheetId="162" r:id="rId32"/>
    <sheet name="ClosedProblem-CM-fsh" sheetId="165" r:id="rId33"/>
    <sheet name="A.2.8 Results" sheetId="134" r:id="rId34"/>
    <sheet name="Results-fsh" sheetId="136" r:id="rId35"/>
    <sheet name="Results-ConceptMap-1" sheetId="168" r:id="rId36"/>
    <sheet name="Results-CM-fsh" sheetId="171" r:id="rId37"/>
    <sheet name="A.2.4.1  Medicine" sheetId="118" r:id="rId38"/>
    <sheet name="Medicine-fsh" sheetId="120" r:id="rId39"/>
    <sheet name="Medicine-ConceptMap-1" sheetId="157" r:id="rId40"/>
    <sheet name="Medicine-ConceptMap-2" sheetId="175" r:id="rId41"/>
    <sheet name="Medicine-CM-fsh" sheetId="158" r:id="rId42"/>
    <sheet name="A.2.2.1 Vaccination" sheetId="128" r:id="rId43"/>
    <sheet name="Vaccination-fsh" sheetId="130" r:id="rId44"/>
    <sheet name="Vaccination-ConceptMap-1" sheetId="159" r:id="rId45"/>
    <sheet name="Vaccination-CM-fsh" sheetId="161" r:id="rId46"/>
    <sheet name="Subj" sheetId="12" r:id="rId47"/>
    <sheet name="Subj-fsh" sheetId="73" r:id="rId48"/>
    <sheet name="Subj-ConceptMap-1" sheetId="141" r:id="rId49"/>
    <sheet name="Subj-ConceptMap-2" sheetId="198" r:id="rId50"/>
    <sheet name="Subj-CM-fsh" sheetId="143" r:id="rId51"/>
    <sheet name="A1.3 Payer" sheetId="111" r:id="rId52"/>
    <sheet name="Payer-Map-1" sheetId="112" r:id="rId53"/>
    <sheet name="Payer-fsh" sheetId="113" r:id="rId54"/>
    <sheet name="Payer-ConceptMap-1" sheetId="144" r:id="rId55"/>
    <sheet name="Payer-ConceptMap-2" sheetId="173" r:id="rId56"/>
    <sheet name="Payer-ConceptMap-3" sheetId="172" r:id="rId57"/>
    <sheet name="Payer-CM-fsh" sheetId="145" r:id="rId58"/>
    <sheet name="A.2.1.1 Allergy" sheetId="115" r:id="rId59"/>
    <sheet name="Allergy-fsh" sheetId="117" r:id="rId60"/>
    <sheet name="Allergy-ConceptMap-1" sheetId="146" r:id="rId61"/>
    <sheet name="Allergy-CM-fsh" sheetId="147" r:id="rId62"/>
    <sheet name="A1.5 Author" sheetId="124" r:id="rId63"/>
    <sheet name="Author-Map-1" sheetId="125" r:id="rId64"/>
    <sheet name="Author-fsh" sheetId="126" r:id="rId65"/>
    <sheet name="Author-ConceptMap-1" sheetId="153" r:id="rId66"/>
    <sheet name="Author-ConceptMap-2" sheetId="148" r:id="rId67"/>
    <sheet name="Author-ConceptMap-2-delete" sheetId="151" r:id="rId68"/>
    <sheet name="Author-CM-fsh" sheetId="156" r:id="rId69"/>
    <sheet name="A1.6 LegalAuth" sheetId="121" r:id="rId70"/>
    <sheet name="LegalAuth-fsh" sheetId="123" r:id="rId71"/>
    <sheet name="LegalAuth-ConceptMap-1" sheetId="154" r:id="rId72"/>
    <sheet name="LegalAuth-CM-fsh" sheetId="155" r:id="rId73"/>
  </sheets>
  <externalReferences>
    <externalReference r:id="rId74"/>
  </externalReferences>
  <definedNames>
    <definedName name="AllergyIntolerance.verificationStatus" localSheetId="60">'Allergy-ConceptMap-1'!$D$24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26" i="138" l="1"/>
  <c r="B327" i="138"/>
  <c r="B328" i="138"/>
  <c r="B329" i="138"/>
  <c r="B330" i="138"/>
  <c r="B331" i="138"/>
  <c r="B332" i="138"/>
  <c r="B333" i="138"/>
  <c r="B334" i="138"/>
  <c r="B335" i="138"/>
  <c r="B336" i="138"/>
  <c r="B337" i="138"/>
  <c r="B338" i="138"/>
  <c r="B339" i="138"/>
  <c r="B317" i="138"/>
  <c r="B318" i="138"/>
  <c r="B319" i="138"/>
  <c r="B320" i="138"/>
  <c r="B321" i="138"/>
  <c r="B322" i="138"/>
  <c r="B323" i="138"/>
  <c r="B324" i="138"/>
  <c r="B325" i="138"/>
  <c r="B316" i="138"/>
  <c r="B314" i="138"/>
  <c r="B313" i="138"/>
  <c r="Q16" i="199"/>
  <c r="R16" i="199"/>
  <c r="Q17" i="199"/>
  <c r="S17" i="199" s="1" a="1"/>
  <c r="S17" i="199" s="1"/>
  <c r="R17" i="199"/>
  <c r="Q18" i="199"/>
  <c r="R18" i="199"/>
  <c r="Q19" i="199"/>
  <c r="S19" i="199" s="1" a="1"/>
  <c r="S19" i="199" s="1"/>
  <c r="R19" i="199"/>
  <c r="Q20" i="199"/>
  <c r="R20" i="199"/>
  <c r="Q21" i="199"/>
  <c r="R21" i="199"/>
  <c r="Q22" i="199"/>
  <c r="R22" i="199"/>
  <c r="Q23" i="199"/>
  <c r="S23" i="199" s="1" a="1"/>
  <c r="S23" i="199" s="1"/>
  <c r="R23" i="199"/>
  <c r="Q24" i="199"/>
  <c r="S24" i="199" s="1" a="1"/>
  <c r="S24" i="199" s="1"/>
  <c r="R24" i="199"/>
  <c r="Q25" i="199"/>
  <c r="S25" i="199" s="1" a="1"/>
  <c r="S25" i="199" s="1"/>
  <c r="R25" i="199"/>
  <c r="Q26" i="199"/>
  <c r="R26" i="199"/>
  <c r="Q27" i="199"/>
  <c r="S27" i="199" s="1" a="1"/>
  <c r="S27" i="199" s="1"/>
  <c r="R27" i="199"/>
  <c r="Q28" i="199"/>
  <c r="R28" i="199"/>
  <c r="Q29" i="199"/>
  <c r="R29" i="199"/>
  <c r="S29" i="199" a="1"/>
  <c r="S29" i="199" s="1"/>
  <c r="Q30" i="199"/>
  <c r="S30" i="199" s="1" a="1"/>
  <c r="S30" i="199" s="1"/>
  <c r="R30" i="199"/>
  <c r="Q31" i="199"/>
  <c r="S31" i="199" s="1" a="1"/>
  <c r="S31" i="199" s="1"/>
  <c r="R31" i="199"/>
  <c r="Q32" i="199"/>
  <c r="R32" i="199"/>
  <c r="Q33" i="199"/>
  <c r="S33" i="199" s="1" a="1"/>
  <c r="S33" i="199" s="1"/>
  <c r="R33" i="199"/>
  <c r="Q34" i="199"/>
  <c r="R34" i="199"/>
  <c r="Q35" i="199"/>
  <c r="S35" i="199" s="1" a="1"/>
  <c r="S35" i="199" s="1"/>
  <c r="R35" i="199"/>
  <c r="Q36" i="199"/>
  <c r="S36" i="199" s="1" a="1"/>
  <c r="S36" i="199" s="1"/>
  <c r="R36" i="199"/>
  <c r="Q37" i="199"/>
  <c r="R37" i="199"/>
  <c r="Q38" i="199"/>
  <c r="R38" i="199"/>
  <c r="Q39" i="199"/>
  <c r="R39" i="199"/>
  <c r="S39" i="199" a="1"/>
  <c r="S39" i="199" s="1"/>
  <c r="Q40" i="199"/>
  <c r="S40" i="199" s="1" a="1"/>
  <c r="S40" i="199" s="1"/>
  <c r="R40" i="199"/>
  <c r="K16" i="199"/>
  <c r="L16" i="199"/>
  <c r="M16" i="199"/>
  <c r="N16" i="199"/>
  <c r="K17" i="199"/>
  <c r="L17" i="199"/>
  <c r="M17" i="199"/>
  <c r="N17" i="199"/>
  <c r="Q16" i="137"/>
  <c r="S16" i="137" s="1" a="1"/>
  <c r="S16" i="137" s="1"/>
  <c r="R16" i="137"/>
  <c r="Q17" i="137"/>
  <c r="S17" i="137" s="1" a="1"/>
  <c r="S17" i="137" s="1"/>
  <c r="R17" i="137"/>
  <c r="Q18" i="137"/>
  <c r="S18" i="137" s="1" a="1"/>
  <c r="S18" i="137" s="1"/>
  <c r="R18" i="137"/>
  <c r="Q19" i="137"/>
  <c r="S19" i="137" s="1" a="1"/>
  <c r="S19" i="137" s="1"/>
  <c r="R19" i="137"/>
  <c r="Q20" i="137"/>
  <c r="S20" i="137" s="1" a="1"/>
  <c r="S20" i="137" s="1"/>
  <c r="R20" i="137"/>
  <c r="Q21" i="137"/>
  <c r="S21" i="137" s="1" a="1"/>
  <c r="S21" i="137" s="1"/>
  <c r="R21" i="137"/>
  <c r="Q22" i="137"/>
  <c r="S22" i="137" s="1" a="1"/>
  <c r="S22" i="137" s="1"/>
  <c r="R22" i="137"/>
  <c r="Q23" i="137"/>
  <c r="S23" i="137" s="1" a="1"/>
  <c r="S23" i="137" s="1"/>
  <c r="R23" i="137"/>
  <c r="Q24" i="137"/>
  <c r="S24" i="137" s="1" a="1"/>
  <c r="S24" i="137" s="1"/>
  <c r="R24" i="137"/>
  <c r="Q25" i="137"/>
  <c r="S25" i="137" s="1" a="1"/>
  <c r="S25" i="137" s="1"/>
  <c r="R25" i="137"/>
  <c r="Q26" i="137"/>
  <c r="S26" i="137" s="1" a="1"/>
  <c r="S26" i="137" s="1"/>
  <c r="R26" i="137"/>
  <c r="Q27" i="137"/>
  <c r="S27" i="137" s="1" a="1"/>
  <c r="S27" i="137" s="1"/>
  <c r="R27" i="137"/>
  <c r="Q28" i="137"/>
  <c r="S28" i="137" s="1" a="1"/>
  <c r="S28" i="137" s="1"/>
  <c r="R28" i="137"/>
  <c r="Q29" i="137"/>
  <c r="S29" i="137" s="1" a="1"/>
  <c r="S29" i="137" s="1"/>
  <c r="B34" i="138" s="1"/>
  <c r="R29" i="137"/>
  <c r="Q30" i="137"/>
  <c r="S30" i="137" s="1" a="1"/>
  <c r="S30" i="137" s="1"/>
  <c r="R30" i="137"/>
  <c r="Q31" i="137"/>
  <c r="S31" i="137" s="1" a="1"/>
  <c r="S31" i="137" s="1"/>
  <c r="B36" i="138" s="1"/>
  <c r="R31" i="137"/>
  <c r="Q32" i="137"/>
  <c r="S32" i="137" s="1" a="1"/>
  <c r="S32" i="137" s="1"/>
  <c r="R32" i="137"/>
  <c r="Q33" i="137"/>
  <c r="S33" i="137" s="1" a="1"/>
  <c r="S33" i="137" s="1"/>
  <c r="R33" i="137"/>
  <c r="Q34" i="137"/>
  <c r="S34" i="137" s="1" a="1"/>
  <c r="S34" i="137" s="1"/>
  <c r="R34" i="137"/>
  <c r="Q35" i="137"/>
  <c r="S35" i="137" s="1" a="1"/>
  <c r="S35" i="137" s="1"/>
  <c r="R35" i="137"/>
  <c r="Q36" i="137"/>
  <c r="S36" i="137" s="1" a="1"/>
  <c r="S36" i="137" s="1"/>
  <c r="R36" i="137"/>
  <c r="Q37" i="137"/>
  <c r="S37" i="137" s="1" a="1"/>
  <c r="S37" i="137" s="1"/>
  <c r="R37" i="137"/>
  <c r="Q38" i="137"/>
  <c r="S38" i="137" s="1" a="1"/>
  <c r="S38" i="137" s="1"/>
  <c r="R38" i="137"/>
  <c r="Q39" i="137"/>
  <c r="S39" i="137" s="1" a="1"/>
  <c r="S39" i="137" s="1"/>
  <c r="B44" i="138" s="1"/>
  <c r="R39" i="137"/>
  <c r="Q40" i="137"/>
  <c r="S40" i="137" s="1" a="1"/>
  <c r="S40" i="137" s="1"/>
  <c r="R40" i="137"/>
  <c r="Q41" i="137"/>
  <c r="S41" i="137" s="1" a="1"/>
  <c r="S41" i="137" s="1"/>
  <c r="R41" i="137"/>
  <c r="Q42" i="137"/>
  <c r="S42" i="137" s="1" a="1"/>
  <c r="S42" i="137" s="1"/>
  <c r="R42" i="137"/>
  <c r="Q43" i="137"/>
  <c r="S43" i="137" s="1" a="1"/>
  <c r="S43" i="137" s="1"/>
  <c r="R43" i="137"/>
  <c r="Q44" i="137"/>
  <c r="S44" i="137" s="1" a="1"/>
  <c r="S44" i="137" s="1"/>
  <c r="R44" i="137"/>
  <c r="Q45" i="137"/>
  <c r="S45" i="137" s="1" a="1"/>
  <c r="S45" i="137" s="1"/>
  <c r="B50" i="138" s="1"/>
  <c r="R45" i="137"/>
  <c r="Q46" i="137"/>
  <c r="S46" i="137" s="1" a="1"/>
  <c r="S46" i="137" s="1"/>
  <c r="R46" i="137"/>
  <c r="Q47" i="137"/>
  <c r="S47" i="137" s="1" a="1"/>
  <c r="S47" i="137" s="1"/>
  <c r="B52" i="138" s="1"/>
  <c r="R47" i="137"/>
  <c r="Q48" i="137"/>
  <c r="S48" i="137" s="1" a="1"/>
  <c r="S48" i="137" s="1"/>
  <c r="B53" i="138" s="1"/>
  <c r="R48" i="137"/>
  <c r="Q49" i="137"/>
  <c r="S49" i="137" s="1" a="1"/>
  <c r="S49" i="137" s="1"/>
  <c r="B54" i="138" s="1"/>
  <c r="R49" i="137"/>
  <c r="Q50" i="137"/>
  <c r="S50" i="137" s="1" a="1"/>
  <c r="S50" i="137" s="1"/>
  <c r="R50" i="137"/>
  <c r="Q51" i="137"/>
  <c r="S51" i="137" s="1" a="1"/>
  <c r="S51" i="137" s="1"/>
  <c r="R51" i="137"/>
  <c r="Q52" i="137"/>
  <c r="R52" i="137"/>
  <c r="Q53" i="137"/>
  <c r="R53" i="137"/>
  <c r="Q54" i="137"/>
  <c r="S54" i="137" s="1" a="1"/>
  <c r="S54" i="137" s="1"/>
  <c r="R54" i="137"/>
  <c r="Q55" i="137"/>
  <c r="R55" i="137"/>
  <c r="Q56" i="137"/>
  <c r="S56" i="137" s="1" a="1"/>
  <c r="S56" i="137" s="1"/>
  <c r="B61" i="138" s="1"/>
  <c r="R56" i="137"/>
  <c r="Q57" i="137"/>
  <c r="R57" i="137"/>
  <c r="Q58" i="137"/>
  <c r="R58" i="137"/>
  <c r="Q59" i="137"/>
  <c r="S59" i="137" s="1" a="1"/>
  <c r="S59" i="137" s="1"/>
  <c r="R59" i="137"/>
  <c r="Q60" i="137"/>
  <c r="R60" i="137"/>
  <c r="Q61" i="137"/>
  <c r="R61" i="137"/>
  <c r="Q62" i="137"/>
  <c r="S62" i="137" s="1" a="1"/>
  <c r="S62" i="137" s="1"/>
  <c r="R62" i="137"/>
  <c r="Q63" i="137"/>
  <c r="R63" i="137"/>
  <c r="Q64" i="137"/>
  <c r="R64" i="137"/>
  <c r="Q65" i="137"/>
  <c r="R65" i="137"/>
  <c r="Q66" i="137"/>
  <c r="R66" i="137"/>
  <c r="Q67" i="137"/>
  <c r="S67" i="137" s="1" a="1"/>
  <c r="S67" i="137" s="1"/>
  <c r="R67" i="137"/>
  <c r="Q68" i="137"/>
  <c r="R68" i="137"/>
  <c r="Q69" i="137"/>
  <c r="S69" i="137" s="1" a="1"/>
  <c r="S69" i="137" s="1"/>
  <c r="R69" i="137"/>
  <c r="Q70" i="137"/>
  <c r="S70" i="137" s="1" a="1"/>
  <c r="S70" i="137" s="1"/>
  <c r="R70" i="137"/>
  <c r="Q71" i="137"/>
  <c r="R71" i="137"/>
  <c r="Q72" i="137"/>
  <c r="S72" i="137" s="1" a="1"/>
  <c r="S72" i="137" s="1"/>
  <c r="R72" i="137"/>
  <c r="Q73" i="137"/>
  <c r="R73" i="137"/>
  <c r="Q74" i="137"/>
  <c r="R74" i="137"/>
  <c r="Q75" i="137"/>
  <c r="S75" i="137" s="1" a="1"/>
  <c r="S75" i="137" s="1"/>
  <c r="R75" i="137"/>
  <c r="Q76" i="137"/>
  <c r="R76" i="137"/>
  <c r="Q77" i="137"/>
  <c r="R77" i="137"/>
  <c r="Q78" i="137"/>
  <c r="S78" i="137" s="1" a="1"/>
  <c r="S78" i="137" s="1"/>
  <c r="R78" i="137"/>
  <c r="Q79" i="137"/>
  <c r="R79" i="137"/>
  <c r="Q80" i="137"/>
  <c r="S80" i="137" s="1" a="1"/>
  <c r="S80" i="137" s="1"/>
  <c r="B85" i="138" s="1"/>
  <c r="R80" i="137"/>
  <c r="Q81" i="137"/>
  <c r="R81" i="137"/>
  <c r="Q82" i="137"/>
  <c r="R82" i="137"/>
  <c r="Q83" i="137"/>
  <c r="S83" i="137" s="1" a="1"/>
  <c r="S83" i="137" s="1"/>
  <c r="R83" i="137"/>
  <c r="Q84" i="137"/>
  <c r="R84" i="137"/>
  <c r="Q85" i="137"/>
  <c r="S85" i="137" s="1" a="1"/>
  <c r="S85" i="137" s="1"/>
  <c r="R85" i="137"/>
  <c r="Q86" i="137"/>
  <c r="S86" i="137" s="1" a="1"/>
  <c r="S86" i="137" s="1"/>
  <c r="R86" i="137"/>
  <c r="Q87" i="137"/>
  <c r="R87" i="137"/>
  <c r="Q88" i="137"/>
  <c r="S88" i="137" s="1" a="1"/>
  <c r="S88" i="137" s="1"/>
  <c r="B93" i="138" s="1"/>
  <c r="R88" i="137"/>
  <c r="Q89" i="137"/>
  <c r="R89" i="137"/>
  <c r="Q90" i="137"/>
  <c r="R90" i="137"/>
  <c r="Q91" i="137"/>
  <c r="S91" i="137" s="1" a="1"/>
  <c r="S91" i="137" s="1"/>
  <c r="R91" i="137"/>
  <c r="Q92" i="137"/>
  <c r="R92" i="137"/>
  <c r="Q93" i="137"/>
  <c r="S93" i="137" s="1" a="1"/>
  <c r="S93" i="137" s="1"/>
  <c r="B98" i="138" s="1"/>
  <c r="R93" i="137"/>
  <c r="Q94" i="137"/>
  <c r="S94" i="137" s="1" a="1"/>
  <c r="S94" i="137" s="1"/>
  <c r="R94" i="137"/>
  <c r="Q95" i="137"/>
  <c r="R95" i="137"/>
  <c r="Q96" i="137"/>
  <c r="S96" i="137" s="1" a="1"/>
  <c r="S96" i="137" s="1"/>
  <c r="B101" i="138" s="1"/>
  <c r="R96" i="137"/>
  <c r="Q97" i="137"/>
  <c r="R97" i="137"/>
  <c r="Q98" i="137"/>
  <c r="R98" i="137"/>
  <c r="Q99" i="137"/>
  <c r="S99" i="137" s="1" a="1"/>
  <c r="S99" i="137" s="1"/>
  <c r="B104" i="138" s="1"/>
  <c r="R99" i="137"/>
  <c r="Q100" i="137"/>
  <c r="R100" i="137"/>
  <c r="Q101" i="137"/>
  <c r="S101" i="137" s="1" a="1"/>
  <c r="S101" i="137" s="1"/>
  <c r="R101" i="137"/>
  <c r="Q102" i="137"/>
  <c r="S102" i="137" s="1" a="1"/>
  <c r="S102" i="137" s="1"/>
  <c r="R102" i="137"/>
  <c r="Q103" i="137"/>
  <c r="R103" i="137"/>
  <c r="Q104" i="137"/>
  <c r="S104" i="137" s="1" a="1"/>
  <c r="S104" i="137" s="1"/>
  <c r="B109" i="138" s="1"/>
  <c r="R104" i="137"/>
  <c r="Q105" i="137"/>
  <c r="R105" i="137"/>
  <c r="Q106" i="137"/>
  <c r="R106" i="137"/>
  <c r="Q107" i="137"/>
  <c r="S107" i="137" s="1" a="1"/>
  <c r="S107" i="137" s="1"/>
  <c r="R107" i="137"/>
  <c r="Q108" i="137"/>
  <c r="R108" i="137"/>
  <c r="Q109" i="137"/>
  <c r="S109" i="137" s="1" a="1"/>
  <c r="S109" i="137" s="1"/>
  <c r="R109" i="137"/>
  <c r="Q110" i="137"/>
  <c r="S110" i="137" s="1" a="1"/>
  <c r="S110" i="137" s="1"/>
  <c r="R110" i="137"/>
  <c r="Q111" i="137"/>
  <c r="R111" i="137"/>
  <c r="Q112" i="137"/>
  <c r="S112" i="137" s="1" a="1"/>
  <c r="S112" i="137" s="1"/>
  <c r="R112" i="137"/>
  <c r="Q113" i="137"/>
  <c r="S113" i="137" s="1" a="1"/>
  <c r="S113" i="137" s="1"/>
  <c r="R113" i="137"/>
  <c r="Q114" i="137"/>
  <c r="S114" i="137" s="1" a="1"/>
  <c r="S114" i="137" s="1"/>
  <c r="R114" i="137"/>
  <c r="Q115" i="137"/>
  <c r="R115" i="137"/>
  <c r="S115" i="137" s="1" a="1"/>
  <c r="S115" i="137" s="1"/>
  <c r="Q116" i="137"/>
  <c r="R116" i="137"/>
  <c r="S116" i="137" s="1" a="1"/>
  <c r="S116" i="137" s="1"/>
  <c r="Q117" i="137"/>
  <c r="R117" i="137"/>
  <c r="S117" i="137" a="1"/>
  <c r="S117" i="137" s="1"/>
  <c r="Q118" i="137"/>
  <c r="R118" i="137"/>
  <c r="S118" i="137" a="1"/>
  <c r="S118" i="137" s="1"/>
  <c r="Q119" i="137"/>
  <c r="R119" i="137"/>
  <c r="Q120" i="137"/>
  <c r="R120" i="137"/>
  <c r="Q121" i="137"/>
  <c r="R121" i="137"/>
  <c r="Q122" i="137"/>
  <c r="S122" i="137" s="1" a="1"/>
  <c r="S122" i="137" s="1"/>
  <c r="R122" i="137"/>
  <c r="Q123" i="137"/>
  <c r="R123" i="137"/>
  <c r="S123" i="137" s="1" a="1"/>
  <c r="S123" i="137" s="1"/>
  <c r="B128" i="138" s="1"/>
  <c r="Q124" i="137"/>
  <c r="R124" i="137"/>
  <c r="S124" i="137" s="1" a="1"/>
  <c r="S124" i="137" s="1"/>
  <c r="Q125" i="137"/>
  <c r="R125" i="137"/>
  <c r="S125" i="137" a="1"/>
  <c r="S125" i="137" s="1"/>
  <c r="Q126" i="137"/>
  <c r="R126" i="137"/>
  <c r="S126" i="137" a="1"/>
  <c r="S126" i="137" s="1"/>
  <c r="B131" i="138" s="1"/>
  <c r="Q127" i="137"/>
  <c r="S127" i="137" s="1" a="1"/>
  <c r="S127" i="137" s="1"/>
  <c r="B132" i="138" s="1"/>
  <c r="R127" i="137"/>
  <c r="Q128" i="137"/>
  <c r="S128" i="137" s="1" a="1"/>
  <c r="S128" i="137" s="1"/>
  <c r="R128" i="137"/>
  <c r="Q129" i="137"/>
  <c r="S129" i="137" s="1" a="1"/>
  <c r="S129" i="137" s="1"/>
  <c r="R129" i="137"/>
  <c r="Q130" i="137"/>
  <c r="S130" i="137" s="1" a="1"/>
  <c r="S130" i="137" s="1"/>
  <c r="R130" i="137"/>
  <c r="Q131" i="137"/>
  <c r="R131" i="137"/>
  <c r="S131" i="137" s="1" a="1"/>
  <c r="S131" i="137" s="1"/>
  <c r="Q132" i="137"/>
  <c r="R132" i="137"/>
  <c r="S132" i="137" s="1" a="1"/>
  <c r="S132" i="137" s="1"/>
  <c r="Q133" i="137"/>
  <c r="R133" i="137"/>
  <c r="S133" i="137" a="1"/>
  <c r="S133" i="137" s="1"/>
  <c r="B138" i="138" s="1"/>
  <c r="Q134" i="137"/>
  <c r="R134" i="137"/>
  <c r="Q135" i="137"/>
  <c r="S135" i="137" s="1" a="1"/>
  <c r="S135" i="137" s="1"/>
  <c r="B140" i="138" s="1"/>
  <c r="R135" i="137"/>
  <c r="Q136" i="137"/>
  <c r="S136" i="137" s="1" a="1"/>
  <c r="S136" i="137" s="1"/>
  <c r="R136" i="137"/>
  <c r="Q137" i="137"/>
  <c r="S137" i="137" s="1" a="1"/>
  <c r="S137" i="137" s="1"/>
  <c r="R137" i="137"/>
  <c r="Q138" i="137"/>
  <c r="S138" i="137" s="1" a="1"/>
  <c r="S138" i="137" s="1"/>
  <c r="R138" i="137"/>
  <c r="Q139" i="137"/>
  <c r="R139" i="137"/>
  <c r="S139" i="137" s="1" a="1"/>
  <c r="S139" i="137" s="1"/>
  <c r="Q140" i="137"/>
  <c r="R140" i="137"/>
  <c r="Q141" i="137"/>
  <c r="R141" i="137"/>
  <c r="S141" i="137" a="1"/>
  <c r="S141" i="137" s="1"/>
  <c r="B146" i="138" s="1"/>
  <c r="Q142" i="137"/>
  <c r="R142" i="137"/>
  <c r="S142" i="137" a="1"/>
  <c r="S142" i="137" s="1"/>
  <c r="Q143" i="137"/>
  <c r="S143" i="137" s="1" a="1"/>
  <c r="S143" i="137" s="1"/>
  <c r="B148" i="138" s="1"/>
  <c r="R143" i="137"/>
  <c r="Q144" i="137"/>
  <c r="S144" i="137" s="1" a="1"/>
  <c r="S144" i="137" s="1"/>
  <c r="R144" i="137"/>
  <c r="Q145" i="137"/>
  <c r="S145" i="137" s="1" a="1"/>
  <c r="S145" i="137" s="1"/>
  <c r="R145" i="137"/>
  <c r="Q146" i="137"/>
  <c r="S146" i="137" s="1" a="1"/>
  <c r="S146" i="137" s="1"/>
  <c r="R146" i="137"/>
  <c r="Q147" i="137"/>
  <c r="R147" i="137"/>
  <c r="S147" i="137" s="1" a="1"/>
  <c r="S147" i="137" s="1"/>
  <c r="Q148" i="137"/>
  <c r="R148" i="137"/>
  <c r="S148" i="137" s="1" a="1"/>
  <c r="S148" i="137" s="1"/>
  <c r="Q149" i="137"/>
  <c r="R149" i="137"/>
  <c r="Q150" i="137"/>
  <c r="R150" i="137"/>
  <c r="S150" i="137" a="1"/>
  <c r="S150" i="137" s="1"/>
  <c r="B155" i="138" s="1"/>
  <c r="Q151" i="137"/>
  <c r="S151" i="137" s="1" a="1"/>
  <c r="S151" i="137" s="1"/>
  <c r="B156" i="138" s="1"/>
  <c r="R151" i="137"/>
  <c r="Q152" i="137"/>
  <c r="S152" i="137" s="1" a="1"/>
  <c r="S152" i="137" s="1"/>
  <c r="B157" i="138" s="1"/>
  <c r="R152" i="137"/>
  <c r="Q153" i="137"/>
  <c r="S153" i="137" s="1" a="1"/>
  <c r="S153" i="137" s="1"/>
  <c r="R153" i="137"/>
  <c r="Q154" i="137"/>
  <c r="S154" i="137" s="1" a="1"/>
  <c r="S154" i="137" s="1"/>
  <c r="B159" i="138" s="1"/>
  <c r="R154" i="137"/>
  <c r="Q155" i="137"/>
  <c r="R155" i="137"/>
  <c r="Q156" i="137"/>
  <c r="R156" i="137"/>
  <c r="S156" i="137" s="1" a="1"/>
  <c r="S156" i="137" s="1"/>
  <c r="Q157" i="137"/>
  <c r="R157" i="137"/>
  <c r="S157" i="137" a="1"/>
  <c r="S157" i="137" s="1"/>
  <c r="B162" i="138" s="1"/>
  <c r="Q158" i="137"/>
  <c r="R158" i="137"/>
  <c r="S158" i="137" a="1"/>
  <c r="S158" i="137" s="1"/>
  <c r="B163" i="138" s="1"/>
  <c r="Q159" i="137"/>
  <c r="S159" i="137" s="1" a="1"/>
  <c r="S159" i="137" s="1"/>
  <c r="B164" i="138" s="1"/>
  <c r="R159" i="137"/>
  <c r="Q160" i="137"/>
  <c r="S160" i="137" s="1" a="1"/>
  <c r="S160" i="137" s="1"/>
  <c r="R160" i="137"/>
  <c r="Q161" i="137"/>
  <c r="S161" i="137" s="1" a="1"/>
  <c r="S161" i="137" s="1"/>
  <c r="B166" i="138" s="1"/>
  <c r="R161" i="137"/>
  <c r="Q162" i="137"/>
  <c r="S162" i="137" s="1" a="1"/>
  <c r="S162" i="137" s="1"/>
  <c r="R162" i="137"/>
  <c r="Q163" i="137"/>
  <c r="R163" i="137"/>
  <c r="S163" i="137" s="1" a="1"/>
  <c r="S163" i="137" s="1"/>
  <c r="Q164" i="137"/>
  <c r="R164" i="137"/>
  <c r="S164" i="137" s="1" a="1"/>
  <c r="S164" i="137" s="1"/>
  <c r="Q165" i="137"/>
  <c r="R165" i="137"/>
  <c r="S165" i="137" a="1"/>
  <c r="S165" i="137" s="1"/>
  <c r="Q166" i="137"/>
  <c r="R166" i="137"/>
  <c r="S166" i="137" a="1"/>
  <c r="S166" i="137" s="1"/>
  <c r="Q167" i="137"/>
  <c r="S167" i="137" s="1" a="1"/>
  <c r="R167" i="137"/>
  <c r="S167" i="137"/>
  <c r="B172" i="138" s="1"/>
  <c r="Q168" i="137"/>
  <c r="S168" i="137" s="1" a="1"/>
  <c r="S168" i="137" s="1"/>
  <c r="R168" i="137"/>
  <c r="Q169" i="137"/>
  <c r="S169" i="137" s="1" a="1"/>
  <c r="S169" i="137" s="1"/>
  <c r="R169" i="137"/>
  <c r="Q170" i="137"/>
  <c r="S170" i="137" s="1" a="1"/>
  <c r="S170" i="137" s="1"/>
  <c r="R170" i="137"/>
  <c r="Q171" i="137"/>
  <c r="R171" i="137"/>
  <c r="S171" i="137" s="1" a="1"/>
  <c r="S171" i="137" s="1"/>
  <c r="B176" i="138" s="1"/>
  <c r="Q172" i="137"/>
  <c r="R172" i="137"/>
  <c r="S172" i="137" s="1" a="1"/>
  <c r="S172" i="137" s="1"/>
  <c r="Q173" i="137"/>
  <c r="R173" i="137"/>
  <c r="S173" i="137" a="1"/>
  <c r="S173" i="137" s="1"/>
  <c r="Q174" i="137"/>
  <c r="R174" i="137"/>
  <c r="S174" i="137" a="1"/>
  <c r="S174" i="137" s="1"/>
  <c r="B179" i="138" s="1"/>
  <c r="Q175" i="137"/>
  <c r="S175" i="137" s="1" a="1"/>
  <c r="S175" i="137" s="1"/>
  <c r="B180" i="138" s="1"/>
  <c r="R175" i="137"/>
  <c r="Q176" i="137"/>
  <c r="S176" i="137" s="1" a="1"/>
  <c r="S176" i="137" s="1"/>
  <c r="B181" i="138" s="1"/>
  <c r="R176" i="137"/>
  <c r="Q177" i="137"/>
  <c r="S177" i="137" s="1" a="1"/>
  <c r="S177" i="137" s="1"/>
  <c r="R177" i="137"/>
  <c r="Q178" i="137"/>
  <c r="S178" i="137" s="1" a="1"/>
  <c r="S178" i="137" s="1"/>
  <c r="B183" i="138" s="1"/>
  <c r="R178" i="137"/>
  <c r="Q179" i="137"/>
  <c r="R179" i="137"/>
  <c r="S179" i="137" s="1" a="1"/>
  <c r="S179" i="137" s="1"/>
  <c r="B184" i="138" s="1"/>
  <c r="Q180" i="137"/>
  <c r="R180" i="137"/>
  <c r="S180" i="137" s="1" a="1"/>
  <c r="S180" i="137" s="1"/>
  <c r="Q181" i="137"/>
  <c r="R181" i="137"/>
  <c r="S181" i="137" a="1"/>
  <c r="S181" i="137" s="1"/>
  <c r="B186" i="138" s="1"/>
  <c r="Q182" i="137"/>
  <c r="R182" i="137"/>
  <c r="S182" i="137" a="1"/>
  <c r="S182" i="137" s="1"/>
  <c r="Q183" i="137"/>
  <c r="S183" i="137" s="1" a="1"/>
  <c r="S183" i="137" s="1"/>
  <c r="B188" i="138" s="1"/>
  <c r="R183" i="137"/>
  <c r="Q184" i="137"/>
  <c r="S184" i="137" s="1" a="1"/>
  <c r="S184" i="137" s="1"/>
  <c r="R184" i="137"/>
  <c r="Q185" i="137"/>
  <c r="S185" i="137" s="1" a="1"/>
  <c r="S185" i="137" s="1"/>
  <c r="R185" i="137"/>
  <c r="Q186" i="137"/>
  <c r="R186" i="137"/>
  <c r="Q187" i="137"/>
  <c r="S187" i="137" s="1" a="1"/>
  <c r="S187" i="137" s="1"/>
  <c r="B192" i="138" s="1"/>
  <c r="R187" i="137"/>
  <c r="Q188" i="137"/>
  <c r="S188" i="137" s="1" a="1"/>
  <c r="S188" i="137" s="1"/>
  <c r="R188" i="137"/>
  <c r="Q189" i="137"/>
  <c r="S189" i="137" s="1" a="1"/>
  <c r="S189" i="137" s="1"/>
  <c r="R189" i="137"/>
  <c r="Q190" i="137"/>
  <c r="R190" i="137"/>
  <c r="Q191" i="137"/>
  <c r="S191" i="137" s="1" a="1"/>
  <c r="S191" i="137" s="1"/>
  <c r="B196" i="138" s="1"/>
  <c r="R191" i="137"/>
  <c r="Q192" i="137"/>
  <c r="S192" i="137" s="1" a="1"/>
  <c r="S192" i="137" s="1"/>
  <c r="R192" i="137"/>
  <c r="Q193" i="137"/>
  <c r="S193" i="137" s="1" a="1"/>
  <c r="S193" i="137" s="1"/>
  <c r="R193" i="137"/>
  <c r="Q194" i="137"/>
  <c r="R194" i="137"/>
  <c r="Q195" i="137"/>
  <c r="S195" i="137" s="1" a="1"/>
  <c r="S195" i="137" s="1"/>
  <c r="B200" i="138" s="1"/>
  <c r="R195" i="137"/>
  <c r="Q196" i="137"/>
  <c r="S196" i="137" s="1" a="1"/>
  <c r="S196" i="137" s="1"/>
  <c r="R196" i="137"/>
  <c r="Q197" i="137"/>
  <c r="S197" i="137" s="1" a="1"/>
  <c r="S197" i="137" s="1"/>
  <c r="R197" i="137"/>
  <c r="Q198" i="137"/>
  <c r="R198" i="137"/>
  <c r="Q199" i="137"/>
  <c r="S199" i="137" s="1" a="1"/>
  <c r="S199" i="137" s="1"/>
  <c r="B204" i="138" s="1"/>
  <c r="R199" i="137"/>
  <c r="Q200" i="137"/>
  <c r="S200" i="137" s="1" a="1"/>
  <c r="S200" i="137" s="1"/>
  <c r="R200" i="137"/>
  <c r="Q201" i="137"/>
  <c r="S201" i="137" s="1" a="1"/>
  <c r="S201" i="137" s="1"/>
  <c r="R201" i="137"/>
  <c r="Q202" i="137"/>
  <c r="R202" i="137"/>
  <c r="Q203" i="137"/>
  <c r="S203" i="137" s="1" a="1"/>
  <c r="S203" i="137" s="1"/>
  <c r="B208" i="138" s="1"/>
  <c r="R203" i="137"/>
  <c r="Q204" i="137"/>
  <c r="S204" i="137" s="1" a="1"/>
  <c r="S204" i="137" s="1"/>
  <c r="R204" i="137"/>
  <c r="Q205" i="137"/>
  <c r="S205" i="137" s="1" a="1"/>
  <c r="S205" i="137" s="1"/>
  <c r="R205" i="137"/>
  <c r="Q206" i="137"/>
  <c r="R206" i="137"/>
  <c r="Q207" i="137"/>
  <c r="S207" i="137" s="1" a="1"/>
  <c r="S207" i="137" s="1"/>
  <c r="B212" i="138" s="1"/>
  <c r="R207" i="137"/>
  <c r="Q208" i="137"/>
  <c r="S208" i="137" s="1" a="1"/>
  <c r="S208" i="137" s="1"/>
  <c r="R208" i="137"/>
  <c r="Q209" i="137"/>
  <c r="S209" i="137" s="1" a="1"/>
  <c r="S209" i="137" s="1"/>
  <c r="R209" i="137"/>
  <c r="Q210" i="137"/>
  <c r="R210" i="137"/>
  <c r="Q211" i="137"/>
  <c r="S211" i="137" s="1" a="1"/>
  <c r="S211" i="137" s="1"/>
  <c r="B216" i="138" s="1"/>
  <c r="R211" i="137"/>
  <c r="Q212" i="137"/>
  <c r="S212" i="137" s="1" a="1"/>
  <c r="S212" i="137" s="1"/>
  <c r="R212" i="137"/>
  <c r="Q213" i="137"/>
  <c r="R213" i="137"/>
  <c r="Q214" i="137"/>
  <c r="R214" i="137"/>
  <c r="Q215" i="137"/>
  <c r="S215" i="137" s="1" a="1"/>
  <c r="S215" i="137" s="1"/>
  <c r="B220" i="138" s="1"/>
  <c r="R215" i="137"/>
  <c r="Q216" i="137"/>
  <c r="S216" i="137" s="1" a="1"/>
  <c r="S216" i="137" s="1"/>
  <c r="R216" i="137"/>
  <c r="Q217" i="137"/>
  <c r="R217" i="137"/>
  <c r="Q218" i="137"/>
  <c r="R218" i="137"/>
  <c r="Q219" i="137"/>
  <c r="S219" i="137" s="1" a="1"/>
  <c r="S219" i="137" s="1"/>
  <c r="B224" i="138" s="1"/>
  <c r="R219" i="137"/>
  <c r="Q220" i="137"/>
  <c r="S220" i="137" s="1" a="1"/>
  <c r="S220" i="137" s="1"/>
  <c r="R220" i="137"/>
  <c r="Q221" i="137"/>
  <c r="R221" i="137"/>
  <c r="Q222" i="137"/>
  <c r="R222" i="137"/>
  <c r="Q223" i="137"/>
  <c r="S223" i="137" s="1" a="1"/>
  <c r="S223" i="137" s="1"/>
  <c r="B228" i="138" s="1"/>
  <c r="R223" i="137"/>
  <c r="Q224" i="137"/>
  <c r="S224" i="137" s="1" a="1"/>
  <c r="S224" i="137" s="1"/>
  <c r="R224" i="137"/>
  <c r="Q225" i="137"/>
  <c r="R225" i="137"/>
  <c r="Q226" i="137"/>
  <c r="R226" i="137"/>
  <c r="Q227" i="137"/>
  <c r="S227" i="137" s="1" a="1"/>
  <c r="S227" i="137" s="1"/>
  <c r="B232" i="138" s="1"/>
  <c r="R227" i="137"/>
  <c r="Q228" i="137"/>
  <c r="S228" i="137" s="1" a="1"/>
  <c r="S228" i="137" s="1"/>
  <c r="R228" i="137"/>
  <c r="Q229" i="137"/>
  <c r="R229" i="137"/>
  <c r="Q230" i="137"/>
  <c r="R230" i="137"/>
  <c r="Q231" i="137"/>
  <c r="S231" i="137" s="1" a="1"/>
  <c r="S231" i="137" s="1"/>
  <c r="B236" i="138" s="1"/>
  <c r="R231" i="137"/>
  <c r="Q232" i="137"/>
  <c r="S232" i="137" s="1" a="1"/>
  <c r="S232" i="137" s="1"/>
  <c r="R232" i="137"/>
  <c r="Q233" i="137"/>
  <c r="R233" i="137"/>
  <c r="Q234" i="137"/>
  <c r="R234" i="137"/>
  <c r="Q235" i="137"/>
  <c r="S235" i="137" s="1" a="1"/>
  <c r="S235" i="137" s="1"/>
  <c r="B240" i="138" s="1"/>
  <c r="R235" i="137"/>
  <c r="Q236" i="137"/>
  <c r="S236" i="137" s="1" a="1"/>
  <c r="S236" i="137" s="1"/>
  <c r="R236" i="137"/>
  <c r="Q237" i="137"/>
  <c r="R237" i="137"/>
  <c r="Q238" i="137"/>
  <c r="R238" i="137"/>
  <c r="Q239" i="137"/>
  <c r="S239" i="137" s="1" a="1"/>
  <c r="S239" i="137" s="1"/>
  <c r="B244" i="138" s="1"/>
  <c r="R239" i="137"/>
  <c r="Q240" i="137"/>
  <c r="S240" i="137" s="1" a="1"/>
  <c r="S240" i="137" s="1"/>
  <c r="R240" i="137"/>
  <c r="Q241" i="137"/>
  <c r="R241" i="137"/>
  <c r="Q242" i="137"/>
  <c r="R242" i="137"/>
  <c r="Q243" i="137"/>
  <c r="S243" i="137" s="1" a="1"/>
  <c r="S243" i="137" s="1"/>
  <c r="B248" i="138" s="1"/>
  <c r="R243" i="137"/>
  <c r="Q244" i="137"/>
  <c r="S244" i="137" s="1" a="1"/>
  <c r="S244" i="137" s="1"/>
  <c r="R244" i="137"/>
  <c r="Q245" i="137"/>
  <c r="R245" i="137"/>
  <c r="Q246" i="137"/>
  <c r="R246" i="137"/>
  <c r="Q247" i="137"/>
  <c r="S247" i="137" s="1" a="1"/>
  <c r="S247" i="137" s="1"/>
  <c r="B252" i="138" s="1"/>
  <c r="R247" i="137"/>
  <c r="Q248" i="137"/>
  <c r="S248" i="137" s="1" a="1"/>
  <c r="S248" i="137" s="1"/>
  <c r="R248" i="137"/>
  <c r="Q249" i="137"/>
  <c r="R249" i="137"/>
  <c r="Q250" i="137"/>
  <c r="R250" i="137"/>
  <c r="Q251" i="137"/>
  <c r="S251" i="137" s="1" a="1"/>
  <c r="S251" i="137" s="1"/>
  <c r="B256" i="138" s="1"/>
  <c r="R251" i="137"/>
  <c r="Q252" i="137"/>
  <c r="S252" i="137" s="1" a="1"/>
  <c r="S252" i="137" s="1"/>
  <c r="R252" i="137"/>
  <c r="Q253" i="137"/>
  <c r="S253" i="137" s="1" a="1"/>
  <c r="S253" i="137" s="1"/>
  <c r="R253" i="137"/>
  <c r="Q254" i="137"/>
  <c r="S254" i="137" s="1" a="1"/>
  <c r="S254" i="137" s="1"/>
  <c r="R254" i="137"/>
  <c r="Q255" i="137"/>
  <c r="S255" i="137" s="1" a="1"/>
  <c r="S255" i="137" s="1"/>
  <c r="B260" i="138" s="1"/>
  <c r="R255" i="137"/>
  <c r="Q256" i="137"/>
  <c r="S256" i="137" s="1" a="1"/>
  <c r="S256" i="137" s="1"/>
  <c r="B261" i="138" s="1"/>
  <c r="R256" i="137"/>
  <c r="Q257" i="137"/>
  <c r="R257" i="137"/>
  <c r="Q258" i="137"/>
  <c r="S258" i="137" s="1" a="1"/>
  <c r="S258" i="137" s="1"/>
  <c r="R258" i="137"/>
  <c r="Q259" i="137"/>
  <c r="R259" i="137"/>
  <c r="Q260" i="137"/>
  <c r="R260" i="137"/>
  <c r="S260" i="137" a="1"/>
  <c r="S260" i="137" s="1"/>
  <c r="Q261" i="137"/>
  <c r="R261" i="137"/>
  <c r="Q262" i="137"/>
  <c r="R262" i="137"/>
  <c r="S262" i="137" a="1"/>
  <c r="S262" i="137" s="1"/>
  <c r="B267" i="138" s="1"/>
  <c r="Q263" i="137"/>
  <c r="R263" i="137"/>
  <c r="Q264" i="137"/>
  <c r="R264" i="137"/>
  <c r="S264" i="137" a="1"/>
  <c r="S264" i="137" s="1"/>
  <c r="Q265" i="137"/>
  <c r="R265" i="137"/>
  <c r="S265" i="137" a="1"/>
  <c r="S265" i="137" s="1"/>
  <c r="B270" i="138" s="1"/>
  <c r="Q266" i="137"/>
  <c r="R266" i="137"/>
  <c r="S266" i="137" a="1"/>
  <c r="S266" i="137" s="1"/>
  <c r="Q267" i="137"/>
  <c r="S267" i="137" s="1" a="1"/>
  <c r="S267" i="137" s="1"/>
  <c r="B272" i="138" s="1"/>
  <c r="R267" i="137"/>
  <c r="Q268" i="137"/>
  <c r="S268" i="137" s="1" a="1"/>
  <c r="S268" i="137" s="1"/>
  <c r="R268" i="137"/>
  <c r="Q269" i="137"/>
  <c r="S269" i="137" s="1" a="1"/>
  <c r="S269" i="137" s="1"/>
  <c r="R269" i="137"/>
  <c r="Q270" i="137"/>
  <c r="S270" i="137" s="1" a="1"/>
  <c r="S270" i="137" s="1"/>
  <c r="R270" i="137"/>
  <c r="Q271" i="137"/>
  <c r="S271" i="137" s="1" a="1"/>
  <c r="S271" i="137" s="1"/>
  <c r="B276" i="138" s="1"/>
  <c r="R271" i="137"/>
  <c r="Q272" i="137"/>
  <c r="R272" i="137"/>
  <c r="S272" i="137" a="1"/>
  <c r="S272" i="137" s="1"/>
  <c r="Q273" i="137"/>
  <c r="R273" i="137"/>
  <c r="S273" i="137" a="1"/>
  <c r="S273" i="137" s="1"/>
  <c r="Q274" i="137"/>
  <c r="R274" i="137"/>
  <c r="S274" i="137" a="1"/>
  <c r="S274" i="137" s="1"/>
  <c r="Q275" i="137"/>
  <c r="S275" i="137" s="1" a="1"/>
  <c r="S275" i="137" s="1"/>
  <c r="B280" i="138" s="1"/>
  <c r="R275" i="137"/>
  <c r="Q276" i="137"/>
  <c r="S276" i="137" s="1" a="1"/>
  <c r="S276" i="137" s="1"/>
  <c r="R276" i="137"/>
  <c r="Q277" i="137"/>
  <c r="S277" i="137" s="1" a="1"/>
  <c r="S277" i="137" s="1"/>
  <c r="R277" i="137"/>
  <c r="Q278" i="137"/>
  <c r="S278" i="137" s="1" a="1"/>
  <c r="S278" i="137" s="1"/>
  <c r="B283" i="138" s="1"/>
  <c r="R278" i="137"/>
  <c r="Q279" i="137"/>
  <c r="S279" i="137" s="1" a="1"/>
  <c r="S279" i="137" s="1"/>
  <c r="B284" i="138" s="1"/>
  <c r="R279" i="137"/>
  <c r="Q280" i="137"/>
  <c r="R280" i="137"/>
  <c r="S280" i="137" a="1"/>
  <c r="S280" i="137" s="1"/>
  <c r="Q281" i="137"/>
  <c r="R281" i="137"/>
  <c r="S281" i="137" a="1"/>
  <c r="S281" i="137" s="1"/>
  <c r="B286" i="138" s="1"/>
  <c r="Q282" i="137"/>
  <c r="R282" i="137"/>
  <c r="S282" i="137" a="1"/>
  <c r="S282" i="137" s="1"/>
  <c r="Q283" i="137"/>
  <c r="S283" i="137" s="1" a="1"/>
  <c r="S283" i="137" s="1"/>
  <c r="B288" i="138" s="1"/>
  <c r="R283" i="137"/>
  <c r="Q284" i="137"/>
  <c r="S284" i="137" s="1" a="1"/>
  <c r="S284" i="137" s="1"/>
  <c r="R284" i="137"/>
  <c r="Q285" i="137"/>
  <c r="S285" i="137" s="1" a="1"/>
  <c r="S285" i="137" s="1"/>
  <c r="R285" i="137"/>
  <c r="Q286" i="137"/>
  <c r="S286" i="137" s="1" a="1"/>
  <c r="S286" i="137" s="1"/>
  <c r="R286" i="137"/>
  <c r="Q287" i="137"/>
  <c r="S287" i="137" s="1" a="1"/>
  <c r="S287" i="137" s="1"/>
  <c r="B292" i="138" s="1"/>
  <c r="R287" i="137"/>
  <c r="Q288" i="137"/>
  <c r="R288" i="137"/>
  <c r="S288" i="137" a="1"/>
  <c r="S288" i="137" s="1"/>
  <c r="Q289" i="137"/>
  <c r="R289" i="137"/>
  <c r="S289" i="137" a="1"/>
  <c r="S289" i="137" s="1"/>
  <c r="Q290" i="137"/>
  <c r="R290" i="137"/>
  <c r="S290" i="137" a="1"/>
  <c r="S290" i="137" s="1"/>
  <c r="Q291" i="137"/>
  <c r="S291" i="137" s="1" a="1"/>
  <c r="S291" i="137" s="1"/>
  <c r="B296" i="138" s="1"/>
  <c r="R291" i="137"/>
  <c r="Q292" i="137"/>
  <c r="S292" i="137" s="1" a="1"/>
  <c r="S292" i="137" s="1"/>
  <c r="R292" i="137"/>
  <c r="Q293" i="137"/>
  <c r="R293" i="137"/>
  <c r="S293" i="137" s="1" a="1"/>
  <c r="S293" i="137" s="1"/>
  <c r="Q294" i="137"/>
  <c r="S294" i="137" s="1" a="1"/>
  <c r="S294" i="137" s="1"/>
  <c r="B299" i="138" s="1"/>
  <c r="R294" i="137"/>
  <c r="Q295" i="137"/>
  <c r="S295" i="137" s="1" a="1"/>
  <c r="S295" i="137" s="1"/>
  <c r="B300" i="138" s="1"/>
  <c r="R295" i="137"/>
  <c r="Q296" i="137"/>
  <c r="R296" i="137"/>
  <c r="S296" i="137" a="1"/>
  <c r="S296" i="137" s="1"/>
  <c r="B301" i="138" s="1"/>
  <c r="Q297" i="137"/>
  <c r="R297" i="137"/>
  <c r="S297" i="137" a="1"/>
  <c r="S297" i="137" s="1"/>
  <c r="B302" i="138" s="1"/>
  <c r="Q298" i="137"/>
  <c r="R298" i="137"/>
  <c r="S298" i="137" a="1"/>
  <c r="S298" i="137" s="1"/>
  <c r="Q299" i="137"/>
  <c r="S299" i="137" s="1" a="1"/>
  <c r="S299" i="137" s="1"/>
  <c r="B304" i="138" s="1"/>
  <c r="R299" i="137"/>
  <c r="Q300" i="137"/>
  <c r="S300" i="137" s="1" a="1"/>
  <c r="S300" i="137" s="1"/>
  <c r="R300" i="137"/>
  <c r="Q301" i="137"/>
  <c r="R301" i="137"/>
  <c r="S301" i="137" a="1"/>
  <c r="S301" i="137" s="1"/>
  <c r="Q302" i="137"/>
  <c r="S302" i="137" s="1" a="1"/>
  <c r="S302" i="137" s="1"/>
  <c r="R302" i="137"/>
  <c r="Q303" i="137"/>
  <c r="R303" i="137"/>
  <c r="S303" i="137" a="1"/>
  <c r="S303" i="137" s="1"/>
  <c r="B308" i="138" s="1"/>
  <c r="Q304" i="137"/>
  <c r="S304" i="137" s="1" a="1"/>
  <c r="S304" i="137" s="1"/>
  <c r="B309" i="138" s="1"/>
  <c r="R304" i="137"/>
  <c r="Q305" i="137"/>
  <c r="R305" i="137"/>
  <c r="S305" i="137" a="1"/>
  <c r="S305" i="137" s="1"/>
  <c r="B310" i="138" s="1"/>
  <c r="Q306" i="137"/>
  <c r="S306" i="137" s="1" a="1"/>
  <c r="S306" i="137" s="1"/>
  <c r="R306" i="137"/>
  <c r="Q307" i="137"/>
  <c r="R307" i="137"/>
  <c r="S307" i="137" a="1"/>
  <c r="S307" i="137" s="1"/>
  <c r="Q308" i="137"/>
  <c r="S308" i="137" s="1" a="1"/>
  <c r="S308" i="137" s="1"/>
  <c r="R308" i="137"/>
  <c r="Q309" i="137"/>
  <c r="R309" i="137"/>
  <c r="S309" i="137" a="1"/>
  <c r="S309" i="137" s="1"/>
  <c r="Q310" i="137"/>
  <c r="S310" i="137" s="1" a="1"/>
  <c r="S310" i="137" s="1"/>
  <c r="R310" i="137"/>
  <c r="Q311" i="137"/>
  <c r="R311" i="137"/>
  <c r="S311" i="137" a="1"/>
  <c r="S311" i="137" s="1"/>
  <c r="Q312" i="137"/>
  <c r="S312" i="137" s="1" a="1"/>
  <c r="S312" i="137" s="1"/>
  <c r="R312" i="137"/>
  <c r="Q313" i="137"/>
  <c r="R313" i="137"/>
  <c r="S313" i="137" a="1"/>
  <c r="S313" i="137" s="1"/>
  <c r="Q314" i="137"/>
  <c r="S314" i="137" s="1" a="1"/>
  <c r="S314" i="137" s="1"/>
  <c r="R314" i="137"/>
  <c r="Q315" i="137"/>
  <c r="R315" i="137"/>
  <c r="S315" i="137" a="1"/>
  <c r="S315" i="137" s="1"/>
  <c r="Q316" i="137"/>
  <c r="S316" i="137" s="1" a="1"/>
  <c r="S316" i="137" s="1"/>
  <c r="R316" i="137"/>
  <c r="Q317" i="137"/>
  <c r="R317" i="137"/>
  <c r="S317" i="137" a="1"/>
  <c r="S317" i="137" s="1"/>
  <c r="Q318" i="137"/>
  <c r="S318" i="137" s="1" a="1"/>
  <c r="S318" i="137" s="1"/>
  <c r="R318" i="137"/>
  <c r="Q319" i="137"/>
  <c r="R319" i="137"/>
  <c r="S319" i="137" a="1"/>
  <c r="S319" i="137" s="1"/>
  <c r="Q320" i="137"/>
  <c r="S320" i="137" s="1" a="1"/>
  <c r="S320" i="137" s="1"/>
  <c r="R320" i="137"/>
  <c r="Q321" i="137"/>
  <c r="R321" i="137"/>
  <c r="S321" i="137" a="1"/>
  <c r="S321" i="137" s="1"/>
  <c r="Q322" i="137"/>
  <c r="S322" i="137" s="1" a="1"/>
  <c r="S322" i="137" s="1"/>
  <c r="R322" i="137"/>
  <c r="Q323" i="137"/>
  <c r="R323" i="137"/>
  <c r="S323" i="137" a="1"/>
  <c r="S323" i="137" s="1"/>
  <c r="Q324" i="137"/>
  <c r="S324" i="137" s="1" a="1"/>
  <c r="S324" i="137" s="1"/>
  <c r="R324" i="137"/>
  <c r="Q325" i="137"/>
  <c r="R325" i="137"/>
  <c r="S325" i="137" a="1"/>
  <c r="S325" i="137" s="1"/>
  <c r="Q326" i="137"/>
  <c r="S326" i="137" s="1" a="1"/>
  <c r="S326" i="137" s="1"/>
  <c r="R326" i="137"/>
  <c r="Q327" i="137"/>
  <c r="R327" i="137"/>
  <c r="S327" i="137" a="1"/>
  <c r="S327" i="137" s="1"/>
  <c r="Q328" i="137"/>
  <c r="S328" i="137" s="1" a="1"/>
  <c r="S328" i="137" s="1"/>
  <c r="R328" i="137"/>
  <c r="Q329" i="137"/>
  <c r="R329" i="137"/>
  <c r="S329" i="137" a="1"/>
  <c r="S329" i="137" s="1"/>
  <c r="Q330" i="137"/>
  <c r="S330" i="137" s="1" a="1"/>
  <c r="S330" i="137" s="1"/>
  <c r="R330" i="137"/>
  <c r="Q331" i="137"/>
  <c r="R331" i="137"/>
  <c r="S331" i="137" a="1"/>
  <c r="S331" i="137" s="1"/>
  <c r="Q332" i="137"/>
  <c r="S332" i="137" s="1" a="1"/>
  <c r="S332" i="137" s="1"/>
  <c r="R332" i="137"/>
  <c r="Q333" i="137"/>
  <c r="R333" i="137"/>
  <c r="S333" i="137" a="1"/>
  <c r="S333" i="137" s="1"/>
  <c r="Q334" i="137"/>
  <c r="S334" i="137" s="1" a="1"/>
  <c r="S334" i="137" s="1"/>
  <c r="R334" i="137"/>
  <c r="Q335" i="137"/>
  <c r="R335" i="137"/>
  <c r="S335" i="137" a="1"/>
  <c r="S335" i="137" s="1"/>
  <c r="Q336" i="137"/>
  <c r="S336" i="137" s="1" a="1"/>
  <c r="S336" i="137" s="1"/>
  <c r="R336" i="137"/>
  <c r="Q337" i="137"/>
  <c r="R337" i="137"/>
  <c r="S337" i="137" a="1"/>
  <c r="S337" i="137" s="1"/>
  <c r="Q338" i="137"/>
  <c r="S338" i="137" s="1" a="1"/>
  <c r="S338" i="137" s="1"/>
  <c r="R338" i="137"/>
  <c r="Q339" i="137"/>
  <c r="R339" i="137"/>
  <c r="S339" i="137" a="1"/>
  <c r="S339" i="137" s="1"/>
  <c r="Q340" i="137"/>
  <c r="S340" i="137" s="1" a="1"/>
  <c r="S340" i="137" s="1"/>
  <c r="R340" i="137"/>
  <c r="Q341" i="137"/>
  <c r="R341" i="137"/>
  <c r="S341" i="137" a="1"/>
  <c r="S341" i="137" s="1"/>
  <c r="Q342" i="137"/>
  <c r="S342" i="137" s="1" a="1"/>
  <c r="S342" i="137" s="1"/>
  <c r="R342" i="137"/>
  <c r="Q343" i="137"/>
  <c r="R343" i="137"/>
  <c r="S343" i="137" a="1"/>
  <c r="S343" i="137" s="1"/>
  <c r="Q344" i="137"/>
  <c r="S344" i="137" s="1" a="1"/>
  <c r="S344" i="137" s="1"/>
  <c r="R344" i="137"/>
  <c r="Q345" i="137"/>
  <c r="R345" i="137"/>
  <c r="S345" i="137" a="1"/>
  <c r="S345" i="137" s="1"/>
  <c r="Q346" i="137"/>
  <c r="S346" i="137" s="1" a="1"/>
  <c r="S346" i="137" s="1"/>
  <c r="R346" i="137"/>
  <c r="Q347" i="137"/>
  <c r="R347" i="137"/>
  <c r="S347" i="137" a="1"/>
  <c r="S347" i="137" s="1"/>
  <c r="Q348" i="137"/>
  <c r="S348" i="137" s="1" a="1"/>
  <c r="S348" i="137" s="1"/>
  <c r="R348" i="137"/>
  <c r="Q349" i="137"/>
  <c r="R349" i="137"/>
  <c r="S349" i="137" a="1"/>
  <c r="S349" i="137" s="1"/>
  <c r="Q350" i="137"/>
  <c r="S350" i="137" s="1" a="1"/>
  <c r="S350" i="137" s="1"/>
  <c r="R350" i="137"/>
  <c r="Q351" i="137"/>
  <c r="R351" i="137"/>
  <c r="S351" i="137" a="1"/>
  <c r="S351" i="137" s="1"/>
  <c r="Q352" i="137"/>
  <c r="S352" i="137" s="1" a="1"/>
  <c r="S352" i="137" s="1"/>
  <c r="R352" i="137"/>
  <c r="Q353" i="137"/>
  <c r="R353" i="137"/>
  <c r="S353" i="137" a="1"/>
  <c r="S353" i="137" s="1"/>
  <c r="Q354" i="137"/>
  <c r="S354" i="137" s="1" a="1"/>
  <c r="S354" i="137" s="1"/>
  <c r="R354" i="137"/>
  <c r="Q355" i="137"/>
  <c r="R355" i="137"/>
  <c r="S355" i="137" a="1"/>
  <c r="S355" i="137" s="1"/>
  <c r="Q356" i="137"/>
  <c r="S356" i="137" s="1" a="1"/>
  <c r="S356" i="137" s="1"/>
  <c r="R356" i="137"/>
  <c r="Q357" i="137"/>
  <c r="R357" i="137"/>
  <c r="S357" i="137" a="1"/>
  <c r="S357" i="137" s="1"/>
  <c r="Q358" i="137"/>
  <c r="S358" i="137" s="1" a="1"/>
  <c r="S358" i="137" s="1"/>
  <c r="R358" i="137"/>
  <c r="Q359" i="137"/>
  <c r="R359" i="137"/>
  <c r="S359" i="137" a="1"/>
  <c r="S359" i="137" s="1"/>
  <c r="Q360" i="137"/>
  <c r="S360" i="137" s="1" a="1"/>
  <c r="S360" i="137" s="1"/>
  <c r="R360" i="137"/>
  <c r="Q361" i="137"/>
  <c r="R361" i="137"/>
  <c r="S361" i="137" a="1"/>
  <c r="S361" i="137" s="1"/>
  <c r="Q362" i="137"/>
  <c r="S362" i="137" s="1" a="1"/>
  <c r="S362" i="137" s="1"/>
  <c r="R362" i="137"/>
  <c r="Q363" i="137"/>
  <c r="R363" i="137"/>
  <c r="S363" i="137" a="1"/>
  <c r="S363" i="137" s="1"/>
  <c r="Q364" i="137"/>
  <c r="S364" i="137" s="1" a="1"/>
  <c r="S364" i="137" s="1"/>
  <c r="R364" i="137"/>
  <c r="Q365" i="137"/>
  <c r="R365" i="137"/>
  <c r="S365" i="137" a="1"/>
  <c r="S365" i="137" s="1"/>
  <c r="Q366" i="137"/>
  <c r="S366" i="137" s="1" a="1"/>
  <c r="S366" i="137" s="1"/>
  <c r="R366" i="137"/>
  <c r="Q367" i="137"/>
  <c r="R367" i="137"/>
  <c r="S367" i="137" a="1"/>
  <c r="S367" i="137" s="1"/>
  <c r="Q368" i="137"/>
  <c r="S368" i="137" s="1" a="1"/>
  <c r="S368" i="137" s="1"/>
  <c r="R368" i="137"/>
  <c r="Q369" i="137"/>
  <c r="R369" i="137"/>
  <c r="S369" i="137" a="1"/>
  <c r="S369" i="137" s="1"/>
  <c r="Q370" i="137"/>
  <c r="S370" i="137" s="1" a="1"/>
  <c r="S370" i="137" s="1"/>
  <c r="R370" i="137"/>
  <c r="Q371" i="137"/>
  <c r="R371" i="137"/>
  <c r="S371" i="137" a="1"/>
  <c r="S371" i="137" s="1"/>
  <c r="Q372" i="137"/>
  <c r="S372" i="137" s="1" a="1"/>
  <c r="S372" i="137" s="1"/>
  <c r="R372" i="137"/>
  <c r="I16" i="137"/>
  <c r="J16" i="137"/>
  <c r="K16" i="137"/>
  <c r="L16" i="137"/>
  <c r="M16" i="137"/>
  <c r="N16"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S134" i="137" s="1" a="1"/>
  <c r="S134" i="137" s="1"/>
  <c r="B139" i="138" s="1"/>
  <c r="I35" i="137"/>
  <c r="J35" i="137"/>
  <c r="K35" i="137"/>
  <c r="L35" i="137"/>
  <c r="M35" i="137"/>
  <c r="N35" i="137"/>
  <c r="I36" i="137"/>
  <c r="J36" i="137"/>
  <c r="K36" i="137"/>
  <c r="L36" i="137"/>
  <c r="M36" i="137"/>
  <c r="N36" i="137"/>
  <c r="I37" i="137"/>
  <c r="J37" i="137"/>
  <c r="K37" i="137"/>
  <c r="S149" i="137" s="1" a="1"/>
  <c r="S149" i="137" s="1"/>
  <c r="B154" i="138" s="1"/>
  <c r="L37" i="137"/>
  <c r="M37" i="137"/>
  <c r="N37" i="137"/>
  <c r="I38" i="137"/>
  <c r="J38" i="137"/>
  <c r="K38" i="137"/>
  <c r="L38" i="137"/>
  <c r="B161" i="138" s="1"/>
  <c r="M38" i="137"/>
  <c r="N38" i="137"/>
  <c r="I39" i="137"/>
  <c r="J39" i="137"/>
  <c r="K39" i="137"/>
  <c r="L39" i="137"/>
  <c r="M39" i="137"/>
  <c r="N39" i="137"/>
  <c r="I40" i="137"/>
  <c r="J40" i="137"/>
  <c r="K40" i="137"/>
  <c r="L40" i="137"/>
  <c r="M40" i="137"/>
  <c r="N40" i="137"/>
  <c r="I41" i="137"/>
  <c r="J41" i="137"/>
  <c r="B177" i="138" s="1"/>
  <c r="K41" i="137"/>
  <c r="L41" i="137"/>
  <c r="M41" i="137"/>
  <c r="N41" i="137"/>
  <c r="I42" i="137"/>
  <c r="J42" i="137"/>
  <c r="K42" i="137"/>
  <c r="L42" i="137"/>
  <c r="M42" i="137"/>
  <c r="N42" i="137"/>
  <c r="I43" i="137"/>
  <c r="J43" i="137"/>
  <c r="K43" i="137"/>
  <c r="L43" i="137"/>
  <c r="M43" i="137"/>
  <c r="N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I48" i="137"/>
  <c r="J48" i="137"/>
  <c r="K48" i="137"/>
  <c r="L48" i="137"/>
  <c r="M48" i="137"/>
  <c r="N48" i="137"/>
  <c r="I49" i="137"/>
  <c r="J49" i="137"/>
  <c r="K49" i="137"/>
  <c r="L49" i="137"/>
  <c r="M49" i="137"/>
  <c r="N49" i="137"/>
  <c r="I50" i="137"/>
  <c r="J50" i="137"/>
  <c r="K50" i="137"/>
  <c r="L50" i="137"/>
  <c r="M50" i="137"/>
  <c r="N50" i="137"/>
  <c r="I51" i="137"/>
  <c r="J51" i="137"/>
  <c r="K51" i="137"/>
  <c r="L51" i="137"/>
  <c r="M51" i="137"/>
  <c r="N51" i="137"/>
  <c r="I52" i="137"/>
  <c r="J52" i="137"/>
  <c r="K52" i="137"/>
  <c r="L52" i="137"/>
  <c r="M52" i="137"/>
  <c r="N52" i="137"/>
  <c r="I53" i="137"/>
  <c r="J53" i="137"/>
  <c r="K53" i="137"/>
  <c r="L53" i="137"/>
  <c r="M53" i="137"/>
  <c r="N53" i="137"/>
  <c r="I54" i="137"/>
  <c r="J54" i="137"/>
  <c r="K54" i="137"/>
  <c r="L54" i="137"/>
  <c r="M54" i="137"/>
  <c r="N54" i="137"/>
  <c r="I55" i="137"/>
  <c r="J55" i="137"/>
  <c r="K55" i="137"/>
  <c r="L55" i="137"/>
  <c r="M55" i="137"/>
  <c r="N55" i="137"/>
  <c r="I56" i="137"/>
  <c r="J56" i="137"/>
  <c r="K56" i="137"/>
  <c r="L56" i="137"/>
  <c r="M56" i="137"/>
  <c r="N56" i="137"/>
  <c r="I57" i="137"/>
  <c r="J57" i="137"/>
  <c r="K57" i="137"/>
  <c r="L57" i="137"/>
  <c r="M57" i="137"/>
  <c r="N57" i="137"/>
  <c r="I58" i="137"/>
  <c r="J58" i="137"/>
  <c r="K58" i="137"/>
  <c r="L58" i="137"/>
  <c r="M58" i="137"/>
  <c r="N58" i="137"/>
  <c r="I59" i="137"/>
  <c r="J59" i="137"/>
  <c r="K59" i="137"/>
  <c r="L59" i="137"/>
  <c r="M59" i="137"/>
  <c r="N59" i="137"/>
  <c r="I60" i="137"/>
  <c r="J60" i="137"/>
  <c r="K60" i="137"/>
  <c r="L60" i="137"/>
  <c r="M60" i="137"/>
  <c r="N60" i="137"/>
  <c r="I61" i="137"/>
  <c r="J61" i="137"/>
  <c r="K61" i="137"/>
  <c r="L61" i="137"/>
  <c r="M61" i="137"/>
  <c r="N61" i="137"/>
  <c r="I62" i="137"/>
  <c r="J62" i="137"/>
  <c r="K62" i="137"/>
  <c r="L62" i="137"/>
  <c r="M62" i="137"/>
  <c r="N62" i="137"/>
  <c r="B16" i="199"/>
  <c r="I16" i="199" s="1"/>
  <c r="C16" i="199"/>
  <c r="J16" i="199" s="1"/>
  <c r="B17" i="199"/>
  <c r="I17" i="199" s="1"/>
  <c r="C17" i="199"/>
  <c r="J17" i="199" s="1"/>
  <c r="C15" i="199"/>
  <c r="B15" i="199"/>
  <c r="I15" i="199" s="1"/>
  <c r="R15" i="199"/>
  <c r="Q15" i="199"/>
  <c r="N15" i="199"/>
  <c r="M15" i="199"/>
  <c r="L15" i="199"/>
  <c r="K15" i="199"/>
  <c r="J15" i="199"/>
  <c r="B192" i="143"/>
  <c r="B191" i="143"/>
  <c r="B181" i="143"/>
  <c r="B182" i="143"/>
  <c r="B183" i="143"/>
  <c r="B184" i="143"/>
  <c r="B185" i="143"/>
  <c r="B186" i="143"/>
  <c r="B187" i="143"/>
  <c r="B188" i="143"/>
  <c r="B21" i="143"/>
  <c r="B22" i="143"/>
  <c r="B23" i="143"/>
  <c r="B24"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Q70" i="198"/>
  <c r="S70" i="198" s="1" a="1"/>
  <c r="S70" i="198" s="1"/>
  <c r="B249" i="143" s="1"/>
  <c r="R70" i="198"/>
  <c r="Q71" i="198"/>
  <c r="S71" i="198" s="1" a="1"/>
  <c r="S71" i="198" s="1"/>
  <c r="B250" i="143" s="1"/>
  <c r="R71" i="198"/>
  <c r="Q72" i="198"/>
  <c r="S72" i="198" s="1" a="1"/>
  <c r="S72" i="198" s="1"/>
  <c r="B251" i="143" s="1"/>
  <c r="R72" i="198"/>
  <c r="Q73" i="198"/>
  <c r="S73" i="198" s="1" a="1"/>
  <c r="S73" i="198" s="1"/>
  <c r="B252" i="143" s="1"/>
  <c r="R73" i="198"/>
  <c r="Q74" i="198"/>
  <c r="S74" i="198" s="1" a="1"/>
  <c r="S74" i="198" s="1"/>
  <c r="R74" i="198"/>
  <c r="Q75" i="198"/>
  <c r="S75" i="198" s="1" a="1"/>
  <c r="S75" i="198" s="1"/>
  <c r="R75" i="198"/>
  <c r="Q76" i="198"/>
  <c r="S76" i="198" s="1" a="1"/>
  <c r="S76" i="198" s="1"/>
  <c r="R76" i="198"/>
  <c r="Q77" i="198"/>
  <c r="S77" i="198" s="1" a="1"/>
  <c r="S77" i="198" s="1"/>
  <c r="R77" i="198"/>
  <c r="Q78" i="198"/>
  <c r="S78" i="198" s="1" a="1"/>
  <c r="S78" i="198" s="1"/>
  <c r="R78" i="198"/>
  <c r="Q79" i="198"/>
  <c r="S79" i="198" s="1" a="1"/>
  <c r="S79" i="198" s="1"/>
  <c r="R79" i="198"/>
  <c r="Q80" i="198"/>
  <c r="S80" i="198" s="1" a="1"/>
  <c r="S80" i="198" s="1"/>
  <c r="R80" i="198"/>
  <c r="Q55" i="198"/>
  <c r="S55" i="198" s="1" a="1"/>
  <c r="S55" i="198" s="1"/>
  <c r="B234" i="143" s="1"/>
  <c r="R55" i="198"/>
  <c r="Q56" i="198"/>
  <c r="R56" i="198"/>
  <c r="Q57" i="198"/>
  <c r="S57" i="198" s="1" a="1"/>
  <c r="S57" i="198" s="1"/>
  <c r="B236" i="143" s="1"/>
  <c r="R57" i="198"/>
  <c r="Q58" i="198"/>
  <c r="S58" i="198" s="1" a="1"/>
  <c r="S58" i="198" s="1"/>
  <c r="B237" i="143" s="1"/>
  <c r="R58" i="198"/>
  <c r="Q59" i="198"/>
  <c r="R59" i="198"/>
  <c r="Q60" i="198"/>
  <c r="S60" i="198" s="1" a="1"/>
  <c r="S60" i="198" s="1"/>
  <c r="B239" i="143" s="1"/>
  <c r="R60" i="198"/>
  <c r="Q61" i="198"/>
  <c r="S61" i="198" s="1" a="1"/>
  <c r="S61" i="198" s="1"/>
  <c r="B240" i="143" s="1"/>
  <c r="R61" i="198"/>
  <c r="Q62" i="198"/>
  <c r="R62" i="198"/>
  <c r="Q63" i="198"/>
  <c r="S63" i="198" s="1" a="1"/>
  <c r="S63" i="198" s="1"/>
  <c r="B242" i="143" s="1"/>
  <c r="R63" i="198"/>
  <c r="Q64" i="198"/>
  <c r="S64" i="198" s="1" a="1"/>
  <c r="S64" i="198" s="1"/>
  <c r="B243" i="143" s="1"/>
  <c r="R64" i="198"/>
  <c r="Q65" i="198"/>
  <c r="S65" i="198" s="1" a="1"/>
  <c r="S65" i="198" s="1"/>
  <c r="B244" i="143" s="1"/>
  <c r="R65" i="198"/>
  <c r="Q66" i="198"/>
  <c r="S66" i="198" s="1" a="1"/>
  <c r="S66" i="198" s="1"/>
  <c r="B245" i="143" s="1"/>
  <c r="R66" i="198"/>
  <c r="Q67" i="198"/>
  <c r="S67" i="198" s="1" a="1"/>
  <c r="S67" i="198" s="1"/>
  <c r="B246" i="143" s="1"/>
  <c r="R67" i="198"/>
  <c r="Q68" i="198"/>
  <c r="S68" i="198" s="1" a="1"/>
  <c r="S68" i="198" s="1"/>
  <c r="B247" i="143" s="1"/>
  <c r="R68" i="198"/>
  <c r="Q69" i="198"/>
  <c r="S69" i="198" s="1" a="1"/>
  <c r="S69" i="198" s="1"/>
  <c r="B248" i="143" s="1"/>
  <c r="R69" i="198"/>
  <c r="Q16" i="198"/>
  <c r="S16" i="198" s="1" a="1"/>
  <c r="S16" i="198" s="1"/>
  <c r="B195" i="143" s="1"/>
  <c r="R16" i="198"/>
  <c r="Q17" i="198"/>
  <c r="R17" i="198"/>
  <c r="S17" i="198" s="1" a="1"/>
  <c r="S17" i="198" s="1"/>
  <c r="B196" i="143" s="1"/>
  <c r="Q18" i="198"/>
  <c r="S18" i="198" s="1" a="1"/>
  <c r="S18" i="198" s="1"/>
  <c r="B197" i="143" s="1"/>
  <c r="R18" i="198"/>
  <c r="Q19" i="198"/>
  <c r="R19" i="198"/>
  <c r="S19" i="198" s="1" a="1"/>
  <c r="S19" i="198" s="1"/>
  <c r="B198" i="143" s="1"/>
  <c r="Q20" i="198"/>
  <c r="S20" i="198" s="1" a="1"/>
  <c r="S20" i="198" s="1"/>
  <c r="B199" i="143" s="1"/>
  <c r="R20" i="198"/>
  <c r="Q21" i="198"/>
  <c r="R21" i="198"/>
  <c r="S21" i="198" s="1" a="1"/>
  <c r="S21" i="198" s="1"/>
  <c r="B200" i="143" s="1"/>
  <c r="Q22" i="198"/>
  <c r="S22" i="198" s="1" a="1"/>
  <c r="S22" i="198" s="1"/>
  <c r="B201" i="143" s="1"/>
  <c r="R22" i="198"/>
  <c r="Q23" i="198"/>
  <c r="R23" i="198"/>
  <c r="Q24" i="198"/>
  <c r="S24" i="198" s="1" a="1"/>
  <c r="S24" i="198" s="1"/>
  <c r="B203" i="143" s="1"/>
  <c r="R24" i="198"/>
  <c r="Q25" i="198"/>
  <c r="R25" i="198"/>
  <c r="S25" i="198" s="1" a="1"/>
  <c r="S25" i="198" s="1"/>
  <c r="B204" i="143" s="1"/>
  <c r="Q26" i="198"/>
  <c r="R26" i="198"/>
  <c r="Q27" i="198"/>
  <c r="R27" i="198"/>
  <c r="S27" i="198" s="1" a="1"/>
  <c r="S27" i="198" s="1"/>
  <c r="B206" i="143" s="1"/>
  <c r="Q28" i="198"/>
  <c r="S28" i="198" s="1" a="1"/>
  <c r="S28" i="198" s="1"/>
  <c r="B207" i="143" s="1"/>
  <c r="R28" i="198"/>
  <c r="Q29" i="198"/>
  <c r="R29" i="198"/>
  <c r="Q30" i="198"/>
  <c r="S30" i="198" s="1" a="1"/>
  <c r="S30" i="198" s="1"/>
  <c r="B209" i="143" s="1"/>
  <c r="R30" i="198"/>
  <c r="Q31" i="198"/>
  <c r="S31" i="198" s="1" a="1"/>
  <c r="S31" i="198" s="1"/>
  <c r="B210" i="143" s="1"/>
  <c r="R31" i="198"/>
  <c r="Q32" i="198"/>
  <c r="R32" i="198"/>
  <c r="Q33" i="198"/>
  <c r="S33" i="198" s="1" a="1"/>
  <c r="S33" i="198" s="1"/>
  <c r="B212" i="143" s="1"/>
  <c r="R33" i="198"/>
  <c r="Q34" i="198"/>
  <c r="S34" i="198" s="1" a="1"/>
  <c r="S34" i="198" s="1"/>
  <c r="B213" i="143" s="1"/>
  <c r="R34" i="198"/>
  <c r="Q35" i="198"/>
  <c r="R35" i="198"/>
  <c r="Q36" i="198"/>
  <c r="S36" i="198" s="1" a="1"/>
  <c r="S36" i="198" s="1"/>
  <c r="B215" i="143" s="1"/>
  <c r="R36" i="198"/>
  <c r="Q37" i="198"/>
  <c r="S37" i="198" s="1" a="1"/>
  <c r="S37" i="198" s="1"/>
  <c r="B216" i="143" s="1"/>
  <c r="R37" i="198"/>
  <c r="Q38" i="198"/>
  <c r="S38" i="198" s="1" a="1"/>
  <c r="S38" i="198" s="1"/>
  <c r="B217" i="143" s="1"/>
  <c r="R38" i="198"/>
  <c r="Q39" i="198"/>
  <c r="S39" i="198" s="1" a="1"/>
  <c r="S39" i="198" s="1"/>
  <c r="B218" i="143" s="1"/>
  <c r="R39" i="198"/>
  <c r="Q40" i="198"/>
  <c r="S40" i="198" s="1" a="1"/>
  <c r="S40" i="198" s="1"/>
  <c r="B219" i="143" s="1"/>
  <c r="R40" i="198"/>
  <c r="Q41" i="198"/>
  <c r="R41" i="198"/>
  <c r="Q42" i="198"/>
  <c r="S42" i="198" s="1" a="1"/>
  <c r="S42" i="198" s="1"/>
  <c r="B221" i="143" s="1"/>
  <c r="R42" i="198"/>
  <c r="Q43" i="198"/>
  <c r="S43" i="198" s="1" a="1"/>
  <c r="S43" i="198" s="1"/>
  <c r="B222" i="143" s="1"/>
  <c r="R43" i="198"/>
  <c r="Q44" i="198"/>
  <c r="S44" i="198" s="1" a="1"/>
  <c r="S44" i="198" s="1"/>
  <c r="B223" i="143" s="1"/>
  <c r="R44" i="198"/>
  <c r="Q45" i="198"/>
  <c r="S45" i="198" s="1" a="1"/>
  <c r="S45" i="198" s="1"/>
  <c r="B224" i="143" s="1"/>
  <c r="R45" i="198"/>
  <c r="Q46" i="198"/>
  <c r="S46" i="198" s="1" a="1"/>
  <c r="S46" i="198" s="1"/>
  <c r="B225" i="143" s="1"/>
  <c r="R46" i="198"/>
  <c r="Q47" i="198"/>
  <c r="R47" i="198"/>
  <c r="Q48" i="198"/>
  <c r="S48" i="198" s="1" a="1"/>
  <c r="S48" i="198" s="1"/>
  <c r="B227" i="143" s="1"/>
  <c r="R48" i="198"/>
  <c r="Q49" i="198"/>
  <c r="S49" i="198" s="1" a="1"/>
  <c r="S49" i="198" s="1"/>
  <c r="B228" i="143" s="1"/>
  <c r="R49" i="198"/>
  <c r="Q50" i="198"/>
  <c r="S50" i="198" s="1" a="1"/>
  <c r="S50" i="198" s="1"/>
  <c r="B229" i="143" s="1"/>
  <c r="R50" i="198"/>
  <c r="Q51" i="198"/>
  <c r="S51" i="198" s="1" a="1"/>
  <c r="S51" i="198" s="1"/>
  <c r="B230" i="143" s="1"/>
  <c r="R51" i="198"/>
  <c r="Q52" i="198"/>
  <c r="S52" i="198" s="1" a="1"/>
  <c r="S52" i="198" s="1"/>
  <c r="B231" i="143" s="1"/>
  <c r="R52" i="198"/>
  <c r="Q53" i="198"/>
  <c r="R53" i="198"/>
  <c r="Q54" i="198"/>
  <c r="S54" i="198" s="1" a="1"/>
  <c r="S54" i="198" s="1"/>
  <c r="B233" i="143" s="1"/>
  <c r="R54" i="198"/>
  <c r="I23" i="198"/>
  <c r="J23" i="198"/>
  <c r="K23" i="198"/>
  <c r="L23" i="198"/>
  <c r="M23" i="198"/>
  <c r="N23" i="198"/>
  <c r="I17" i="198"/>
  <c r="J17" i="198"/>
  <c r="K17" i="198"/>
  <c r="L17" i="198"/>
  <c r="M17" i="198"/>
  <c r="N17" i="198"/>
  <c r="I18" i="198"/>
  <c r="J18" i="198"/>
  <c r="K18" i="198"/>
  <c r="L18" i="198"/>
  <c r="M18" i="198"/>
  <c r="N18" i="198"/>
  <c r="I19" i="198"/>
  <c r="J19" i="198"/>
  <c r="K19" i="198"/>
  <c r="L19" i="198"/>
  <c r="M19" i="198"/>
  <c r="N19" i="198"/>
  <c r="I20" i="198"/>
  <c r="J20" i="198"/>
  <c r="K20" i="198"/>
  <c r="L20" i="198"/>
  <c r="M20" i="198"/>
  <c r="N20" i="198"/>
  <c r="I21" i="198"/>
  <c r="J21" i="198"/>
  <c r="K21" i="198"/>
  <c r="L21" i="198"/>
  <c r="M21" i="198"/>
  <c r="N21" i="198"/>
  <c r="I22" i="198"/>
  <c r="J22" i="198"/>
  <c r="K22" i="198"/>
  <c r="L22" i="198"/>
  <c r="M22" i="198"/>
  <c r="N22" i="198"/>
  <c r="Q16" i="141"/>
  <c r="R16" i="141"/>
  <c r="S16" i="141" a="1"/>
  <c r="S16" i="141" s="1"/>
  <c r="Q17" i="141"/>
  <c r="R17" i="141"/>
  <c r="S17" i="141" a="1"/>
  <c r="S17" i="141"/>
  <c r="Q18" i="141"/>
  <c r="R18" i="141"/>
  <c r="S18" i="141" a="1"/>
  <c r="S18" i="141" s="1"/>
  <c r="Q19" i="141"/>
  <c r="R19" i="141"/>
  <c r="S19" i="141" a="1"/>
  <c r="S19" i="141"/>
  <c r="Q20" i="141"/>
  <c r="R20" i="141"/>
  <c r="S20" i="141" a="1"/>
  <c r="S20" i="141" s="1"/>
  <c r="Q21" i="141"/>
  <c r="R21" i="141"/>
  <c r="S21" i="141" a="1"/>
  <c r="S21" i="141"/>
  <c r="Q22" i="141"/>
  <c r="R22" i="141"/>
  <c r="S22" i="141" a="1"/>
  <c r="S22" i="141" s="1"/>
  <c r="Q23" i="141"/>
  <c r="R23" i="141"/>
  <c r="S23" i="141" a="1"/>
  <c r="S23" i="141"/>
  <c r="Q24" i="141"/>
  <c r="R24" i="141"/>
  <c r="S24" i="141" a="1"/>
  <c r="S24" i="141" s="1"/>
  <c r="Q25" i="141"/>
  <c r="R25" i="141"/>
  <c r="S25" i="141" a="1"/>
  <c r="S25" i="141"/>
  <c r="Q26" i="141"/>
  <c r="R26" i="141"/>
  <c r="S26" i="141" a="1"/>
  <c r="S26" i="141" s="1"/>
  <c r="Q27" i="141"/>
  <c r="R27" i="141"/>
  <c r="S27" i="141" a="1"/>
  <c r="S27" i="141"/>
  <c r="Q28" i="141"/>
  <c r="R28" i="141"/>
  <c r="S28" i="141" a="1"/>
  <c r="S28" i="141" s="1"/>
  <c r="Q29" i="141"/>
  <c r="R29" i="141"/>
  <c r="S29" i="141" a="1"/>
  <c r="S29" i="141" s="1"/>
  <c r="Q30" i="141"/>
  <c r="R30" i="141"/>
  <c r="S30" i="141" a="1"/>
  <c r="S30" i="141" s="1"/>
  <c r="Q31" i="141"/>
  <c r="R31" i="141"/>
  <c r="S31" i="141" a="1"/>
  <c r="S31" i="141"/>
  <c r="Q32" i="141"/>
  <c r="R32" i="141"/>
  <c r="S32" i="141" a="1"/>
  <c r="S32" i="141" s="1"/>
  <c r="Q33" i="141"/>
  <c r="R33" i="141"/>
  <c r="S33" i="141" a="1"/>
  <c r="S33" i="141"/>
  <c r="Q34" i="141"/>
  <c r="R34" i="141"/>
  <c r="S34" i="141" a="1"/>
  <c r="S34" i="141" s="1"/>
  <c r="Q35" i="141"/>
  <c r="R35" i="141"/>
  <c r="S35" i="141" a="1"/>
  <c r="S35" i="141" s="1"/>
  <c r="Q36" i="141"/>
  <c r="R36" i="141"/>
  <c r="S36" i="141" a="1"/>
  <c r="S36" i="141" s="1"/>
  <c r="Q37" i="141"/>
  <c r="R37" i="141"/>
  <c r="S37" i="141" a="1"/>
  <c r="S37" i="141"/>
  <c r="Q38" i="141"/>
  <c r="R38" i="141"/>
  <c r="S38" i="141" a="1"/>
  <c r="S38" i="141" s="1"/>
  <c r="Q39" i="141"/>
  <c r="R39" i="141"/>
  <c r="S39" i="141" a="1"/>
  <c r="S39" i="141"/>
  <c r="Q40" i="141"/>
  <c r="R40" i="141"/>
  <c r="S40" i="141" a="1"/>
  <c r="S40" i="141" s="1"/>
  <c r="Q41" i="141"/>
  <c r="R41" i="141"/>
  <c r="S41" i="141" a="1"/>
  <c r="S41" i="141"/>
  <c r="Q42" i="141"/>
  <c r="R42" i="141"/>
  <c r="S42" i="141" a="1"/>
  <c r="S42" i="141" s="1"/>
  <c r="Q43" i="141"/>
  <c r="R43" i="141"/>
  <c r="S43" i="141" a="1"/>
  <c r="S43" i="141"/>
  <c r="Q44" i="141"/>
  <c r="R44" i="141"/>
  <c r="S44" i="141" a="1"/>
  <c r="S44" i="141" s="1"/>
  <c r="Q45" i="141"/>
  <c r="R45" i="141"/>
  <c r="S45" i="141" a="1"/>
  <c r="S45" i="141" s="1"/>
  <c r="Q46" i="141"/>
  <c r="R46" i="141"/>
  <c r="S46" i="141" a="1"/>
  <c r="S46" i="141" s="1"/>
  <c r="Q47" i="141"/>
  <c r="R47" i="141"/>
  <c r="S47" i="141" a="1"/>
  <c r="S47" i="141"/>
  <c r="Q48" i="141"/>
  <c r="R48" i="141"/>
  <c r="S48" i="141" a="1"/>
  <c r="S48" i="141" s="1"/>
  <c r="Q49" i="141"/>
  <c r="R49" i="141"/>
  <c r="S49" i="141" s="1" a="1"/>
  <c r="S49" i="141" s="1"/>
  <c r="Q50" i="141"/>
  <c r="R50" i="141"/>
  <c r="S50" i="141" a="1"/>
  <c r="S50" i="141" s="1"/>
  <c r="Q51" i="141"/>
  <c r="R51" i="141"/>
  <c r="S51" i="141" a="1"/>
  <c r="S51" i="141" s="1"/>
  <c r="Q52" i="141"/>
  <c r="R52" i="141"/>
  <c r="S52" i="141" a="1"/>
  <c r="S52" i="141" s="1"/>
  <c r="Q53" i="141"/>
  <c r="R53" i="141"/>
  <c r="S53" i="141" s="1" a="1"/>
  <c r="S53" i="141" s="1"/>
  <c r="Q54" i="141"/>
  <c r="R54" i="141"/>
  <c r="S54" i="141" a="1"/>
  <c r="S54" i="141" s="1"/>
  <c r="Q55" i="141"/>
  <c r="R55" i="141"/>
  <c r="S55" i="141" a="1"/>
  <c r="S55" i="141" s="1"/>
  <c r="Q56" i="141"/>
  <c r="R56" i="141"/>
  <c r="S56" i="141" a="1"/>
  <c r="S56" i="141" s="1"/>
  <c r="Q57" i="141"/>
  <c r="S57" i="141" s="1" a="1"/>
  <c r="S57" i="141" s="1"/>
  <c r="R57" i="141"/>
  <c r="Q58" i="141"/>
  <c r="R58" i="141"/>
  <c r="S58" i="141" s="1" a="1"/>
  <c r="S58" i="141" s="1"/>
  <c r="Q59" i="141"/>
  <c r="S59" i="141" s="1" a="1"/>
  <c r="S59" i="141" s="1"/>
  <c r="R59" i="141"/>
  <c r="Q60" i="141"/>
  <c r="S60" i="141" s="1" a="1"/>
  <c r="S60" i="141" s="1"/>
  <c r="R60" i="141"/>
  <c r="Q61" i="141"/>
  <c r="R61" i="141"/>
  <c r="S61" i="141" a="1"/>
  <c r="S61" i="141" s="1"/>
  <c r="Q62" i="141"/>
  <c r="R62" i="141"/>
  <c r="S62" i="141" s="1" a="1"/>
  <c r="S62" i="141" s="1"/>
  <c r="Q63" i="141"/>
  <c r="R63" i="141"/>
  <c r="S63" i="141" a="1"/>
  <c r="S63" i="141"/>
  <c r="Q64" i="141"/>
  <c r="R64" i="141"/>
  <c r="S64" i="141" a="1"/>
  <c r="S64" i="141" s="1"/>
  <c r="Q65" i="141"/>
  <c r="R65" i="141"/>
  <c r="S65" i="141" s="1" a="1"/>
  <c r="S65" i="141" s="1"/>
  <c r="Q66" i="141"/>
  <c r="S66" i="141" s="1" a="1"/>
  <c r="S66" i="141" s="1"/>
  <c r="R66" i="141"/>
  <c r="Q67" i="141"/>
  <c r="S67" i="141" s="1" a="1"/>
  <c r="S67" i="141" s="1"/>
  <c r="R67" i="141"/>
  <c r="Q68" i="141"/>
  <c r="S68" i="141" s="1" a="1"/>
  <c r="S68" i="141" s="1"/>
  <c r="R68" i="141"/>
  <c r="Q69" i="141"/>
  <c r="S69" i="141" s="1" a="1"/>
  <c r="S69" i="141" s="1"/>
  <c r="R69" i="141"/>
  <c r="Q70" i="141"/>
  <c r="R70" i="141"/>
  <c r="S70" i="141" a="1"/>
  <c r="S70" i="141" s="1"/>
  <c r="Q71" i="141"/>
  <c r="R71" i="141"/>
  <c r="S71" i="141" a="1"/>
  <c r="S71" i="141" s="1"/>
  <c r="Q72" i="141"/>
  <c r="R72" i="141"/>
  <c r="S72" i="141" a="1"/>
  <c r="S72" i="141" s="1"/>
  <c r="Q73" i="141"/>
  <c r="S73" i="141" s="1" a="1"/>
  <c r="S73" i="141" s="1"/>
  <c r="R73" i="141"/>
  <c r="Q74" i="141"/>
  <c r="R74" i="141"/>
  <c r="S74" i="141" s="1" a="1"/>
  <c r="S74" i="141" s="1"/>
  <c r="Q75" i="141"/>
  <c r="S75" i="141" s="1" a="1"/>
  <c r="S75" i="141" s="1"/>
  <c r="R75" i="141"/>
  <c r="Q76" i="141"/>
  <c r="S76" i="141" s="1" a="1"/>
  <c r="S76" i="141" s="1"/>
  <c r="R76" i="141"/>
  <c r="Q77" i="141"/>
  <c r="R77" i="141"/>
  <c r="S77" i="141" a="1"/>
  <c r="S77" i="141" s="1"/>
  <c r="Q78" i="141"/>
  <c r="S78" i="141" s="1" a="1"/>
  <c r="S78" i="141" s="1"/>
  <c r="R78" i="141"/>
  <c r="Q79" i="141"/>
  <c r="R79" i="141"/>
  <c r="S79" i="141" a="1"/>
  <c r="S79" i="141"/>
  <c r="Q80" i="141"/>
  <c r="R80" i="141"/>
  <c r="S80" i="141" a="1"/>
  <c r="S80" i="141" s="1"/>
  <c r="Q81" i="141"/>
  <c r="R81" i="141"/>
  <c r="S81" i="141" s="1" a="1"/>
  <c r="S81" i="141" s="1"/>
  <c r="Q82" i="141"/>
  <c r="S82" i="141" s="1" a="1"/>
  <c r="S82" i="141" s="1"/>
  <c r="R82" i="141"/>
  <c r="Q83" i="141"/>
  <c r="S83" i="141" s="1" a="1"/>
  <c r="S83" i="141" s="1"/>
  <c r="R83" i="141"/>
  <c r="Q84" i="141"/>
  <c r="S84" i="141" s="1" a="1"/>
  <c r="S84" i="141" s="1"/>
  <c r="R84" i="141"/>
  <c r="Q85" i="141"/>
  <c r="R85" i="141"/>
  <c r="S85" i="141" s="1" a="1"/>
  <c r="S85" i="141" s="1"/>
  <c r="Q86" i="141"/>
  <c r="R86" i="141"/>
  <c r="S86" i="141" a="1"/>
  <c r="S86" i="141" s="1"/>
  <c r="Q87" i="141"/>
  <c r="R87" i="141"/>
  <c r="S87" i="141" a="1"/>
  <c r="S87" i="141" s="1"/>
  <c r="Q88" i="141"/>
  <c r="R88" i="141"/>
  <c r="S88" i="141" a="1"/>
  <c r="S88" i="141" s="1"/>
  <c r="Q89" i="141"/>
  <c r="S89" i="141" s="1" a="1"/>
  <c r="S89" i="141" s="1"/>
  <c r="R89" i="141"/>
  <c r="Q90" i="141"/>
  <c r="R90" i="141"/>
  <c r="S90" i="141" s="1" a="1"/>
  <c r="S90" i="141" s="1"/>
  <c r="Q91" i="141"/>
  <c r="S91" i="141" s="1" a="1"/>
  <c r="S91" i="141" s="1"/>
  <c r="R91" i="141"/>
  <c r="Q92" i="141"/>
  <c r="S92" i="141" s="1" a="1"/>
  <c r="S92" i="141" s="1"/>
  <c r="R92" i="141"/>
  <c r="Q93" i="141"/>
  <c r="R93" i="141"/>
  <c r="S93" i="141" a="1"/>
  <c r="S93" i="141" s="1"/>
  <c r="Q94" i="141"/>
  <c r="S94" i="141" s="1" a="1"/>
  <c r="S94" i="141" s="1"/>
  <c r="R94" i="141"/>
  <c r="Q95" i="141"/>
  <c r="R95" i="141"/>
  <c r="S95" i="141" a="1"/>
  <c r="S95" i="141"/>
  <c r="Q96" i="141"/>
  <c r="R96" i="141"/>
  <c r="S96" i="141" a="1"/>
  <c r="S96" i="141" s="1"/>
  <c r="Q97" i="141"/>
  <c r="R97" i="141"/>
  <c r="S97" i="141" s="1" a="1"/>
  <c r="S97" i="141" s="1"/>
  <c r="Q98" i="141"/>
  <c r="S98" i="141" s="1" a="1"/>
  <c r="S98" i="141" s="1"/>
  <c r="R98" i="141"/>
  <c r="Q99" i="141"/>
  <c r="S99" i="141" s="1" a="1"/>
  <c r="S99" i="141" s="1"/>
  <c r="R99" i="141"/>
  <c r="Q100" i="141"/>
  <c r="S100" i="141" s="1" a="1"/>
  <c r="S100" i="141" s="1"/>
  <c r="R100" i="141"/>
  <c r="Q101" i="141"/>
  <c r="S101" i="141" s="1" a="1"/>
  <c r="S101" i="141" s="1"/>
  <c r="R101" i="141"/>
  <c r="Q102" i="141"/>
  <c r="R102" i="141"/>
  <c r="S102" i="141" a="1"/>
  <c r="S102" i="141" s="1"/>
  <c r="Q103" i="141"/>
  <c r="R103" i="141"/>
  <c r="S103" i="141" a="1"/>
  <c r="S103" i="141" s="1"/>
  <c r="Q104" i="141"/>
  <c r="R104" i="141"/>
  <c r="S104" i="141" a="1"/>
  <c r="S104" i="141" s="1"/>
  <c r="Q105" i="141"/>
  <c r="S105" i="141" s="1" a="1"/>
  <c r="S105" i="141" s="1"/>
  <c r="R105" i="141"/>
  <c r="Q106" i="141"/>
  <c r="R106" i="141"/>
  <c r="S106" i="141" s="1" a="1"/>
  <c r="S106" i="141" s="1"/>
  <c r="Q107" i="141"/>
  <c r="S107" i="141" s="1" a="1"/>
  <c r="S107" i="141" s="1"/>
  <c r="R107" i="141"/>
  <c r="Q108" i="141"/>
  <c r="S108" i="141" s="1" a="1"/>
  <c r="S108" i="141" s="1"/>
  <c r="R108" i="141"/>
  <c r="Q109" i="141"/>
  <c r="R109" i="141"/>
  <c r="S109" i="141" a="1"/>
  <c r="S109" i="141" s="1"/>
  <c r="Q110" i="141"/>
  <c r="S110" i="141" s="1" a="1"/>
  <c r="S110" i="141" s="1"/>
  <c r="R110" i="141"/>
  <c r="Q111" i="141"/>
  <c r="R111" i="141"/>
  <c r="S111" i="141" a="1"/>
  <c r="S111" i="141"/>
  <c r="Q112" i="141"/>
  <c r="R112" i="141"/>
  <c r="S112" i="141" a="1"/>
  <c r="S112" i="141" s="1"/>
  <c r="Q113" i="141"/>
  <c r="R113" i="141"/>
  <c r="S113" i="141" s="1" a="1"/>
  <c r="S113" i="141" s="1"/>
  <c r="Q114" i="141"/>
  <c r="S114" i="141" s="1" a="1"/>
  <c r="S114" i="141" s="1"/>
  <c r="R114" i="141"/>
  <c r="Q115" i="141"/>
  <c r="S115" i="141" s="1" a="1"/>
  <c r="S115" i="141" s="1"/>
  <c r="R115" i="141"/>
  <c r="Q116" i="141"/>
  <c r="S116" i="141" s="1" a="1"/>
  <c r="S116" i="141" s="1"/>
  <c r="R116" i="141"/>
  <c r="Q117" i="141"/>
  <c r="S117" i="141" s="1" a="1"/>
  <c r="S117" i="141" s="1"/>
  <c r="R117" i="141"/>
  <c r="Q118" i="141"/>
  <c r="R118" i="141"/>
  <c r="S118" i="141" a="1"/>
  <c r="S118" i="141" s="1"/>
  <c r="Q119" i="141"/>
  <c r="R119" i="141"/>
  <c r="S119" i="141" a="1"/>
  <c r="S119" i="141" s="1"/>
  <c r="Q120" i="141"/>
  <c r="R120" i="141"/>
  <c r="S120" i="141" a="1"/>
  <c r="S120" i="141" s="1"/>
  <c r="Q121" i="141"/>
  <c r="S121" i="141" s="1" a="1"/>
  <c r="S121" i="141" s="1"/>
  <c r="R121" i="141"/>
  <c r="Q122" i="141"/>
  <c r="R122" i="141"/>
  <c r="S122" i="141" s="1" a="1"/>
  <c r="S122" i="141" s="1"/>
  <c r="Q123" i="141"/>
  <c r="S123" i="141" s="1" a="1"/>
  <c r="S123" i="141" s="1"/>
  <c r="R123" i="141"/>
  <c r="Q124" i="141"/>
  <c r="S124" i="141" s="1" a="1"/>
  <c r="S124" i="141" s="1"/>
  <c r="R124" i="141"/>
  <c r="Q125" i="141"/>
  <c r="R125" i="141"/>
  <c r="S125" i="141" a="1"/>
  <c r="S125" i="141" s="1"/>
  <c r="Q126" i="141"/>
  <c r="S126" i="141" s="1" a="1"/>
  <c r="S126" i="141" s="1"/>
  <c r="R126" i="141"/>
  <c r="Q127" i="141"/>
  <c r="R127" i="141"/>
  <c r="S127" i="141" a="1"/>
  <c r="S127" i="141"/>
  <c r="Q128" i="141"/>
  <c r="R128" i="141"/>
  <c r="S128" i="141" a="1"/>
  <c r="S128" i="141" s="1"/>
  <c r="Q129" i="141"/>
  <c r="R129" i="141"/>
  <c r="S129" i="141" s="1" a="1"/>
  <c r="S129" i="141" s="1"/>
  <c r="Q130" i="141"/>
  <c r="S130" i="141" s="1" a="1"/>
  <c r="S130" i="141" s="1"/>
  <c r="R130" i="141"/>
  <c r="Q131" i="141"/>
  <c r="S131" i="141" s="1" a="1"/>
  <c r="S131" i="141" s="1"/>
  <c r="R131" i="141"/>
  <c r="Q132" i="141"/>
  <c r="S132" i="141" s="1" a="1"/>
  <c r="S132" i="141" s="1"/>
  <c r="R132" i="141"/>
  <c r="Q133" i="141"/>
  <c r="S133" i="141" s="1" a="1"/>
  <c r="S133" i="141" s="1"/>
  <c r="R133" i="141"/>
  <c r="Q134" i="141"/>
  <c r="R134" i="141"/>
  <c r="S134" i="141" a="1"/>
  <c r="S134" i="141" s="1"/>
  <c r="Q135" i="141"/>
  <c r="R135" i="141"/>
  <c r="S135" i="141" a="1"/>
  <c r="S135" i="141" s="1"/>
  <c r="Q136" i="141"/>
  <c r="R136" i="141"/>
  <c r="S136" i="141" a="1"/>
  <c r="S136" i="141" s="1"/>
  <c r="Q137" i="141"/>
  <c r="S137" i="141" s="1" a="1"/>
  <c r="S137" i="141" s="1"/>
  <c r="R137" i="141"/>
  <c r="Q138" i="141"/>
  <c r="R138" i="141"/>
  <c r="S138" i="141" a="1"/>
  <c r="S138" i="141" s="1"/>
  <c r="Q139" i="141"/>
  <c r="S139" i="141" s="1" a="1"/>
  <c r="S139" i="141" s="1"/>
  <c r="R139" i="141"/>
  <c r="Q140" i="141"/>
  <c r="S140" i="141" s="1" a="1"/>
  <c r="S140" i="141" s="1"/>
  <c r="R140" i="141"/>
  <c r="Q141" i="141"/>
  <c r="R141" i="141"/>
  <c r="S141" i="141" a="1"/>
  <c r="S141" i="141" s="1"/>
  <c r="Q142" i="141"/>
  <c r="S142" i="141" s="1" a="1"/>
  <c r="S142" i="141" s="1"/>
  <c r="R142" i="141"/>
  <c r="Q143" i="141"/>
  <c r="R143" i="141"/>
  <c r="S143" i="141" a="1"/>
  <c r="S143" i="141"/>
  <c r="Q144" i="141"/>
  <c r="R144" i="141"/>
  <c r="S144" i="141" a="1"/>
  <c r="S144" i="141" s="1"/>
  <c r="Q145" i="141"/>
  <c r="R145" i="141"/>
  <c r="S145" i="141" a="1"/>
  <c r="S145" i="141"/>
  <c r="Q146" i="141"/>
  <c r="S146" i="141" s="1" a="1"/>
  <c r="S146" i="141" s="1"/>
  <c r="R146" i="141"/>
  <c r="Q147" i="141"/>
  <c r="S147" i="141" s="1" a="1"/>
  <c r="S147" i="141" s="1"/>
  <c r="R147" i="141"/>
  <c r="Q148" i="141"/>
  <c r="S148" i="141" s="1" a="1"/>
  <c r="S148" i="141" s="1"/>
  <c r="R148" i="141"/>
  <c r="Q149" i="141"/>
  <c r="S149" i="141" s="1" a="1"/>
  <c r="S149" i="141" s="1"/>
  <c r="R149" i="141"/>
  <c r="Q150" i="141"/>
  <c r="R150" i="141"/>
  <c r="S150" i="141" a="1"/>
  <c r="S150" i="141" s="1"/>
  <c r="Q151" i="141"/>
  <c r="R151" i="141"/>
  <c r="S151" i="141" a="1"/>
  <c r="S151" i="141" s="1"/>
  <c r="Q152" i="141"/>
  <c r="R152" i="141"/>
  <c r="S152" i="141" a="1"/>
  <c r="S152" i="141" s="1"/>
  <c r="Q153" i="141"/>
  <c r="S153" i="141" s="1" a="1"/>
  <c r="S153" i="141" s="1"/>
  <c r="R153" i="141"/>
  <c r="Q154" i="141"/>
  <c r="R154" i="141"/>
  <c r="S154" i="141" a="1"/>
  <c r="S154" i="141" s="1"/>
  <c r="Q155" i="141"/>
  <c r="S155" i="141" s="1" a="1"/>
  <c r="S155" i="141" s="1"/>
  <c r="R155" i="141"/>
  <c r="Q156" i="141"/>
  <c r="S156" i="141" s="1" a="1"/>
  <c r="S156" i="141" s="1"/>
  <c r="R156" i="141"/>
  <c r="Q157" i="141"/>
  <c r="R157" i="141"/>
  <c r="S157" i="141" a="1"/>
  <c r="S157" i="141" s="1"/>
  <c r="Q158" i="141"/>
  <c r="S158" i="141" s="1" a="1"/>
  <c r="S158" i="141" s="1"/>
  <c r="R158" i="141"/>
  <c r="Q159" i="141"/>
  <c r="R159" i="141"/>
  <c r="S159" i="141" a="1"/>
  <c r="S159" i="141"/>
  <c r="Q160" i="141"/>
  <c r="R160" i="141"/>
  <c r="S160" i="141" a="1"/>
  <c r="S160" i="141" s="1"/>
  <c r="Q161" i="141"/>
  <c r="R161" i="141"/>
  <c r="S161" i="141" a="1"/>
  <c r="S161" i="141"/>
  <c r="Q162" i="141"/>
  <c r="S162" i="141" s="1" a="1"/>
  <c r="S162" i="141" s="1"/>
  <c r="R162" i="141"/>
  <c r="Q163" i="141"/>
  <c r="S163" i="141" s="1" a="1"/>
  <c r="S163" i="141" s="1"/>
  <c r="R163" i="141"/>
  <c r="Q164" i="141"/>
  <c r="S164" i="141" s="1" a="1"/>
  <c r="S164" i="141" s="1"/>
  <c r="R164" i="141"/>
  <c r="Q165" i="141"/>
  <c r="S165" i="141" s="1" a="1"/>
  <c r="S165" i="141" s="1"/>
  <c r="R165" i="141"/>
  <c r="Q166" i="141"/>
  <c r="R166" i="141"/>
  <c r="S166" i="141" a="1"/>
  <c r="S166" i="141" s="1"/>
  <c r="Q167" i="141"/>
  <c r="R167" i="141"/>
  <c r="S167" i="141" a="1"/>
  <c r="S167" i="141" s="1"/>
  <c r="Q168" i="141"/>
  <c r="R168" i="141"/>
  <c r="S168" i="141" a="1"/>
  <c r="S168" i="141" s="1"/>
  <c r="Q169" i="141"/>
  <c r="S169" i="141" s="1" a="1"/>
  <c r="S169" i="141" s="1"/>
  <c r="R169" i="141"/>
  <c r="Q170" i="141"/>
  <c r="R170" i="141"/>
  <c r="S170" i="141" a="1"/>
  <c r="S170" i="141" s="1"/>
  <c r="Q171" i="141"/>
  <c r="S171" i="141" s="1" a="1"/>
  <c r="S171" i="141" s="1"/>
  <c r="R171" i="141"/>
  <c r="Q172" i="141"/>
  <c r="S172" i="141" s="1" a="1"/>
  <c r="S172" i="141" s="1"/>
  <c r="R172" i="141"/>
  <c r="Q173" i="141"/>
  <c r="R173" i="141"/>
  <c r="S173" i="141" a="1"/>
  <c r="S173" i="141" s="1"/>
  <c r="Q174" i="141"/>
  <c r="S174" i="141" s="1" a="1"/>
  <c r="S174" i="141" s="1"/>
  <c r="R174" i="141"/>
  <c r="Q175" i="141"/>
  <c r="R175" i="141"/>
  <c r="S175" i="141" a="1"/>
  <c r="S175" i="141"/>
  <c r="Q176" i="141"/>
  <c r="R176" i="141"/>
  <c r="S176" i="141" a="1"/>
  <c r="S176" i="141" s="1"/>
  <c r="Q177" i="141"/>
  <c r="R177" i="141"/>
  <c r="S177" i="141" a="1"/>
  <c r="S177" i="141"/>
  <c r="Q178" i="141"/>
  <c r="S178" i="141" s="1" a="1"/>
  <c r="S178" i="141" s="1"/>
  <c r="R178" i="141"/>
  <c r="Q179" i="141"/>
  <c r="S179" i="141" s="1" a="1"/>
  <c r="S179" i="141" s="1"/>
  <c r="R179" i="141"/>
  <c r="Q180" i="141"/>
  <c r="S180" i="141" s="1" a="1"/>
  <c r="S180" i="141" s="1"/>
  <c r="R180" i="141"/>
  <c r="Q181" i="141"/>
  <c r="S181" i="141" s="1" a="1"/>
  <c r="S181" i="141" s="1"/>
  <c r="R181" i="141"/>
  <c r="Q182" i="141"/>
  <c r="R182" i="141"/>
  <c r="S182" i="141" a="1"/>
  <c r="S182" i="141" s="1"/>
  <c r="Q183" i="141"/>
  <c r="R183" i="141"/>
  <c r="S183" i="141" a="1"/>
  <c r="S183" i="141" s="1"/>
  <c r="Q184" i="141"/>
  <c r="R184" i="141"/>
  <c r="S184" i="141" a="1"/>
  <c r="S184" i="141" s="1"/>
  <c r="Q185" i="141"/>
  <c r="S185" i="141" s="1" a="1"/>
  <c r="S185" i="141" s="1"/>
  <c r="R185" i="141"/>
  <c r="Q186" i="141"/>
  <c r="R186" i="141"/>
  <c r="S186" i="141" a="1"/>
  <c r="S186" i="141"/>
  <c r="Q187" i="141"/>
  <c r="S187" i="141" s="1" a="1"/>
  <c r="S187" i="141" s="1"/>
  <c r="R187" i="141"/>
  <c r="Q188" i="141"/>
  <c r="R188" i="141"/>
  <c r="S188" i="141" a="1"/>
  <c r="S188" i="141"/>
  <c r="Q189" i="141"/>
  <c r="S189" i="141" s="1" a="1"/>
  <c r="S189" i="141" s="1"/>
  <c r="R189" i="141"/>
  <c r="Q190" i="141"/>
  <c r="R190" i="141"/>
  <c r="S190" i="141" a="1"/>
  <c r="S190" i="141"/>
  <c r="Q191" i="141"/>
  <c r="S191" i="141" s="1" a="1"/>
  <c r="S191" i="141" s="1"/>
  <c r="R191" i="141"/>
  <c r="Q192" i="141"/>
  <c r="R192" i="141"/>
  <c r="S192" i="141" a="1"/>
  <c r="S192" i="141"/>
  <c r="Q193" i="141"/>
  <c r="S193" i="141" s="1" a="1"/>
  <c r="S193" i="141" s="1"/>
  <c r="R193" i="141"/>
  <c r="Q194" i="141"/>
  <c r="R194" i="141"/>
  <c r="S194" i="141" a="1"/>
  <c r="S194" i="141"/>
  <c r="Q195" i="141"/>
  <c r="S195" i="141" s="1" a="1"/>
  <c r="S195" i="141" s="1"/>
  <c r="R195" i="141"/>
  <c r="Q196" i="141"/>
  <c r="R196" i="141"/>
  <c r="S196" i="141" a="1"/>
  <c r="S196" i="141"/>
  <c r="Q197" i="141"/>
  <c r="S197" i="141" s="1" a="1"/>
  <c r="S197" i="141" s="1"/>
  <c r="R197" i="141"/>
  <c r="Q198" i="141"/>
  <c r="R198" i="141"/>
  <c r="S198" i="141" a="1"/>
  <c r="S198"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218" i="141"/>
  <c r="R218" i="141"/>
  <c r="S218" i="141" a="1"/>
  <c r="S218" i="141"/>
  <c r="Q219" i="141"/>
  <c r="S219" i="141" s="1" a="1"/>
  <c r="S219" i="141" s="1"/>
  <c r="R219" i="141"/>
  <c r="Q220" i="141"/>
  <c r="R220" i="141"/>
  <c r="S220" i="141" a="1"/>
  <c r="S220" i="141"/>
  <c r="Q221" i="141"/>
  <c r="S221" i="141" s="1" a="1"/>
  <c r="S221" i="141" s="1"/>
  <c r="R221" i="141"/>
  <c r="Q222" i="141"/>
  <c r="R222" i="141"/>
  <c r="S222" i="141" a="1"/>
  <c r="S222" i="141"/>
  <c r="Q223" i="141"/>
  <c r="S223" i="141" s="1" a="1"/>
  <c r="S223" i="141" s="1"/>
  <c r="R223" i="141"/>
  <c r="Q224" i="141"/>
  <c r="R224" i="141"/>
  <c r="S224" i="141" a="1"/>
  <c r="S224" i="141"/>
  <c r="Q225" i="141"/>
  <c r="S225" i="141" s="1" a="1"/>
  <c r="S225" i="141" s="1"/>
  <c r="R225" i="141"/>
  <c r="Q226" i="141"/>
  <c r="R226" i="141"/>
  <c r="S226" i="141" a="1"/>
  <c r="S226" i="141"/>
  <c r="Q227" i="141"/>
  <c r="S227" i="141" s="1" a="1"/>
  <c r="S227" i="141" s="1"/>
  <c r="R227" i="141"/>
  <c r="Q228" i="141"/>
  <c r="R228" i="141"/>
  <c r="S228" i="141" a="1"/>
  <c r="S228" i="141"/>
  <c r="Q229" i="141"/>
  <c r="S229" i="141" s="1" a="1"/>
  <c r="S229" i="141" s="1"/>
  <c r="R229" i="141"/>
  <c r="Q230" i="141"/>
  <c r="R230" i="141"/>
  <c r="S230" i="141" a="1"/>
  <c r="S230" i="141"/>
  <c r="Q231" i="141"/>
  <c r="S231" i="141" s="1" a="1"/>
  <c r="S231" i="141" s="1"/>
  <c r="R231" i="141"/>
  <c r="Q232" i="141"/>
  <c r="R232" i="141"/>
  <c r="S232" i="141" a="1"/>
  <c r="S232" i="141"/>
  <c r="Q233" i="141"/>
  <c r="S233" i="141" s="1" a="1"/>
  <c r="S233" i="141" s="1"/>
  <c r="R233" i="141"/>
  <c r="Q234" i="141"/>
  <c r="R234" i="141"/>
  <c r="S234" i="141" a="1"/>
  <c r="S234" i="141"/>
  <c r="Q235" i="141"/>
  <c r="S235" i="141" s="1" a="1"/>
  <c r="S235" i="141" s="1"/>
  <c r="R235" i="141"/>
  <c r="Q236" i="141"/>
  <c r="R236" i="141"/>
  <c r="S236" i="141" a="1"/>
  <c r="S236" i="141"/>
  <c r="Q237" i="141"/>
  <c r="S237" i="141" s="1" a="1"/>
  <c r="S237" i="141" s="1"/>
  <c r="R237" i="141"/>
  <c r="Q238" i="141"/>
  <c r="R238" i="141"/>
  <c r="S238" i="141" a="1"/>
  <c r="S238" i="141"/>
  <c r="Q239" i="141"/>
  <c r="S239" i="141" s="1" a="1"/>
  <c r="S239" i="141" s="1"/>
  <c r="R239" i="141"/>
  <c r="Q240" i="141"/>
  <c r="R240" i="141"/>
  <c r="S240" i="141" a="1"/>
  <c r="S240" i="141"/>
  <c r="Q241" i="141"/>
  <c r="S241" i="141" s="1" a="1"/>
  <c r="S241" i="141" s="1"/>
  <c r="R241" i="141"/>
  <c r="Q242" i="141"/>
  <c r="R242" i="141"/>
  <c r="S242" i="141" a="1"/>
  <c r="S242"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B17" i="198"/>
  <c r="C17" i="198"/>
  <c r="B29" i="198"/>
  <c r="B28" i="198"/>
  <c r="B27" i="198"/>
  <c r="B26" i="198"/>
  <c r="B25" i="198"/>
  <c r="B24" i="198"/>
  <c r="C23" i="198"/>
  <c r="B23" i="198"/>
  <c r="C22" i="198"/>
  <c r="B22" i="198"/>
  <c r="C21" i="198"/>
  <c r="B21" i="198"/>
  <c r="C20" i="198"/>
  <c r="B20" i="198"/>
  <c r="C19" i="198"/>
  <c r="B19" i="198"/>
  <c r="C18" i="198"/>
  <c r="B18" i="198"/>
  <c r="N16" i="198"/>
  <c r="M16" i="198"/>
  <c r="L16" i="198"/>
  <c r="K16" i="198"/>
  <c r="C16" i="198"/>
  <c r="J16" i="198" s="1"/>
  <c r="B16" i="198"/>
  <c r="R15" i="198"/>
  <c r="Q15" i="198"/>
  <c r="N15" i="198"/>
  <c r="M15" i="198"/>
  <c r="L15" i="198"/>
  <c r="K15" i="198"/>
  <c r="C15" i="198"/>
  <c r="J15" i="198" s="1"/>
  <c r="B15" i="198"/>
  <c r="B14" i="198"/>
  <c r="B90" i="158"/>
  <c r="B91" i="158"/>
  <c r="B92" i="158"/>
  <c r="B93" i="158"/>
  <c r="B94" i="158"/>
  <c r="B95" i="158"/>
  <c r="B96" i="158"/>
  <c r="B97" i="158"/>
  <c r="B98" i="158"/>
  <c r="B99" i="158"/>
  <c r="B100" i="158"/>
  <c r="B101" i="158"/>
  <c r="B102" i="158"/>
  <c r="B103" i="158"/>
  <c r="B104" i="158"/>
  <c r="B105" i="158"/>
  <c r="B106" i="158"/>
  <c r="B107" i="158"/>
  <c r="B108" i="158"/>
  <c r="B109" i="158"/>
  <c r="B110" i="158"/>
  <c r="B111" i="158"/>
  <c r="B112" i="158"/>
  <c r="B113" i="158"/>
  <c r="B114" i="158"/>
  <c r="B115" i="158"/>
  <c r="Q16" i="175"/>
  <c r="S16" i="175" s="1" a="1"/>
  <c r="S16" i="175" s="1"/>
  <c r="R16" i="175"/>
  <c r="Q17" i="175"/>
  <c r="S17" i="175" s="1" a="1"/>
  <c r="S17" i="175" s="1"/>
  <c r="R17" i="175"/>
  <c r="Q18" i="175"/>
  <c r="S18" i="175" s="1" a="1"/>
  <c r="S18" i="175" s="1"/>
  <c r="R18" i="175"/>
  <c r="Q19" i="175"/>
  <c r="S19" i="175" s="1" a="1"/>
  <c r="S19" i="175" s="1"/>
  <c r="R19" i="175"/>
  <c r="Q20" i="175"/>
  <c r="S20" i="175" s="1" a="1"/>
  <c r="S20" i="175" s="1"/>
  <c r="R20" i="175"/>
  <c r="Q21" i="175"/>
  <c r="S21" i="175" s="1" a="1"/>
  <c r="S21" i="175" s="1"/>
  <c r="R21" i="175"/>
  <c r="Q22" i="175"/>
  <c r="S22" i="175" s="1" a="1"/>
  <c r="S22" i="175" s="1"/>
  <c r="R22" i="175"/>
  <c r="Q23" i="175"/>
  <c r="S23" i="175" s="1" a="1"/>
  <c r="S23" i="175" s="1"/>
  <c r="R23" i="175"/>
  <c r="Q24" i="175"/>
  <c r="S24" i="175" s="1" a="1"/>
  <c r="S24" i="175" s="1"/>
  <c r="R24" i="175"/>
  <c r="Q25" i="175"/>
  <c r="S25" i="175" s="1" a="1"/>
  <c r="S25" i="175" s="1"/>
  <c r="R25" i="175"/>
  <c r="Q26" i="175"/>
  <c r="S26" i="175" s="1" a="1"/>
  <c r="S26" i="175" s="1"/>
  <c r="R26" i="175"/>
  <c r="Q27" i="175"/>
  <c r="S27" i="175" s="1" a="1"/>
  <c r="S27" i="175" s="1"/>
  <c r="R27" i="175"/>
  <c r="Q28" i="175"/>
  <c r="S28" i="175" s="1" a="1"/>
  <c r="S28" i="175" s="1"/>
  <c r="R28" i="175"/>
  <c r="Q29" i="175"/>
  <c r="S29" i="175" s="1" a="1"/>
  <c r="S29" i="175" s="1"/>
  <c r="R29" i="175"/>
  <c r="Q30" i="175"/>
  <c r="S30" i="175" s="1" a="1"/>
  <c r="S30" i="175" s="1"/>
  <c r="R30" i="175"/>
  <c r="Q31" i="175"/>
  <c r="S31" i="175" s="1" a="1"/>
  <c r="S31" i="175" s="1"/>
  <c r="R31" i="175"/>
  <c r="Q32" i="175"/>
  <c r="S32" i="175" s="1" a="1"/>
  <c r="S32" i="175" s="1"/>
  <c r="R32" i="175"/>
  <c r="Q33" i="175"/>
  <c r="S33" i="175" s="1" a="1"/>
  <c r="S33" i="175" s="1"/>
  <c r="R33" i="175"/>
  <c r="Q34" i="175"/>
  <c r="S34" i="175" s="1" a="1"/>
  <c r="S34" i="175" s="1"/>
  <c r="R34" i="175"/>
  <c r="Q35" i="175"/>
  <c r="S35" i="175" s="1" a="1"/>
  <c r="S35" i="175" s="1"/>
  <c r="R35" i="175"/>
  <c r="Q36" i="175"/>
  <c r="S36" i="175" s="1" a="1"/>
  <c r="S36" i="175" s="1"/>
  <c r="R36" i="175"/>
  <c r="Q37" i="175"/>
  <c r="S37" i="175" s="1" a="1"/>
  <c r="S37" i="175" s="1"/>
  <c r="R37" i="175"/>
  <c r="Q38" i="175"/>
  <c r="S38" i="175" s="1" a="1"/>
  <c r="S38" i="175" s="1"/>
  <c r="R38" i="175"/>
  <c r="Q39" i="175"/>
  <c r="S39" i="175" s="1" a="1"/>
  <c r="S39" i="175" s="1"/>
  <c r="R39" i="175"/>
  <c r="Q40" i="175"/>
  <c r="S40" i="175" s="1" a="1"/>
  <c r="S40" i="175" s="1"/>
  <c r="R40" i="175"/>
  <c r="Q41" i="175"/>
  <c r="S41" i="175" s="1" a="1"/>
  <c r="S41" i="175" s="1"/>
  <c r="R41" i="175"/>
  <c r="Q42" i="175"/>
  <c r="S42" i="175" s="1" a="1"/>
  <c r="S42" i="175" s="1"/>
  <c r="R42" i="175"/>
  <c r="Q43" i="175"/>
  <c r="S43" i="175" s="1" a="1"/>
  <c r="S43" i="175" s="1"/>
  <c r="R43" i="175"/>
  <c r="Q44" i="175"/>
  <c r="S44" i="175" s="1" a="1"/>
  <c r="S44" i="175" s="1"/>
  <c r="R44" i="175"/>
  <c r="Q45" i="175"/>
  <c r="S45" i="175" s="1" a="1"/>
  <c r="S45" i="175" s="1"/>
  <c r="R45" i="175"/>
  <c r="Q46" i="175"/>
  <c r="S46" i="175" s="1" a="1"/>
  <c r="S46" i="175" s="1"/>
  <c r="R46" i="175"/>
  <c r="Q47" i="175"/>
  <c r="S47" i="175" s="1" a="1"/>
  <c r="S47" i="175" s="1"/>
  <c r="R47" i="175"/>
  <c r="Q48" i="175"/>
  <c r="S48" i="175" s="1" a="1"/>
  <c r="S48" i="175" s="1"/>
  <c r="R48" i="175"/>
  <c r="Q49" i="175"/>
  <c r="S49" i="175" s="1" a="1"/>
  <c r="S49" i="175" s="1"/>
  <c r="R49" i="175"/>
  <c r="Q50" i="175"/>
  <c r="S50" i="175" s="1" a="1"/>
  <c r="S50" i="175" s="1"/>
  <c r="R50" i="175"/>
  <c r="Q51" i="175"/>
  <c r="S51" i="175" s="1" a="1"/>
  <c r="S51" i="175" s="1"/>
  <c r="R51" i="175"/>
  <c r="Q52" i="175"/>
  <c r="S52" i="175" s="1" a="1"/>
  <c r="S52" i="175" s="1"/>
  <c r="R52" i="175"/>
  <c r="Q53" i="175"/>
  <c r="S53" i="175" s="1" a="1"/>
  <c r="S53" i="175" s="1"/>
  <c r="R53" i="175"/>
  <c r="Q54" i="175"/>
  <c r="S54" i="175" s="1" a="1"/>
  <c r="S54" i="175" s="1"/>
  <c r="R54" i="175"/>
  <c r="Q55" i="175"/>
  <c r="S55" i="175" s="1" a="1"/>
  <c r="S55" i="175" s="1"/>
  <c r="R55" i="175"/>
  <c r="Q56" i="175"/>
  <c r="S56" i="175" s="1" a="1"/>
  <c r="S56" i="175" s="1"/>
  <c r="R56" i="175"/>
  <c r="Q57" i="175"/>
  <c r="S57" i="175" s="1" a="1"/>
  <c r="S57" i="175" s="1"/>
  <c r="R57" i="175"/>
  <c r="Q58" i="175"/>
  <c r="S58" i="175" s="1" a="1"/>
  <c r="S58" i="175" s="1"/>
  <c r="R58" i="175"/>
  <c r="Q59" i="175"/>
  <c r="S59" i="175" s="1" a="1"/>
  <c r="S59" i="175" s="1"/>
  <c r="R59" i="175"/>
  <c r="Q60" i="175"/>
  <c r="S60" i="175" s="1" a="1"/>
  <c r="S60" i="175" s="1"/>
  <c r="R60" i="175"/>
  <c r="Q61" i="175"/>
  <c r="S61" i="175" s="1" a="1"/>
  <c r="S61" i="175" s="1"/>
  <c r="R61" i="175"/>
  <c r="Q62" i="175"/>
  <c r="S62" i="175" s="1" a="1"/>
  <c r="S62" i="175" s="1"/>
  <c r="R62" i="175"/>
  <c r="Q63" i="175"/>
  <c r="S63" i="175" s="1" a="1"/>
  <c r="S63" i="175" s="1"/>
  <c r="R63" i="175"/>
  <c r="Q64" i="175"/>
  <c r="S64" i="175" s="1" a="1"/>
  <c r="S64" i="175" s="1"/>
  <c r="R64" i="175"/>
  <c r="Q65" i="175"/>
  <c r="S65" i="175" s="1" a="1"/>
  <c r="S65" i="175" s="1"/>
  <c r="R65" i="175"/>
  <c r="Q66" i="175"/>
  <c r="S66" i="175" s="1" a="1"/>
  <c r="S66" i="175" s="1"/>
  <c r="R66" i="175"/>
  <c r="Q67" i="175"/>
  <c r="S67" i="175" s="1" a="1"/>
  <c r="S67" i="175" s="1"/>
  <c r="R67" i="175"/>
  <c r="I16" i="175"/>
  <c r="J16" i="175"/>
  <c r="K16" i="175"/>
  <c r="L16" i="175"/>
  <c r="M16" i="175"/>
  <c r="N16" i="175"/>
  <c r="I17" i="175"/>
  <c r="J17" i="175"/>
  <c r="K17" i="175"/>
  <c r="L17" i="175"/>
  <c r="M17" i="175"/>
  <c r="N17" i="175"/>
  <c r="I18" i="175"/>
  <c r="J18" i="175"/>
  <c r="K18" i="175"/>
  <c r="L18" i="175"/>
  <c r="M18" i="175"/>
  <c r="N18" i="175"/>
  <c r="B163" i="195"/>
  <c r="B126" i="195"/>
  <c r="B127" i="195"/>
  <c r="B128" i="195"/>
  <c r="B129" i="195"/>
  <c r="B130" i="195"/>
  <c r="B131" i="195"/>
  <c r="B132" i="195"/>
  <c r="B133" i="195"/>
  <c r="B134" i="195"/>
  <c r="B135" i="195"/>
  <c r="B136" i="195"/>
  <c r="B137" i="195"/>
  <c r="B138" i="195"/>
  <c r="B139" i="195"/>
  <c r="B140" i="195"/>
  <c r="B141" i="195"/>
  <c r="B142" i="195"/>
  <c r="B143" i="195"/>
  <c r="B144" i="195"/>
  <c r="B145" i="195"/>
  <c r="B146" i="195"/>
  <c r="B147" i="195"/>
  <c r="B148" i="195"/>
  <c r="B149" i="195"/>
  <c r="B150" i="195"/>
  <c r="B151" i="195"/>
  <c r="B152" i="195"/>
  <c r="B153" i="195"/>
  <c r="B154" i="195"/>
  <c r="B155" i="195"/>
  <c r="B156" i="195"/>
  <c r="B157" i="195"/>
  <c r="B158" i="195"/>
  <c r="B159" i="195"/>
  <c r="B160" i="195"/>
  <c r="B161" i="195"/>
  <c r="B162" i="195"/>
  <c r="B125" i="195"/>
  <c r="B123" i="195"/>
  <c r="B122" i="195"/>
  <c r="Q16" i="197"/>
  <c r="S16" i="197" s="1" a="1"/>
  <c r="S16" i="197" s="1"/>
  <c r="R16" i="197"/>
  <c r="Q17" i="197"/>
  <c r="S17" i="197" s="1" a="1"/>
  <c r="S17" i="197" s="1"/>
  <c r="R17" i="197"/>
  <c r="Q18" i="197"/>
  <c r="S18" i="197" s="1" a="1"/>
  <c r="S18" i="197" s="1"/>
  <c r="R18" i="197"/>
  <c r="Q19" i="197"/>
  <c r="S19" i="197" s="1" a="1"/>
  <c r="S19" i="197" s="1"/>
  <c r="R19" i="197"/>
  <c r="Q20" i="197"/>
  <c r="S20" i="197" s="1" a="1"/>
  <c r="S20" i="197" s="1"/>
  <c r="R20" i="197"/>
  <c r="Q21" i="197"/>
  <c r="S21" i="197" s="1" a="1"/>
  <c r="S21" i="197" s="1"/>
  <c r="R21" i="197"/>
  <c r="Q22" i="197"/>
  <c r="S22" i="197" s="1" a="1"/>
  <c r="S22" i="197" s="1"/>
  <c r="R22" i="197"/>
  <c r="Q23" i="197"/>
  <c r="S23" i="197" s="1" a="1"/>
  <c r="S23" i="197" s="1"/>
  <c r="R23" i="197"/>
  <c r="Q24" i="197"/>
  <c r="S24" i="197" s="1" a="1"/>
  <c r="S24" i="197" s="1"/>
  <c r="R24" i="197"/>
  <c r="Q25" i="197"/>
  <c r="S25" i="197" s="1" a="1"/>
  <c r="S25" i="197" s="1"/>
  <c r="R25" i="197"/>
  <c r="Q26" i="197"/>
  <c r="S26" i="197" s="1" a="1"/>
  <c r="S26" i="197" s="1"/>
  <c r="R26" i="197"/>
  <c r="Q27" i="197"/>
  <c r="S27" i="197" s="1" a="1"/>
  <c r="S27" i="197" s="1"/>
  <c r="R27" i="197"/>
  <c r="Q28" i="197"/>
  <c r="S28" i="197" s="1" a="1"/>
  <c r="S28" i="197" s="1"/>
  <c r="R28" i="197"/>
  <c r="Q29" i="197"/>
  <c r="S29" i="197" s="1" a="1"/>
  <c r="S29" i="197" s="1"/>
  <c r="R29" i="197"/>
  <c r="Q30" i="197"/>
  <c r="S30" i="197" s="1" a="1"/>
  <c r="S30" i="197" s="1"/>
  <c r="R30" i="197"/>
  <c r="Q31" i="197"/>
  <c r="S31" i="197" s="1" a="1"/>
  <c r="S31" i="197" s="1"/>
  <c r="R31" i="197"/>
  <c r="Q32" i="197"/>
  <c r="S32" i="197" s="1" a="1"/>
  <c r="S32" i="197" s="1"/>
  <c r="R32" i="197"/>
  <c r="Q33" i="197"/>
  <c r="S33" i="197" s="1" a="1"/>
  <c r="S33" i="197" s="1"/>
  <c r="R33" i="197"/>
  <c r="Q34" i="197"/>
  <c r="S34" i="197" s="1" a="1"/>
  <c r="S34" i="197" s="1"/>
  <c r="R34" i="197"/>
  <c r="Q35" i="197"/>
  <c r="S35" i="197" s="1" a="1"/>
  <c r="S35" i="197" s="1"/>
  <c r="R35" i="197"/>
  <c r="Q36" i="197"/>
  <c r="S36" i="197" s="1" a="1"/>
  <c r="S36" i="197" s="1"/>
  <c r="R36" i="197"/>
  <c r="Q37" i="197"/>
  <c r="S37" i="197" s="1" a="1"/>
  <c r="S37" i="197" s="1"/>
  <c r="R37" i="197"/>
  <c r="Q38" i="197"/>
  <c r="S38" i="197" s="1" a="1"/>
  <c r="S38" i="197" s="1"/>
  <c r="R38" i="197"/>
  <c r="Q39" i="197"/>
  <c r="S39" i="197" s="1" a="1"/>
  <c r="S39" i="197" s="1"/>
  <c r="R39" i="197"/>
  <c r="Q40" i="197"/>
  <c r="S40" i="197" s="1" a="1"/>
  <c r="S40" i="197" s="1"/>
  <c r="R40" i="197"/>
  <c r="Q41" i="197"/>
  <c r="S41" i="197" s="1" a="1"/>
  <c r="S41" i="197" s="1"/>
  <c r="R41" i="197"/>
  <c r="Q42" i="197"/>
  <c r="S42" i="197" s="1" a="1"/>
  <c r="S42" i="197" s="1"/>
  <c r="R42" i="197"/>
  <c r="Q43" i="197"/>
  <c r="S43" i="197" s="1" a="1"/>
  <c r="S43" i="197" s="1"/>
  <c r="R43" i="197"/>
  <c r="Q44" i="197"/>
  <c r="S44" i="197" s="1" a="1"/>
  <c r="S44" i="197" s="1"/>
  <c r="R44" i="197"/>
  <c r="Q45" i="197"/>
  <c r="S45" i="197" s="1" a="1"/>
  <c r="S45" i="197" s="1"/>
  <c r="R45" i="197"/>
  <c r="Q46" i="197"/>
  <c r="S46" i="197" s="1" a="1"/>
  <c r="S46" i="197" s="1"/>
  <c r="R46" i="197"/>
  <c r="Q47" i="197"/>
  <c r="S47" i="197" s="1" a="1"/>
  <c r="S47" i="197" s="1"/>
  <c r="R47" i="197"/>
  <c r="Q48" i="197"/>
  <c r="S48" i="197" s="1" a="1"/>
  <c r="S48" i="197" s="1"/>
  <c r="R48" i="197"/>
  <c r="Q49" i="197"/>
  <c r="S49" i="197" s="1" a="1"/>
  <c r="S49" i="197" s="1"/>
  <c r="R49" i="197"/>
  <c r="Q50" i="197"/>
  <c r="S50" i="197" s="1" a="1"/>
  <c r="S50" i="197" s="1"/>
  <c r="R50" i="197"/>
  <c r="Q51" i="197"/>
  <c r="S51" i="197" s="1" a="1"/>
  <c r="S51" i="197" s="1"/>
  <c r="R51" i="197"/>
  <c r="Q52" i="197"/>
  <c r="S52" i="197" s="1" a="1"/>
  <c r="S52" i="197" s="1"/>
  <c r="R52" i="197"/>
  <c r="Q53" i="197"/>
  <c r="S53" i="197" s="1" a="1"/>
  <c r="S53" i="197" s="1"/>
  <c r="R53" i="197"/>
  <c r="Q54" i="197"/>
  <c r="S54" i="197" s="1" a="1"/>
  <c r="S54" i="197" s="1"/>
  <c r="R54" i="197"/>
  <c r="Q55" i="197"/>
  <c r="S55" i="197" s="1" a="1"/>
  <c r="S55" i="197" s="1"/>
  <c r="R55" i="197"/>
  <c r="Q56" i="197"/>
  <c r="S56" i="197" s="1" a="1"/>
  <c r="S56" i="197" s="1"/>
  <c r="R56" i="197"/>
  <c r="Q57" i="197"/>
  <c r="S57" i="197" s="1" a="1"/>
  <c r="S57" i="197" s="1"/>
  <c r="R57" i="197"/>
  <c r="Q58" i="197"/>
  <c r="S58" i="197" s="1" a="1"/>
  <c r="S58" i="197" s="1"/>
  <c r="R58" i="197"/>
  <c r="Q59" i="197"/>
  <c r="S59" i="197" s="1" a="1"/>
  <c r="S59" i="197" s="1"/>
  <c r="R59" i="197"/>
  <c r="Q60" i="197"/>
  <c r="S60" i="197" s="1" a="1"/>
  <c r="S60" i="197" s="1"/>
  <c r="R60" i="197"/>
  <c r="Q61" i="197"/>
  <c r="S61" i="197" s="1" a="1"/>
  <c r="S61" i="197" s="1"/>
  <c r="R61" i="197"/>
  <c r="Q62" i="197"/>
  <c r="S62" i="197" s="1" a="1"/>
  <c r="S62" i="197" s="1"/>
  <c r="R62" i="197"/>
  <c r="Q63" i="197"/>
  <c r="S63" i="197" s="1" a="1"/>
  <c r="S63" i="197" s="1"/>
  <c r="R63" i="197"/>
  <c r="Q64" i="197"/>
  <c r="S64" i="197" s="1" a="1"/>
  <c r="S64" i="197" s="1"/>
  <c r="R64" i="197"/>
  <c r="Q65" i="197"/>
  <c r="S65" i="197" s="1" a="1"/>
  <c r="S65" i="197" s="1"/>
  <c r="R65" i="197"/>
  <c r="Q66" i="197"/>
  <c r="S66" i="197" s="1" a="1"/>
  <c r="S66" i="197" s="1"/>
  <c r="R66" i="197"/>
  <c r="Q67" i="197"/>
  <c r="S67" i="197" s="1" a="1"/>
  <c r="S67" i="197" s="1"/>
  <c r="R67" i="197"/>
  <c r="Q68" i="197"/>
  <c r="S68" i="197" s="1" a="1"/>
  <c r="S68" i="197" s="1"/>
  <c r="R68" i="197"/>
  <c r="Q69" i="197"/>
  <c r="S69" i="197" s="1" a="1"/>
  <c r="S69" i="197" s="1"/>
  <c r="R69" i="197"/>
  <c r="Q70" i="197"/>
  <c r="S70" i="197" s="1" a="1"/>
  <c r="S70" i="197" s="1"/>
  <c r="R70" i="197"/>
  <c r="Q71" i="197"/>
  <c r="S71" i="197" s="1" a="1"/>
  <c r="S71" i="197" s="1"/>
  <c r="R71" i="197"/>
  <c r="Q72" i="197"/>
  <c r="S72" i="197" s="1" a="1"/>
  <c r="S72" i="197" s="1"/>
  <c r="R72" i="197"/>
  <c r="Q73" i="197"/>
  <c r="S73" i="197" s="1" a="1"/>
  <c r="S73" i="197" s="1"/>
  <c r="R73" i="197"/>
  <c r="Q74" i="197"/>
  <c r="S74" i="197" s="1" a="1"/>
  <c r="S74" i="197" s="1"/>
  <c r="R74" i="197"/>
  <c r="Q75" i="197"/>
  <c r="S75" i="197" s="1" a="1"/>
  <c r="S75" i="197" s="1"/>
  <c r="R75" i="197"/>
  <c r="Q76" i="197"/>
  <c r="S76" i="197" s="1" a="1"/>
  <c r="S76" i="197" s="1"/>
  <c r="R76" i="197"/>
  <c r="Q77" i="197"/>
  <c r="S77" i="197" s="1" a="1"/>
  <c r="S77" i="197" s="1"/>
  <c r="R77" i="197"/>
  <c r="Q78" i="197"/>
  <c r="S78" i="197" s="1" a="1"/>
  <c r="S78" i="197" s="1"/>
  <c r="R78" i="197"/>
  <c r="Q79" i="197"/>
  <c r="S79" i="197" s="1" a="1"/>
  <c r="S79" i="197" s="1"/>
  <c r="R79" i="197"/>
  <c r="Q80" i="197"/>
  <c r="S80" i="197" s="1" a="1"/>
  <c r="S80" i="197" s="1"/>
  <c r="R80" i="197"/>
  <c r="I16" i="197"/>
  <c r="J16" i="197"/>
  <c r="K16" i="197"/>
  <c r="L16" i="197"/>
  <c r="M16" i="197"/>
  <c r="N16" i="197"/>
  <c r="I17" i="197"/>
  <c r="J17" i="197"/>
  <c r="K17" i="197"/>
  <c r="L17" i="197"/>
  <c r="M17" i="197"/>
  <c r="N17" i="197"/>
  <c r="I18" i="197"/>
  <c r="J18" i="197"/>
  <c r="K18" i="197"/>
  <c r="L18" i="197"/>
  <c r="M18" i="197"/>
  <c r="N18" i="197"/>
  <c r="I19" i="197"/>
  <c r="J19" i="197"/>
  <c r="K19" i="197"/>
  <c r="L19" i="197"/>
  <c r="M19" i="197"/>
  <c r="N19" i="197"/>
  <c r="I20" i="197"/>
  <c r="J20" i="197"/>
  <c r="K20" i="197"/>
  <c r="L20" i="197"/>
  <c r="M20" i="197"/>
  <c r="N20" i="197"/>
  <c r="N42" i="197"/>
  <c r="N41" i="197"/>
  <c r="N40" i="197"/>
  <c r="N39" i="197"/>
  <c r="N38" i="197"/>
  <c r="N37" i="197"/>
  <c r="N36" i="197"/>
  <c r="N35" i="197"/>
  <c r="N34" i="197"/>
  <c r="N33" i="197"/>
  <c r="N32" i="197"/>
  <c r="N31" i="197"/>
  <c r="N30" i="197"/>
  <c r="N29" i="197"/>
  <c r="N28" i="197"/>
  <c r="N27" i="197"/>
  <c r="N26" i="197"/>
  <c r="N25" i="197"/>
  <c r="N24" i="197"/>
  <c r="N23" i="197"/>
  <c r="C20" i="197"/>
  <c r="B20" i="197"/>
  <c r="C19" i="197"/>
  <c r="B19" i="197"/>
  <c r="C18" i="197"/>
  <c r="B18" i="197"/>
  <c r="C17" i="197"/>
  <c r="B17" i="197"/>
  <c r="C16" i="197"/>
  <c r="B16" i="197"/>
  <c r="R15" i="197"/>
  <c r="Q15" i="197"/>
  <c r="N15" i="197"/>
  <c r="M15" i="197"/>
  <c r="L15" i="197"/>
  <c r="K15" i="197"/>
  <c r="C15" i="197"/>
  <c r="J15" i="197" s="1"/>
  <c r="B15" i="197"/>
  <c r="B14" i="197"/>
  <c r="E7" i="197"/>
  <c r="E3" i="197"/>
  <c r="E6" i="197" s="1"/>
  <c r="B92" i="195"/>
  <c r="B93" i="195"/>
  <c r="B94" i="195"/>
  <c r="B95" i="195"/>
  <c r="B96" i="195"/>
  <c r="B97" i="195"/>
  <c r="B98" i="195"/>
  <c r="B99" i="195"/>
  <c r="B100" i="195"/>
  <c r="B101" i="195"/>
  <c r="B102" i="195"/>
  <c r="B103" i="195"/>
  <c r="B104" i="195"/>
  <c r="B105" i="195"/>
  <c r="B106" i="195"/>
  <c r="B107" i="195"/>
  <c r="B108" i="195"/>
  <c r="B109" i="195"/>
  <c r="B110" i="195"/>
  <c r="B111" i="195"/>
  <c r="B112" i="195"/>
  <c r="B113" i="195"/>
  <c r="B114" i="195"/>
  <c r="B115" i="195"/>
  <c r="B116" i="195"/>
  <c r="B117" i="195"/>
  <c r="B118" i="195"/>
  <c r="B119" i="195"/>
  <c r="B120" i="195"/>
  <c r="B91" i="195"/>
  <c r="B89" i="195"/>
  <c r="B88" i="195"/>
  <c r="Q16" i="196"/>
  <c r="R16" i="196"/>
  <c r="S16" i="196" a="1"/>
  <c r="S16" i="196" s="1"/>
  <c r="Q17" i="196"/>
  <c r="R17" i="196"/>
  <c r="S17" i="196" a="1"/>
  <c r="S17" i="196"/>
  <c r="Q18" i="196"/>
  <c r="R18" i="196"/>
  <c r="S18" i="196" a="1"/>
  <c r="S18" i="196" s="1"/>
  <c r="Q19" i="196"/>
  <c r="R19" i="196"/>
  <c r="S19" i="196" a="1"/>
  <c r="S19" i="196"/>
  <c r="Q20" i="196"/>
  <c r="R20" i="196"/>
  <c r="S20" i="196" a="1"/>
  <c r="S20" i="196" s="1"/>
  <c r="Q21" i="196"/>
  <c r="R21" i="196"/>
  <c r="S21" i="196" a="1"/>
  <c r="S21" i="196"/>
  <c r="Q22" i="196"/>
  <c r="R22" i="196"/>
  <c r="S22" i="196" a="1"/>
  <c r="S22" i="196" s="1"/>
  <c r="Q23" i="196"/>
  <c r="R23" i="196"/>
  <c r="S23" i="196" a="1"/>
  <c r="S23" i="196"/>
  <c r="Q24" i="196"/>
  <c r="R24" i="196"/>
  <c r="S24" i="196" a="1"/>
  <c r="S24" i="196" s="1"/>
  <c r="Q25" i="196"/>
  <c r="R25" i="196"/>
  <c r="S25" i="196" a="1"/>
  <c r="S25" i="196"/>
  <c r="Q26" i="196"/>
  <c r="R26" i="196"/>
  <c r="S26" i="196" a="1"/>
  <c r="S26" i="196" s="1"/>
  <c r="Q27" i="196"/>
  <c r="R27" i="196"/>
  <c r="S27" i="196" a="1"/>
  <c r="S27" i="196"/>
  <c r="Q28" i="196"/>
  <c r="R28" i="196"/>
  <c r="S28" i="196" a="1"/>
  <c r="S28" i="196" s="1"/>
  <c r="Q29" i="196"/>
  <c r="R29" i="196"/>
  <c r="S29" i="196" a="1"/>
  <c r="S29" i="196"/>
  <c r="Q30" i="196"/>
  <c r="R30" i="196"/>
  <c r="S30" i="196" a="1"/>
  <c r="S30" i="196" s="1"/>
  <c r="Q31" i="196"/>
  <c r="R31" i="196"/>
  <c r="S31" i="196" a="1"/>
  <c r="S31" i="196"/>
  <c r="Q32" i="196"/>
  <c r="R32" i="196"/>
  <c r="S32" i="196" a="1"/>
  <c r="S32" i="196" s="1"/>
  <c r="Q33" i="196"/>
  <c r="R33" i="196"/>
  <c r="S33" i="196" a="1"/>
  <c r="S33" i="196"/>
  <c r="Q34" i="196"/>
  <c r="R34" i="196"/>
  <c r="S34" i="196" a="1"/>
  <c r="S34" i="196" s="1"/>
  <c r="Q35" i="196"/>
  <c r="R35" i="196"/>
  <c r="S35" i="196" a="1"/>
  <c r="S35" i="196"/>
  <c r="Q36" i="196"/>
  <c r="R36" i="196"/>
  <c r="S36" i="196" a="1"/>
  <c r="S36" i="196" s="1"/>
  <c r="Q37" i="196"/>
  <c r="R37" i="196"/>
  <c r="S37" i="196" a="1"/>
  <c r="S37" i="196"/>
  <c r="Q38" i="196"/>
  <c r="R38" i="196"/>
  <c r="S38" i="196" a="1"/>
  <c r="S38" i="196" s="1"/>
  <c r="Q39" i="196"/>
  <c r="R39" i="196"/>
  <c r="S39" i="196" a="1"/>
  <c r="S39" i="196"/>
  <c r="Q40" i="196"/>
  <c r="R40" i="196"/>
  <c r="S40" i="196" a="1"/>
  <c r="S40" i="196" s="1"/>
  <c r="Q41" i="196"/>
  <c r="R41" i="196"/>
  <c r="S41" i="196" a="1"/>
  <c r="S41" i="196"/>
  <c r="Q42" i="196"/>
  <c r="R42" i="196"/>
  <c r="S42" i="196" a="1"/>
  <c r="S42" i="196" s="1"/>
  <c r="Q43" i="196"/>
  <c r="R43" i="196"/>
  <c r="S43" i="196" a="1"/>
  <c r="S43" i="196"/>
  <c r="Q44" i="196"/>
  <c r="R44" i="196"/>
  <c r="S44" i="196" a="1"/>
  <c r="S44" i="196" s="1"/>
  <c r="Q45" i="196"/>
  <c r="R45" i="196"/>
  <c r="S45" i="196" a="1"/>
  <c r="S45" i="196"/>
  <c r="Q46" i="196"/>
  <c r="R46" i="196"/>
  <c r="S46" i="196" a="1"/>
  <c r="S46" i="196" s="1"/>
  <c r="Q47" i="196"/>
  <c r="R47" i="196"/>
  <c r="S47" i="196" a="1"/>
  <c r="S47" i="196"/>
  <c r="Q48" i="196"/>
  <c r="R48" i="196"/>
  <c r="S48" i="196" a="1"/>
  <c r="S48" i="196" s="1"/>
  <c r="Q49" i="196"/>
  <c r="R49" i="196"/>
  <c r="S49" i="196" a="1"/>
  <c r="S49" i="196"/>
  <c r="Q50" i="196"/>
  <c r="R50" i="196"/>
  <c r="S50" i="196" a="1"/>
  <c r="S50" i="196" s="1"/>
  <c r="Q51" i="196"/>
  <c r="R51" i="196"/>
  <c r="S51" i="196" a="1"/>
  <c r="S51" i="196"/>
  <c r="Q52" i="196"/>
  <c r="R52" i="196"/>
  <c r="S52" i="196" a="1"/>
  <c r="S52" i="196" s="1"/>
  <c r="Q53" i="196"/>
  <c r="R53" i="196"/>
  <c r="S53" i="196" a="1"/>
  <c r="S53" i="196"/>
  <c r="Q54" i="196"/>
  <c r="R54" i="196"/>
  <c r="S54" i="196" a="1"/>
  <c r="S54" i="196" s="1"/>
  <c r="Q55" i="196"/>
  <c r="R55" i="196"/>
  <c r="S55" i="196" a="1"/>
  <c r="S55" i="196"/>
  <c r="Q56" i="196"/>
  <c r="R56" i="196"/>
  <c r="S56" i="196" a="1"/>
  <c r="S56" i="196" s="1"/>
  <c r="Q57" i="196"/>
  <c r="R57" i="196"/>
  <c r="S57" i="196" a="1"/>
  <c r="S57" i="196"/>
  <c r="Q58" i="196"/>
  <c r="R58" i="196"/>
  <c r="S58" i="196" a="1"/>
  <c r="S58" i="196" s="1"/>
  <c r="Q59" i="196"/>
  <c r="R59" i="196"/>
  <c r="S59" i="196" a="1"/>
  <c r="S59" i="196"/>
  <c r="Q60" i="196"/>
  <c r="R60" i="196"/>
  <c r="S60" i="196" a="1"/>
  <c r="S60" i="196" s="1"/>
  <c r="Q61" i="196"/>
  <c r="R61" i="196"/>
  <c r="S61" i="196" a="1"/>
  <c r="S61" i="196"/>
  <c r="Q62" i="196"/>
  <c r="R62" i="196"/>
  <c r="S62" i="196" a="1"/>
  <c r="S62" i="196" s="1"/>
  <c r="Q63" i="196"/>
  <c r="R63" i="196"/>
  <c r="S63" i="196" a="1"/>
  <c r="S63" i="196"/>
  <c r="Q64" i="196"/>
  <c r="R64" i="196"/>
  <c r="S64" i="196" a="1"/>
  <c r="S64" i="196" s="1"/>
  <c r="Q65" i="196"/>
  <c r="R65" i="196"/>
  <c r="S65" i="196" a="1"/>
  <c r="S65" i="196"/>
  <c r="Q66" i="196"/>
  <c r="R66" i="196"/>
  <c r="S66" i="196" a="1"/>
  <c r="S66" i="196" s="1"/>
  <c r="Q67" i="196"/>
  <c r="R67" i="196"/>
  <c r="S67" i="196" a="1"/>
  <c r="S67" i="196"/>
  <c r="Q68" i="196"/>
  <c r="R68" i="196"/>
  <c r="S68" i="196" a="1"/>
  <c r="S68" i="196" s="1"/>
  <c r="Q69" i="196"/>
  <c r="R69" i="196"/>
  <c r="S69" i="196" a="1"/>
  <c r="S69" i="196"/>
  <c r="Q70" i="196"/>
  <c r="R70" i="196"/>
  <c r="S70" i="196" a="1"/>
  <c r="S70" i="196" s="1"/>
  <c r="Q71" i="196"/>
  <c r="R71" i="196"/>
  <c r="S71" i="196" a="1"/>
  <c r="S71" i="196"/>
  <c r="Q72" i="196"/>
  <c r="R72" i="196"/>
  <c r="S72" i="196" a="1"/>
  <c r="S72" i="196" s="1"/>
  <c r="Q73" i="196"/>
  <c r="R73" i="196"/>
  <c r="S73" i="196" a="1"/>
  <c r="S73" i="196"/>
  <c r="Q74" i="196"/>
  <c r="R74" i="196"/>
  <c r="S74" i="196" a="1"/>
  <c r="S74" i="196" s="1"/>
  <c r="Q75" i="196"/>
  <c r="R75" i="196"/>
  <c r="S75" i="196" a="1"/>
  <c r="S75" i="196"/>
  <c r="Q76" i="196"/>
  <c r="R76" i="196"/>
  <c r="S76" i="196" a="1"/>
  <c r="S76" i="196" s="1"/>
  <c r="Q77" i="196"/>
  <c r="R77" i="196"/>
  <c r="S77" i="196" a="1"/>
  <c r="S77" i="196"/>
  <c r="Q78" i="196"/>
  <c r="R78" i="196"/>
  <c r="S78" i="196" a="1"/>
  <c r="S78" i="196" s="1"/>
  <c r="N17" i="196"/>
  <c r="N18" i="196"/>
  <c r="I16" i="196"/>
  <c r="J16" i="196"/>
  <c r="K16" i="196"/>
  <c r="L16" i="196"/>
  <c r="M16" i="196"/>
  <c r="I17" i="196"/>
  <c r="J17" i="196"/>
  <c r="K17" i="196"/>
  <c r="L17" i="196"/>
  <c r="M17" i="196"/>
  <c r="I18" i="196"/>
  <c r="J18" i="196"/>
  <c r="K18" i="196"/>
  <c r="L18" i="196"/>
  <c r="M18" i="196"/>
  <c r="N40" i="196"/>
  <c r="N39" i="196"/>
  <c r="N38" i="196"/>
  <c r="N37" i="196"/>
  <c r="N36" i="196"/>
  <c r="N35" i="196"/>
  <c r="N34" i="196"/>
  <c r="N33" i="196"/>
  <c r="N32" i="196"/>
  <c r="N31" i="196"/>
  <c r="N30" i="196"/>
  <c r="N29" i="196"/>
  <c r="N28" i="196"/>
  <c r="N27" i="196"/>
  <c r="N26" i="196"/>
  <c r="N25" i="196"/>
  <c r="N24" i="196"/>
  <c r="N23" i="196"/>
  <c r="N22" i="196"/>
  <c r="N21" i="196"/>
  <c r="C18" i="196"/>
  <c r="B18" i="196"/>
  <c r="C17" i="196"/>
  <c r="B17" i="196"/>
  <c r="N16" i="196"/>
  <c r="C16" i="196"/>
  <c r="B16" i="196"/>
  <c r="R15" i="196"/>
  <c r="Q15" i="196"/>
  <c r="N15" i="196"/>
  <c r="M15" i="196"/>
  <c r="L15" i="196"/>
  <c r="K15" i="196"/>
  <c r="C15" i="196"/>
  <c r="J15" i="196" s="1"/>
  <c r="B15" i="196"/>
  <c r="B14" i="196"/>
  <c r="E7" i="196"/>
  <c r="E3" i="196"/>
  <c r="E6" i="196" s="1"/>
  <c r="B21" i="138"/>
  <c r="B22" i="138"/>
  <c r="B23" i="138"/>
  <c r="B24" i="138"/>
  <c r="B25" i="138"/>
  <c r="B26" i="138"/>
  <c r="B27" i="138"/>
  <c r="B28" i="138"/>
  <c r="B29" i="138"/>
  <c r="B30" i="138"/>
  <c r="B31" i="138"/>
  <c r="B32" i="138"/>
  <c r="B35" i="138"/>
  <c r="B37" i="138"/>
  <c r="B38" i="138"/>
  <c r="B39" i="138"/>
  <c r="B40" i="138"/>
  <c r="B42" i="138"/>
  <c r="B43" i="138"/>
  <c r="B45" i="138"/>
  <c r="B46" i="138"/>
  <c r="B47" i="138"/>
  <c r="B48" i="138"/>
  <c r="B51" i="138"/>
  <c r="B55" i="138"/>
  <c r="B56" i="138"/>
  <c r="B59" i="138"/>
  <c r="B64" i="138"/>
  <c r="B67" i="138"/>
  <c r="B72" i="138"/>
  <c r="B74" i="138"/>
  <c r="B75" i="138"/>
  <c r="B77" i="138"/>
  <c r="B80" i="138"/>
  <c r="B83" i="138"/>
  <c r="B88" i="138"/>
  <c r="B90" i="138"/>
  <c r="B91" i="138"/>
  <c r="B96" i="138"/>
  <c r="B99" i="138"/>
  <c r="B106" i="138"/>
  <c r="B107" i="138"/>
  <c r="B114" i="138"/>
  <c r="B115" i="138"/>
  <c r="B117" i="138"/>
  <c r="B118" i="138"/>
  <c r="B119" i="138"/>
  <c r="B120" i="138"/>
  <c r="B122" i="138"/>
  <c r="B123" i="138"/>
  <c r="B127" i="138"/>
  <c r="B129" i="138"/>
  <c r="B130" i="138"/>
  <c r="B133" i="138"/>
  <c r="B136" i="138"/>
  <c r="B141" i="138"/>
  <c r="B143" i="138"/>
  <c r="B144" i="138"/>
  <c r="B147" i="138"/>
  <c r="B149" i="138"/>
  <c r="B151" i="138"/>
  <c r="B152" i="138"/>
  <c r="B158" i="138"/>
  <c r="B165" i="138"/>
  <c r="B167" i="138"/>
  <c r="B168" i="138"/>
  <c r="B170" i="138"/>
  <c r="B171" i="138"/>
  <c r="B173" i="138"/>
  <c r="B175" i="138"/>
  <c r="B178" i="138"/>
  <c r="B187" i="138"/>
  <c r="B189" i="138"/>
  <c r="B197" i="138"/>
  <c r="B205" i="138"/>
  <c r="B206" i="138"/>
  <c r="B213" i="138"/>
  <c r="B221" i="138"/>
  <c r="B229" i="138"/>
  <c r="B237" i="138"/>
  <c r="B245" i="138"/>
  <c r="B253" i="138"/>
  <c r="B269" i="138"/>
  <c r="B277" i="138"/>
  <c r="B285" i="138"/>
  <c r="B293" i="138"/>
  <c r="B22" i="137"/>
  <c r="C22" i="137"/>
  <c r="E7" i="178"/>
  <c r="E7" i="162"/>
  <c r="Q15" i="175"/>
  <c r="R15" i="175"/>
  <c r="K15" i="175"/>
  <c r="L15" i="175"/>
  <c r="M15" i="175"/>
  <c r="N15" i="175"/>
  <c r="B18" i="137"/>
  <c r="C18" i="137"/>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4" i="110"/>
  <c r="C35" i="110"/>
  <c r="C36" i="110"/>
  <c r="C37" i="110"/>
  <c r="C38" i="110"/>
  <c r="C39" i="110"/>
  <c r="C40" i="110"/>
  <c r="C41" i="110"/>
  <c r="C42" i="110"/>
  <c r="C43" i="110"/>
  <c r="C44" i="110"/>
  <c r="C45" i="110"/>
  <c r="C46" i="110"/>
  <c r="C47" i="110"/>
  <c r="C48" i="110"/>
  <c r="C49" i="110"/>
  <c r="C50" i="110"/>
  <c r="C51" i="110"/>
  <c r="C52" i="110"/>
  <c r="C53" i="110"/>
  <c r="C54" i="110"/>
  <c r="C55" i="110"/>
  <c r="C56" i="110"/>
  <c r="J14" i="108"/>
  <c r="J15" i="108"/>
  <c r="J16" i="108"/>
  <c r="J17" i="108"/>
  <c r="J18" i="108"/>
  <c r="J19" i="108"/>
  <c r="J20" i="108"/>
  <c r="J21" i="108"/>
  <c r="J22" i="108"/>
  <c r="J23" i="108"/>
  <c r="J24" i="108"/>
  <c r="J25" i="108"/>
  <c r="J26" i="108"/>
  <c r="J27" i="108"/>
  <c r="J28" i="108"/>
  <c r="J29" i="108"/>
  <c r="J30" i="108"/>
  <c r="J31" i="108"/>
  <c r="J32" i="108"/>
  <c r="J33" i="108"/>
  <c r="J34" i="108"/>
  <c r="J35" i="108"/>
  <c r="J36" i="108"/>
  <c r="J37" i="108"/>
  <c r="J38" i="108"/>
  <c r="J39" i="108"/>
  <c r="J40" i="108"/>
  <c r="J41" i="108"/>
  <c r="J42" i="108"/>
  <c r="J43" i="108"/>
  <c r="J44" i="108"/>
  <c r="J45" i="108"/>
  <c r="J46" i="108"/>
  <c r="J47" i="108"/>
  <c r="J48" i="108"/>
  <c r="J49" i="108"/>
  <c r="J50" i="108"/>
  <c r="J51" i="108"/>
  <c r="J52" i="108"/>
  <c r="J53" i="108"/>
  <c r="J54" i="108"/>
  <c r="J55" i="108"/>
  <c r="J56" i="108"/>
  <c r="J57" i="108"/>
  <c r="J11" i="108"/>
  <c r="J12" i="108"/>
  <c r="J13" i="108"/>
  <c r="A40" i="106"/>
  <c r="S56" i="198" l="1" a="1"/>
  <c r="S56" i="198" s="1"/>
  <c r="B235" i="143" s="1"/>
  <c r="S29" i="198" a="1"/>
  <c r="S29" i="198" s="1"/>
  <c r="B208" i="143" s="1"/>
  <c r="S32" i="198" a="1"/>
  <c r="S32" i="198" s="1"/>
  <c r="B211" i="143" s="1"/>
  <c r="S53" i="198" a="1"/>
  <c r="S53" i="198" s="1"/>
  <c r="B232" i="143" s="1"/>
  <c r="S41" i="198" a="1"/>
  <c r="S41" i="198" s="1"/>
  <c r="B220" i="143" s="1"/>
  <c r="S47" i="198" a="1"/>
  <c r="S47" i="198" s="1"/>
  <c r="B226" i="143" s="1"/>
  <c r="S35" i="198" a="1"/>
  <c r="S35" i="198" s="1"/>
  <c r="B214" i="143" s="1"/>
  <c r="S23" i="198" a="1"/>
  <c r="S23" i="198" s="1"/>
  <c r="B202" i="143" s="1"/>
  <c r="S62" i="198" a="1"/>
  <c r="S62" i="198" s="1"/>
  <c r="B241" i="143" s="1"/>
  <c r="S59" i="198" a="1"/>
  <c r="S59" i="198" s="1"/>
  <c r="B238" i="143" s="1"/>
  <c r="S26" i="198" a="1"/>
  <c r="S26" i="198" s="1"/>
  <c r="B205" i="143" s="1"/>
  <c r="S155" i="137" a="1"/>
  <c r="S155" i="137" s="1"/>
  <c r="B160" i="138" s="1"/>
  <c r="S140" i="137" a="1"/>
  <c r="S140" i="137" s="1"/>
  <c r="B145" i="138" s="1"/>
  <c r="S121" i="137" a="1"/>
  <c r="S121" i="137" s="1"/>
  <c r="B126" i="138" s="1"/>
  <c r="S120" i="137" a="1"/>
  <c r="S120" i="137" s="1"/>
  <c r="B125" i="138" s="1"/>
  <c r="S119" i="137" a="1"/>
  <c r="S119" i="137" s="1"/>
  <c r="B124" i="138" s="1"/>
  <c r="S21" i="199" a="1"/>
  <c r="S21" i="199" s="1"/>
  <c r="S18" i="199" a="1"/>
  <c r="S18" i="199" s="1"/>
  <c r="S32" i="199" a="1"/>
  <c r="S32" i="199" s="1"/>
  <c r="S26" i="199" a="1"/>
  <c r="S26" i="199" s="1"/>
  <c r="S20" i="199" a="1"/>
  <c r="S20" i="199" s="1"/>
  <c r="S38" i="199" a="1"/>
  <c r="S38" i="199" s="1"/>
  <c r="S28" i="199" a="1"/>
  <c r="S28" i="199" s="1"/>
  <c r="S34" i="199" a="1"/>
  <c r="S34" i="199" s="1"/>
  <c r="S22" i="199" a="1"/>
  <c r="S22" i="199" s="1"/>
  <c r="S16" i="199" a="1"/>
  <c r="S16" i="199" s="1"/>
  <c r="S37" i="199" a="1"/>
  <c r="S37" i="199" s="1"/>
  <c r="S259" i="137" a="1"/>
  <c r="S259" i="137" s="1"/>
  <c r="B264" i="138" s="1"/>
  <c r="S249" i="137" a="1"/>
  <c r="S249" i="137" s="1"/>
  <c r="B254" i="138" s="1"/>
  <c r="S245" i="137" a="1"/>
  <c r="S245" i="137" s="1"/>
  <c r="S241" i="137" a="1"/>
  <c r="S241" i="137" s="1"/>
  <c r="B246" i="138" s="1"/>
  <c r="S237" i="137" a="1"/>
  <c r="S237" i="137" s="1"/>
  <c r="S233" i="137" a="1"/>
  <c r="S233" i="137" s="1"/>
  <c r="B238" i="138" s="1"/>
  <c r="S229" i="137" a="1"/>
  <c r="S229" i="137" s="1"/>
  <c r="S225" i="137" a="1"/>
  <c r="S225" i="137" s="1"/>
  <c r="B230" i="138" s="1"/>
  <c r="S221" i="137" a="1"/>
  <c r="S221" i="137" s="1"/>
  <c r="B226" i="138" s="1"/>
  <c r="S217" i="137" a="1"/>
  <c r="S217" i="137" s="1"/>
  <c r="B222" i="138" s="1"/>
  <c r="S213" i="137" a="1"/>
  <c r="S213" i="137" s="1"/>
  <c r="S261" i="137" a="1"/>
  <c r="S261" i="137" s="1"/>
  <c r="B266" i="138" s="1"/>
  <c r="S257" i="137" a="1"/>
  <c r="S257" i="137" s="1"/>
  <c r="S263" i="137" a="1"/>
  <c r="S263" i="137" s="1"/>
  <c r="B268" i="138" s="1"/>
  <c r="S250" i="137" a="1"/>
  <c r="S250" i="137" s="1"/>
  <c r="B255" i="138" s="1"/>
  <c r="S246" i="137" a="1"/>
  <c r="S246" i="137" s="1"/>
  <c r="B251" i="138" s="1"/>
  <c r="S242" i="137" a="1"/>
  <c r="S242" i="137" s="1"/>
  <c r="B247" i="138" s="1"/>
  <c r="S238" i="137" a="1"/>
  <c r="S238" i="137" s="1"/>
  <c r="B243" i="138" s="1"/>
  <c r="S234" i="137" a="1"/>
  <c r="S234" i="137" s="1"/>
  <c r="S230" i="137" a="1"/>
  <c r="S230" i="137" s="1"/>
  <c r="B235" i="138" s="1"/>
  <c r="S226" i="137" a="1"/>
  <c r="S226" i="137" s="1"/>
  <c r="S222" i="137" a="1"/>
  <c r="S222" i="137" s="1"/>
  <c r="S218" i="137" a="1"/>
  <c r="S218" i="137" s="1"/>
  <c r="B223" i="138" s="1"/>
  <c r="S214" i="137" a="1"/>
  <c r="S214" i="137" s="1"/>
  <c r="B219" i="138" s="1"/>
  <c r="S210" i="137" a="1"/>
  <c r="S210" i="137" s="1"/>
  <c r="B215" i="138" s="1"/>
  <c r="S206" i="137" a="1"/>
  <c r="S206" i="137" s="1"/>
  <c r="S202" i="137" a="1"/>
  <c r="S202" i="137" s="1"/>
  <c r="S198" i="137" a="1"/>
  <c r="S198" i="137" s="1"/>
  <c r="B203" i="138" s="1"/>
  <c r="S194" i="137" a="1"/>
  <c r="S194" i="137" s="1"/>
  <c r="S190" i="137" a="1"/>
  <c r="S190" i="137" s="1"/>
  <c r="B195" i="138" s="1"/>
  <c r="S186" i="137" a="1"/>
  <c r="S186" i="137" s="1"/>
  <c r="B191" i="138" s="1"/>
  <c r="S108" i="137" a="1"/>
  <c r="S108" i="137" s="1"/>
  <c r="B113" i="138" s="1"/>
  <c r="S105" i="137" a="1"/>
  <c r="S105" i="137" s="1"/>
  <c r="B110" i="138" s="1"/>
  <c r="S92" i="137" a="1"/>
  <c r="S92" i="137" s="1"/>
  <c r="B97" i="138" s="1"/>
  <c r="S89" i="137" a="1"/>
  <c r="S89" i="137" s="1"/>
  <c r="B94" i="138" s="1"/>
  <c r="S76" i="137" a="1"/>
  <c r="S76" i="137" s="1"/>
  <c r="B81" i="138" s="1"/>
  <c r="S73" i="137" a="1"/>
  <c r="S73" i="137" s="1"/>
  <c r="B78" i="138" s="1"/>
  <c r="S60" i="137" a="1"/>
  <c r="S60" i="137" s="1"/>
  <c r="B65" i="138" s="1"/>
  <c r="S57" i="137" a="1"/>
  <c r="S57" i="137" s="1"/>
  <c r="B62" i="138" s="1"/>
  <c r="S111" i="137" a="1"/>
  <c r="S111" i="137" s="1"/>
  <c r="B116" i="138" s="1"/>
  <c r="S98" i="137" a="1"/>
  <c r="S98" i="137" s="1"/>
  <c r="B103" i="138" s="1"/>
  <c r="S95" i="137" a="1"/>
  <c r="S95" i="137" s="1"/>
  <c r="B100" i="138" s="1"/>
  <c r="S82" i="137" a="1"/>
  <c r="S82" i="137" s="1"/>
  <c r="B87" i="138" s="1"/>
  <c r="S79" i="137" a="1"/>
  <c r="S79" i="137" s="1"/>
  <c r="B84" i="138" s="1"/>
  <c r="S66" i="137" a="1"/>
  <c r="S66" i="137" s="1"/>
  <c r="B71" i="138" s="1"/>
  <c r="S63" i="137" a="1"/>
  <c r="S63" i="137" s="1"/>
  <c r="B68" i="138" s="1"/>
  <c r="S53" i="137" a="1"/>
  <c r="S53" i="137" s="1"/>
  <c r="B58" i="138" s="1"/>
  <c r="S100" i="137" a="1"/>
  <c r="S100" i="137" s="1"/>
  <c r="B105" i="138" s="1"/>
  <c r="S97" i="137" a="1"/>
  <c r="S97" i="137" s="1"/>
  <c r="B102" i="138" s="1"/>
  <c r="S84" i="137" a="1"/>
  <c r="S84" i="137" s="1"/>
  <c r="S81" i="137" a="1"/>
  <c r="S81" i="137" s="1"/>
  <c r="B86" i="138" s="1"/>
  <c r="S68" i="137" a="1"/>
  <c r="S68" i="137" s="1"/>
  <c r="B73" i="138" s="1"/>
  <c r="S65" i="137" a="1"/>
  <c r="S65" i="137" s="1"/>
  <c r="B70" i="138" s="1"/>
  <c r="S52" i="137" a="1"/>
  <c r="S52" i="137" s="1"/>
  <c r="B57" i="138" s="1"/>
  <c r="S106" i="137" a="1"/>
  <c r="S106" i="137" s="1"/>
  <c r="B111" i="138" s="1"/>
  <c r="S103" i="137" a="1"/>
  <c r="S103" i="137" s="1"/>
  <c r="B108" i="138" s="1"/>
  <c r="S90" i="137" a="1"/>
  <c r="S90" i="137" s="1"/>
  <c r="B95" i="138" s="1"/>
  <c r="S87" i="137" a="1"/>
  <c r="S87" i="137" s="1"/>
  <c r="S74" i="137" a="1"/>
  <c r="S74" i="137" s="1"/>
  <c r="B79" i="138" s="1"/>
  <c r="S71" i="137" a="1"/>
  <c r="S71" i="137" s="1"/>
  <c r="B76" i="138" s="1"/>
  <c r="S58" i="137" a="1"/>
  <c r="S58" i="137" s="1"/>
  <c r="B63" i="138" s="1"/>
  <c r="S55" i="137" a="1"/>
  <c r="S55" i="137" s="1"/>
  <c r="S77" i="137" a="1"/>
  <c r="S77" i="137" s="1"/>
  <c r="B82" i="138" s="1"/>
  <c r="S64" i="137" a="1"/>
  <c r="S64" i="137" s="1"/>
  <c r="B69" i="138" s="1"/>
  <c r="S61" i="137" a="1"/>
  <c r="S61" i="137" s="1"/>
  <c r="B66" i="138" s="1"/>
  <c r="B305" i="138"/>
  <c r="B297" i="138"/>
  <c r="B169" i="138"/>
  <c r="B49" i="138"/>
  <c r="B33" i="138"/>
  <c r="B289" i="138"/>
  <c r="B281" i="138"/>
  <c r="B121" i="138"/>
  <c r="B273" i="138"/>
  <c r="B265" i="138"/>
  <c r="B257" i="138"/>
  <c r="B249" i="138"/>
  <c r="B241" i="138"/>
  <c r="B233" i="138"/>
  <c r="B153" i="138"/>
  <c r="B225" i="138"/>
  <c r="B217" i="138"/>
  <c r="B209" i="138"/>
  <c r="B41" i="138"/>
  <c r="B201" i="138"/>
  <c r="B193" i="138"/>
  <c r="B185" i="138"/>
  <c r="B137" i="138"/>
  <c r="S15" i="199" a="1"/>
  <c r="S15" i="199" s="1"/>
  <c r="I16" i="198"/>
  <c r="I15" i="198"/>
  <c r="S15" i="198" s="1" a="1"/>
  <c r="S15" i="198" s="1"/>
  <c r="B194" i="143" s="1"/>
  <c r="S15" i="197" a="1"/>
  <c r="S15" i="197" s="1"/>
  <c r="I15" i="197"/>
  <c r="I15" i="196"/>
  <c r="S15" i="196" s="1" a="1"/>
  <c r="S15" i="196" s="1"/>
  <c r="B190" i="138"/>
  <c r="B298" i="138"/>
  <c r="B295" i="138"/>
  <c r="B282" i="138"/>
  <c r="B279" i="138"/>
  <c r="B263" i="138"/>
  <c r="B250" i="138"/>
  <c r="B234" i="138"/>
  <c r="B231" i="138"/>
  <c r="B218" i="138"/>
  <c r="B202" i="138"/>
  <c r="B199" i="138"/>
  <c r="B134" i="138"/>
  <c r="B60" i="138"/>
  <c r="B307" i="138"/>
  <c r="B294" i="138"/>
  <c r="B291" i="138"/>
  <c r="B278" i="138"/>
  <c r="B275" i="138"/>
  <c r="B262" i="138"/>
  <c r="B259" i="138"/>
  <c r="B227" i="138"/>
  <c r="B214" i="138"/>
  <c r="B211" i="138"/>
  <c r="B198" i="138"/>
  <c r="B174" i="138"/>
  <c r="B142" i="138"/>
  <c r="B89" i="138"/>
  <c r="B306" i="138"/>
  <c r="B303" i="138"/>
  <c r="B290" i="138"/>
  <c r="B287" i="138"/>
  <c r="B274" i="138"/>
  <c r="B271" i="138"/>
  <c r="B258" i="138"/>
  <c r="B242" i="138"/>
  <c r="B239" i="138"/>
  <c r="B210" i="138"/>
  <c r="B207" i="138"/>
  <c r="B194" i="138"/>
  <c r="B182" i="138"/>
  <c r="B150" i="138"/>
  <c r="B112" i="138"/>
  <c r="B92" i="138"/>
  <c r="B135" i="138"/>
  <c r="B21" i="195"/>
  <c r="B22" i="195"/>
  <c r="B23" i="195"/>
  <c r="B24" i="195"/>
  <c r="B25" i="195"/>
  <c r="B26" i="195"/>
  <c r="B27" i="195"/>
  <c r="B28" i="195"/>
  <c r="B29" i="195"/>
  <c r="B30" i="195"/>
  <c r="B31" i="195"/>
  <c r="B32" i="195"/>
  <c r="B33" i="195"/>
  <c r="B34" i="195"/>
  <c r="B35" i="195"/>
  <c r="B36" i="195"/>
  <c r="B37" i="195"/>
  <c r="B38" i="195"/>
  <c r="B39" i="195"/>
  <c r="B40" i="195"/>
  <c r="B41" i="195"/>
  <c r="B42" i="195"/>
  <c r="B43" i="195"/>
  <c r="B44" i="195"/>
  <c r="B45" i="195"/>
  <c r="B46" i="195"/>
  <c r="B47" i="195"/>
  <c r="B48" i="195"/>
  <c r="B49" i="195"/>
  <c r="B50" i="195"/>
  <c r="B51" i="195"/>
  <c r="B52" i="195"/>
  <c r="B53" i="195"/>
  <c r="B54" i="195"/>
  <c r="B55" i="195"/>
  <c r="B56" i="195"/>
  <c r="B57" i="195"/>
  <c r="B58" i="195"/>
  <c r="B59" i="195"/>
  <c r="B60" i="195"/>
  <c r="B61" i="195"/>
  <c r="B62" i="195"/>
  <c r="B63" i="195"/>
  <c r="B64" i="195"/>
  <c r="B65" i="195"/>
  <c r="B66" i="195"/>
  <c r="B67" i="195"/>
  <c r="B68" i="195"/>
  <c r="B69" i="195"/>
  <c r="B70" i="195"/>
  <c r="B71" i="195"/>
  <c r="B72" i="195"/>
  <c r="B73" i="195"/>
  <c r="B74" i="195"/>
  <c r="B75" i="195"/>
  <c r="B76" i="195"/>
  <c r="B77" i="195"/>
  <c r="B78" i="195"/>
  <c r="B79" i="195"/>
  <c r="B80" i="195"/>
  <c r="B81" i="195"/>
  <c r="B82" i="195"/>
  <c r="B83" i="195"/>
  <c r="B84" i="195"/>
  <c r="B85" i="195"/>
  <c r="I17" i="194"/>
  <c r="J17" i="194"/>
  <c r="K17" i="194"/>
  <c r="L17" i="194"/>
  <c r="M17" i="194"/>
  <c r="N17" i="194"/>
  <c r="I18" i="194"/>
  <c r="S33" i="194" s="1" a="1"/>
  <c r="S33" i="194" s="1"/>
  <c r="J18" i="194"/>
  <c r="K18" i="194"/>
  <c r="L18" i="194"/>
  <c r="M18" i="194"/>
  <c r="N18" i="194"/>
  <c r="I19" i="194"/>
  <c r="S39" i="194" s="1" a="1"/>
  <c r="S39" i="194" s="1"/>
  <c r="J19" i="194"/>
  <c r="K19" i="194"/>
  <c r="S41" i="194" s="1" a="1"/>
  <c r="S41" i="194" s="1"/>
  <c r="L19" i="194"/>
  <c r="M19" i="194"/>
  <c r="N19" i="194"/>
  <c r="I20" i="194"/>
  <c r="J20" i="194"/>
  <c r="K20" i="194"/>
  <c r="L20" i="194"/>
  <c r="M20" i="194"/>
  <c r="S49" i="194" s="1" a="1"/>
  <c r="S49" i="194" s="1"/>
  <c r="N20" i="194"/>
  <c r="I21" i="194"/>
  <c r="J21" i="194"/>
  <c r="K21" i="194"/>
  <c r="L21" i="194"/>
  <c r="M21" i="194"/>
  <c r="S55" i="194" s="1" a="1"/>
  <c r="S55" i="194" s="1"/>
  <c r="N21" i="194"/>
  <c r="I22" i="194"/>
  <c r="S57" i="194" s="1" a="1"/>
  <c r="S57" i="194" s="1"/>
  <c r="J22" i="194"/>
  <c r="K22" i="194"/>
  <c r="L22" i="194"/>
  <c r="M22" i="194"/>
  <c r="N22" i="194"/>
  <c r="I23" i="194"/>
  <c r="J23" i="194"/>
  <c r="K23" i="194"/>
  <c r="S65" i="194" s="1" a="1"/>
  <c r="S65" i="194" s="1"/>
  <c r="L23" i="194"/>
  <c r="M23" i="194"/>
  <c r="N23" i="194"/>
  <c r="I24" i="194"/>
  <c r="J24" i="194"/>
  <c r="K24" i="194"/>
  <c r="S71" i="194" s="1" a="1"/>
  <c r="S71" i="194" s="1"/>
  <c r="L24" i="194"/>
  <c r="M24" i="194"/>
  <c r="S73" i="194" s="1" a="1"/>
  <c r="S73" i="194" s="1"/>
  <c r="N24" i="194"/>
  <c r="Q16" i="194"/>
  <c r="S16" i="194" s="1" a="1"/>
  <c r="S16" i="194" s="1"/>
  <c r="R16" i="194"/>
  <c r="Q17" i="194"/>
  <c r="R17" i="194"/>
  <c r="S17" i="194" a="1"/>
  <c r="S17" i="194" s="1"/>
  <c r="Q18" i="194"/>
  <c r="S18" i="194" s="1" a="1"/>
  <c r="S18" i="194" s="1"/>
  <c r="R18" i="194"/>
  <c r="Q19" i="194"/>
  <c r="R19" i="194"/>
  <c r="S19" i="194" a="1"/>
  <c r="S19" i="194" s="1"/>
  <c r="Q20" i="194"/>
  <c r="R20" i="194"/>
  <c r="Q21" i="194"/>
  <c r="R21" i="194"/>
  <c r="S21" i="194" a="1"/>
  <c r="S21" i="194" s="1"/>
  <c r="Q22" i="194"/>
  <c r="S22" i="194" s="1" a="1"/>
  <c r="S22" i="194" s="1"/>
  <c r="R22" i="194"/>
  <c r="Q23" i="194"/>
  <c r="R23" i="194"/>
  <c r="S23" i="194" a="1"/>
  <c r="S23" i="194" s="1"/>
  <c r="Q24" i="194"/>
  <c r="S24" i="194" s="1" a="1"/>
  <c r="S24" i="194" s="1"/>
  <c r="R24" i="194"/>
  <c r="Q25" i="194"/>
  <c r="R25" i="194"/>
  <c r="S25" i="194" a="1"/>
  <c r="S25" i="194" s="1"/>
  <c r="Q26" i="194"/>
  <c r="R26" i="194"/>
  <c r="Q27" i="194"/>
  <c r="R27" i="194"/>
  <c r="S27" i="194" a="1"/>
  <c r="S27" i="194" s="1"/>
  <c r="Q28" i="194"/>
  <c r="S28" i="194" s="1" a="1"/>
  <c r="S28" i="194" s="1"/>
  <c r="R28" i="194"/>
  <c r="Q29" i="194"/>
  <c r="R29" i="194"/>
  <c r="S29" i="194" a="1"/>
  <c r="S29" i="194" s="1"/>
  <c r="Q30" i="194"/>
  <c r="S30" i="194" s="1" a="1"/>
  <c r="S30" i="194" s="1"/>
  <c r="R30" i="194"/>
  <c r="Q31" i="194"/>
  <c r="R31" i="194"/>
  <c r="S31" i="194" a="1"/>
  <c r="S31" i="194" s="1"/>
  <c r="Q32" i="194"/>
  <c r="R32" i="194"/>
  <c r="Q33" i="194"/>
  <c r="R33" i="194"/>
  <c r="Q34" i="194"/>
  <c r="R34" i="194"/>
  <c r="Q35" i="194"/>
  <c r="R35" i="194"/>
  <c r="S35" i="194" a="1"/>
  <c r="S35" i="194" s="1"/>
  <c r="Q36" i="194"/>
  <c r="R36" i="194"/>
  <c r="Q37" i="194"/>
  <c r="R37" i="194"/>
  <c r="S37" i="194" a="1"/>
  <c r="S37" i="194" s="1"/>
  <c r="Q38" i="194"/>
  <c r="R38" i="194"/>
  <c r="Q39" i="194"/>
  <c r="R39" i="194"/>
  <c r="Q40" i="194"/>
  <c r="R40" i="194"/>
  <c r="Q41" i="194"/>
  <c r="R41" i="194"/>
  <c r="Q42" i="194"/>
  <c r="R42" i="194"/>
  <c r="Q43" i="194"/>
  <c r="R43" i="194"/>
  <c r="S43" i="194" a="1"/>
  <c r="S43" i="194" s="1"/>
  <c r="Q44" i="194"/>
  <c r="S44" i="194" s="1" a="1"/>
  <c r="S44" i="194" s="1"/>
  <c r="R44" i="194"/>
  <c r="Q45" i="194"/>
  <c r="R45" i="194"/>
  <c r="S45" i="194" a="1"/>
  <c r="S45" i="194" s="1"/>
  <c r="Q46" i="194"/>
  <c r="S46" i="194" s="1" a="1"/>
  <c r="S46" i="194" s="1"/>
  <c r="R46" i="194"/>
  <c r="Q47" i="194"/>
  <c r="R47" i="194"/>
  <c r="S47" i="194" a="1"/>
  <c r="S47" i="194" s="1"/>
  <c r="Q48" i="194"/>
  <c r="R48" i="194"/>
  <c r="Q49" i="194"/>
  <c r="R49" i="194"/>
  <c r="Q50" i="194"/>
  <c r="R50" i="194"/>
  <c r="Q51" i="194"/>
  <c r="R51" i="194"/>
  <c r="S51" i="194" a="1"/>
  <c r="S51" i="194" s="1"/>
  <c r="Q52" i="194"/>
  <c r="R52" i="194"/>
  <c r="Q53" i="194"/>
  <c r="R53" i="194"/>
  <c r="S53" i="194" a="1"/>
  <c r="S53" i="194" s="1"/>
  <c r="Q54" i="194"/>
  <c r="S54" i="194" s="1" a="1"/>
  <c r="S54" i="194" s="1"/>
  <c r="R54" i="194"/>
  <c r="Q55" i="194"/>
  <c r="R55" i="194"/>
  <c r="Q56" i="194"/>
  <c r="R56" i="194"/>
  <c r="Q57" i="194"/>
  <c r="R57" i="194"/>
  <c r="Q58" i="194"/>
  <c r="R58" i="194"/>
  <c r="Q59" i="194"/>
  <c r="R59" i="194"/>
  <c r="S59" i="194" a="1"/>
  <c r="S59" i="194" s="1"/>
  <c r="Q60" i="194"/>
  <c r="S60" i="194" s="1" a="1"/>
  <c r="S60" i="194" s="1"/>
  <c r="R60" i="194"/>
  <c r="Q61" i="194"/>
  <c r="R61" i="194"/>
  <c r="S61" i="194" a="1"/>
  <c r="S61" i="194" s="1"/>
  <c r="Q62" i="194"/>
  <c r="S62" i="194" s="1" a="1"/>
  <c r="S62" i="194" s="1"/>
  <c r="R62" i="194"/>
  <c r="Q63" i="194"/>
  <c r="R63" i="194"/>
  <c r="S63" i="194" a="1"/>
  <c r="S63" i="194" s="1"/>
  <c r="Q64" i="194"/>
  <c r="R64" i="194"/>
  <c r="Q65" i="194"/>
  <c r="R65" i="194"/>
  <c r="Q66" i="194"/>
  <c r="R66" i="194"/>
  <c r="Q67" i="194"/>
  <c r="R67" i="194"/>
  <c r="S67" i="194" a="1"/>
  <c r="S67" i="194" s="1"/>
  <c r="Q68" i="194"/>
  <c r="R68" i="194"/>
  <c r="Q69" i="194"/>
  <c r="R69" i="194"/>
  <c r="S69" i="194" a="1"/>
  <c r="S69" i="194" s="1"/>
  <c r="Q70" i="194"/>
  <c r="S70" i="194" s="1" a="1"/>
  <c r="S70" i="194" s="1"/>
  <c r="R70" i="194"/>
  <c r="Q71" i="194"/>
  <c r="R71" i="194"/>
  <c r="Q72" i="194"/>
  <c r="R72" i="194"/>
  <c r="Q73" i="194"/>
  <c r="R73" i="194"/>
  <c r="Q74" i="194"/>
  <c r="R74" i="194"/>
  <c r="Q75" i="194"/>
  <c r="R75" i="194"/>
  <c r="S75" i="194" a="1"/>
  <c r="S75" i="194" s="1"/>
  <c r="Q76" i="194"/>
  <c r="S76" i="194" s="1" a="1"/>
  <c r="S76" i="194" s="1"/>
  <c r="R76" i="194"/>
  <c r="Q77" i="194"/>
  <c r="R77" i="194"/>
  <c r="S77" i="194" a="1"/>
  <c r="S77" i="194" s="1"/>
  <c r="Q78" i="194"/>
  <c r="S78" i="194" s="1" a="1"/>
  <c r="S78" i="194" s="1"/>
  <c r="R78" i="194"/>
  <c r="Q79" i="194"/>
  <c r="R79" i="194"/>
  <c r="S79" i="194" a="1"/>
  <c r="S79" i="194" s="1"/>
  <c r="Q80" i="194"/>
  <c r="S80" i="194" s="1" a="1"/>
  <c r="S80" i="194" s="1"/>
  <c r="R80" i="194"/>
  <c r="Q81" i="194"/>
  <c r="R81" i="194"/>
  <c r="S81" i="194" a="1"/>
  <c r="S81" i="194" s="1"/>
  <c r="Q82" i="194"/>
  <c r="S82" i="194" s="1" a="1"/>
  <c r="S82" i="194" s="1"/>
  <c r="R82" i="194"/>
  <c r="Q83" i="194"/>
  <c r="R83" i="194"/>
  <c r="S83" i="194" a="1"/>
  <c r="S83" i="194" s="1"/>
  <c r="Q84" i="194"/>
  <c r="S84" i="194" s="1" a="1"/>
  <c r="S84" i="194" s="1"/>
  <c r="R84" i="194"/>
  <c r="B54" i="137"/>
  <c r="C54" i="137"/>
  <c r="B55" i="137"/>
  <c r="C55" i="137"/>
  <c r="B56" i="137"/>
  <c r="C56" i="137"/>
  <c r="B57" i="137"/>
  <c r="C57" i="137"/>
  <c r="A46" i="108"/>
  <c r="A45" i="108"/>
  <c r="A88" i="107"/>
  <c r="A89" i="107"/>
  <c r="A87" i="107"/>
  <c r="B21" i="194"/>
  <c r="C21" i="194"/>
  <c r="B22" i="194"/>
  <c r="C22" i="194"/>
  <c r="B23" i="194"/>
  <c r="C23" i="194"/>
  <c r="B24" i="194"/>
  <c r="C24" i="194"/>
  <c r="B16" i="194"/>
  <c r="C16" i="194"/>
  <c r="B17" i="194"/>
  <c r="C17" i="194"/>
  <c r="B18" i="194"/>
  <c r="C18" i="194"/>
  <c r="B19" i="194"/>
  <c r="C19" i="194"/>
  <c r="B20" i="194"/>
  <c r="C20" i="194"/>
  <c r="I18" i="192"/>
  <c r="I19" i="192"/>
  <c r="I20" i="192"/>
  <c r="I21" i="192"/>
  <c r="C21" i="193" s="1"/>
  <c r="I22" i="192"/>
  <c r="C22" i="193" s="1"/>
  <c r="C16" i="193"/>
  <c r="C18" i="193"/>
  <c r="C19" i="193"/>
  <c r="C20" i="193"/>
  <c r="I9" i="192"/>
  <c r="C9" i="193" s="1"/>
  <c r="I10" i="192"/>
  <c r="C10" i="193" s="1"/>
  <c r="I11" i="192"/>
  <c r="C11" i="193" s="1"/>
  <c r="I12" i="192"/>
  <c r="C12" i="193" s="1"/>
  <c r="I13" i="192"/>
  <c r="C13" i="193" s="1"/>
  <c r="I14" i="192"/>
  <c r="C14" i="193" s="1"/>
  <c r="I15" i="192"/>
  <c r="C15" i="193" s="1"/>
  <c r="I16" i="192"/>
  <c r="I17" i="192"/>
  <c r="C17" i="193" s="1"/>
  <c r="I8" i="192"/>
  <c r="C8" i="193" s="1"/>
  <c r="I28" i="192"/>
  <c r="I29" i="192"/>
  <c r="I30" i="192"/>
  <c r="I31" i="192"/>
  <c r="I32" i="192"/>
  <c r="I33" i="192"/>
  <c r="I34" i="192"/>
  <c r="J16" i="194"/>
  <c r="B28" i="192"/>
  <c r="B29" i="192"/>
  <c r="B30" i="192"/>
  <c r="B31" i="192"/>
  <c r="B32" i="192"/>
  <c r="B33" i="192"/>
  <c r="B34" i="192"/>
  <c r="B35" i="192"/>
  <c r="I6" i="192"/>
  <c r="C6" i="193" s="1"/>
  <c r="B15" i="195"/>
  <c r="B13" i="195"/>
  <c r="B12" i="195"/>
  <c r="B9" i="195"/>
  <c r="B8" i="195"/>
  <c r="B4" i="195"/>
  <c r="N46" i="194"/>
  <c r="N45" i="194"/>
  <c r="N44" i="194"/>
  <c r="N43" i="194"/>
  <c r="N42" i="194"/>
  <c r="N41" i="194"/>
  <c r="N40" i="194"/>
  <c r="N39" i="194"/>
  <c r="N38" i="194"/>
  <c r="N37" i="194"/>
  <c r="N36" i="194"/>
  <c r="N35" i="194"/>
  <c r="N34" i="194"/>
  <c r="N33" i="194"/>
  <c r="N32" i="194"/>
  <c r="N31" i="194"/>
  <c r="N30" i="194"/>
  <c r="N29" i="194"/>
  <c r="N28" i="194"/>
  <c r="N27" i="194"/>
  <c r="N16" i="194"/>
  <c r="M16" i="194"/>
  <c r="L16" i="194"/>
  <c r="K16" i="194"/>
  <c r="R15" i="194"/>
  <c r="Q15" i="194"/>
  <c r="N15" i="194"/>
  <c r="M15" i="194"/>
  <c r="L15" i="194"/>
  <c r="K15" i="194"/>
  <c r="C15" i="194"/>
  <c r="J15" i="194" s="1"/>
  <c r="B15" i="194"/>
  <c r="I15" i="194" s="1"/>
  <c r="B14" i="194"/>
  <c r="E7" i="194"/>
  <c r="B18" i="195" s="1"/>
  <c r="E3" i="194"/>
  <c r="E6" i="194" s="1"/>
  <c r="B17" i="195" s="1"/>
  <c r="C7" i="193"/>
  <c r="C2" i="193"/>
  <c r="C1" i="193"/>
  <c r="I27" i="192"/>
  <c r="B27" i="192"/>
  <c r="I7" i="192"/>
  <c r="I5" i="192"/>
  <c r="C5" i="193" s="1"/>
  <c r="I4" i="192"/>
  <c r="C4" i="193" s="1"/>
  <c r="I3" i="192"/>
  <c r="C3" i="193" s="1"/>
  <c r="B49" i="137"/>
  <c r="C49" i="137"/>
  <c r="B50" i="137"/>
  <c r="C50" i="137"/>
  <c r="A41" i="108"/>
  <c r="A40" i="108"/>
  <c r="A73" i="107"/>
  <c r="A74" i="107"/>
  <c r="A72" i="107"/>
  <c r="B46" i="191"/>
  <c r="B47" i="191"/>
  <c r="B48" i="191"/>
  <c r="B49" i="191"/>
  <c r="B50" i="191"/>
  <c r="B51" i="191"/>
  <c r="B52" i="191"/>
  <c r="B53" i="191"/>
  <c r="B54" i="191"/>
  <c r="B55" i="191"/>
  <c r="B56" i="191"/>
  <c r="B57" i="191"/>
  <c r="B58" i="191"/>
  <c r="B59" i="191"/>
  <c r="B60" i="191"/>
  <c r="B21" i="191"/>
  <c r="B22" i="191"/>
  <c r="B23" i="191"/>
  <c r="B24" i="191"/>
  <c r="B25" i="191"/>
  <c r="B26" i="191"/>
  <c r="B27" i="191"/>
  <c r="B28" i="191"/>
  <c r="B29" i="191"/>
  <c r="B30" i="191"/>
  <c r="B31" i="191"/>
  <c r="B32" i="191"/>
  <c r="B33" i="191"/>
  <c r="B34" i="191"/>
  <c r="B35" i="191"/>
  <c r="B36" i="191"/>
  <c r="B37" i="191"/>
  <c r="B38" i="191"/>
  <c r="B39" i="191"/>
  <c r="B40" i="191"/>
  <c r="B41" i="191"/>
  <c r="B42" i="191"/>
  <c r="B43" i="191"/>
  <c r="B44" i="191"/>
  <c r="B45" i="191"/>
  <c r="Q45" i="190"/>
  <c r="S45" i="190" s="1" a="1"/>
  <c r="S45" i="190" s="1"/>
  <c r="R45" i="190"/>
  <c r="Q46" i="190"/>
  <c r="R46" i="190"/>
  <c r="S46" i="190" a="1"/>
  <c r="S46" i="190"/>
  <c r="Q47" i="190"/>
  <c r="S47" i="190" s="1" a="1"/>
  <c r="S47" i="190" s="1"/>
  <c r="R47" i="190"/>
  <c r="Q48" i="190"/>
  <c r="R48" i="190"/>
  <c r="S48" i="190" a="1"/>
  <c r="S48" i="190"/>
  <c r="Q49" i="190"/>
  <c r="S49" i="190" s="1" a="1"/>
  <c r="S49" i="190" s="1"/>
  <c r="R49" i="190"/>
  <c r="Q50" i="190"/>
  <c r="R50" i="190"/>
  <c r="S50" i="190" a="1"/>
  <c r="S50" i="190"/>
  <c r="Q51" i="190"/>
  <c r="S51" i="190" s="1" a="1"/>
  <c r="S51" i="190" s="1"/>
  <c r="R51" i="190"/>
  <c r="Q52" i="190"/>
  <c r="R52" i="190"/>
  <c r="S52" i="190" a="1"/>
  <c r="S52" i="190"/>
  <c r="Q53" i="190"/>
  <c r="S53" i="190" s="1" a="1"/>
  <c r="S53" i="190" s="1"/>
  <c r="R53" i="190"/>
  <c r="Q21" i="190"/>
  <c r="S21" i="190" s="1" a="1"/>
  <c r="S21" i="190" s="1"/>
  <c r="R21" i="190"/>
  <c r="Q22" i="190"/>
  <c r="R22" i="190"/>
  <c r="S22" i="190" s="1" a="1"/>
  <c r="S22" i="190" s="1"/>
  <c r="Q23" i="190"/>
  <c r="S23" i="190" s="1" a="1"/>
  <c r="S23" i="190" s="1"/>
  <c r="R23" i="190"/>
  <c r="Q24" i="190"/>
  <c r="R24" i="190"/>
  <c r="S24" i="190" s="1" a="1"/>
  <c r="S24" i="190" s="1"/>
  <c r="Q25" i="190"/>
  <c r="S25" i="190" s="1" a="1"/>
  <c r="S25" i="190" s="1"/>
  <c r="R25" i="190"/>
  <c r="Q26" i="190"/>
  <c r="R26" i="190"/>
  <c r="S26" i="190" s="1" a="1"/>
  <c r="S26" i="190" s="1"/>
  <c r="Q27" i="190"/>
  <c r="S27" i="190" s="1" a="1"/>
  <c r="S27" i="190" s="1"/>
  <c r="R27" i="190"/>
  <c r="Q28" i="190"/>
  <c r="R28" i="190"/>
  <c r="S28" i="190" s="1" a="1"/>
  <c r="S28" i="190" s="1"/>
  <c r="Q29" i="190"/>
  <c r="S29" i="190" s="1" a="1"/>
  <c r="S29" i="190" s="1"/>
  <c r="R29" i="190"/>
  <c r="Q30" i="190"/>
  <c r="R30" i="190"/>
  <c r="S30" i="190" s="1" a="1"/>
  <c r="S30" i="190" s="1"/>
  <c r="Q31" i="190"/>
  <c r="S31" i="190" s="1" a="1"/>
  <c r="S31" i="190" s="1"/>
  <c r="R31" i="190"/>
  <c r="Q32" i="190"/>
  <c r="R32" i="190"/>
  <c r="S32" i="190" s="1" a="1"/>
  <c r="S32" i="190" s="1"/>
  <c r="Q33" i="190"/>
  <c r="S33" i="190" s="1" a="1"/>
  <c r="S33" i="190" s="1"/>
  <c r="R33" i="190"/>
  <c r="Q34" i="190"/>
  <c r="S34" i="190" s="1" a="1"/>
  <c r="S34" i="190" s="1"/>
  <c r="R34" i="190"/>
  <c r="Q35" i="190"/>
  <c r="S35" i="190" s="1" a="1"/>
  <c r="S35" i="190" s="1"/>
  <c r="R35" i="190"/>
  <c r="Q36" i="190"/>
  <c r="S36" i="190" s="1" a="1"/>
  <c r="S36" i="190" s="1"/>
  <c r="R36" i="190"/>
  <c r="Q37" i="190"/>
  <c r="S37" i="190" s="1" a="1"/>
  <c r="S37" i="190" s="1"/>
  <c r="R37" i="190"/>
  <c r="Q38" i="190"/>
  <c r="S38" i="190" s="1" a="1"/>
  <c r="S38" i="190" s="1"/>
  <c r="R38" i="190"/>
  <c r="Q39" i="190"/>
  <c r="S39" i="190" s="1" a="1"/>
  <c r="S39" i="190" s="1"/>
  <c r="R39" i="190"/>
  <c r="Q40" i="190"/>
  <c r="S40" i="190" s="1" a="1"/>
  <c r="S40" i="190" s="1"/>
  <c r="R40" i="190"/>
  <c r="Q41" i="190"/>
  <c r="S41" i="190" s="1" a="1"/>
  <c r="S41" i="190" s="1"/>
  <c r="R41" i="190"/>
  <c r="Q42" i="190"/>
  <c r="S42" i="190" s="1" a="1"/>
  <c r="S42" i="190" s="1"/>
  <c r="R42" i="190"/>
  <c r="Q43" i="190"/>
  <c r="S43" i="190" s="1" a="1"/>
  <c r="S43" i="190" s="1"/>
  <c r="R43" i="190"/>
  <c r="Q44" i="190"/>
  <c r="S44" i="190" s="1" a="1"/>
  <c r="S44" i="190" s="1"/>
  <c r="R44" i="190"/>
  <c r="Q19" i="190"/>
  <c r="S19" i="190" s="1" a="1"/>
  <c r="S19" i="190" s="1"/>
  <c r="R19" i="190"/>
  <c r="Q20" i="190"/>
  <c r="R20" i="190"/>
  <c r="S20" i="190" a="1"/>
  <c r="S20" i="190"/>
  <c r="Q16" i="190"/>
  <c r="S16" i="190" s="1" a="1"/>
  <c r="S16" i="190" s="1"/>
  <c r="R16" i="190"/>
  <c r="Q17" i="190"/>
  <c r="S17" i="190" s="1" a="1"/>
  <c r="S17" i="190" s="1"/>
  <c r="R17" i="190"/>
  <c r="Q18" i="190"/>
  <c r="S18" i="190" s="1" a="1"/>
  <c r="S18" i="190" s="1"/>
  <c r="R18" i="190"/>
  <c r="I17" i="190"/>
  <c r="J17" i="190"/>
  <c r="K17" i="190"/>
  <c r="L17" i="190"/>
  <c r="M17" i="190"/>
  <c r="N17" i="190"/>
  <c r="I18" i="190"/>
  <c r="J18" i="190"/>
  <c r="K18" i="190"/>
  <c r="L18" i="190"/>
  <c r="M18" i="190"/>
  <c r="N18" i="190"/>
  <c r="I19" i="190"/>
  <c r="J19" i="190"/>
  <c r="K19" i="190"/>
  <c r="L19" i="190"/>
  <c r="M19" i="190"/>
  <c r="N19" i="190"/>
  <c r="I20" i="190"/>
  <c r="J20" i="190"/>
  <c r="K20" i="190"/>
  <c r="L20" i="190"/>
  <c r="M20" i="190"/>
  <c r="N20" i="190"/>
  <c r="B19" i="190"/>
  <c r="C19" i="190"/>
  <c r="B16" i="190"/>
  <c r="C16" i="190"/>
  <c r="B17" i="190"/>
  <c r="C17" i="190"/>
  <c r="B18" i="190"/>
  <c r="C18" i="190"/>
  <c r="B20" i="190"/>
  <c r="C20" i="190"/>
  <c r="C9" i="189"/>
  <c r="C10" i="189"/>
  <c r="C11" i="189"/>
  <c r="C12" i="189"/>
  <c r="C13" i="189"/>
  <c r="C14" i="189"/>
  <c r="C15" i="189"/>
  <c r="C16" i="189"/>
  <c r="I9" i="188"/>
  <c r="I10" i="188"/>
  <c r="I11" i="188"/>
  <c r="I12" i="188"/>
  <c r="I13" i="188"/>
  <c r="I14" i="188"/>
  <c r="I15" i="188"/>
  <c r="I16" i="188"/>
  <c r="I8" i="188"/>
  <c r="C8" i="189" s="1"/>
  <c r="I28" i="188"/>
  <c r="I29" i="188"/>
  <c r="I30" i="188"/>
  <c r="I31" i="188"/>
  <c r="B28" i="188"/>
  <c r="B29" i="188"/>
  <c r="B30" i="188"/>
  <c r="B31" i="188"/>
  <c r="B15" i="191"/>
  <c r="B13" i="191"/>
  <c r="B12" i="191"/>
  <c r="B9" i="191"/>
  <c r="B8" i="191"/>
  <c r="B4" i="191"/>
  <c r="N46" i="190"/>
  <c r="N45" i="190"/>
  <c r="N44" i="190"/>
  <c r="N43" i="190"/>
  <c r="N42" i="190"/>
  <c r="N41" i="190"/>
  <c r="N40" i="190"/>
  <c r="N39" i="190"/>
  <c r="N38" i="190"/>
  <c r="N37" i="190"/>
  <c r="N36" i="190"/>
  <c r="N35" i="190"/>
  <c r="N34" i="190"/>
  <c r="N33" i="190"/>
  <c r="N32" i="190"/>
  <c r="N31" i="190"/>
  <c r="N30" i="190"/>
  <c r="N29" i="190"/>
  <c r="N28" i="190"/>
  <c r="N27" i="190"/>
  <c r="N26" i="190"/>
  <c r="N25" i="190"/>
  <c r="N24" i="190"/>
  <c r="N23" i="190"/>
  <c r="N22" i="190"/>
  <c r="N21" i="190"/>
  <c r="N16" i="190"/>
  <c r="M16" i="190"/>
  <c r="L16" i="190"/>
  <c r="K16" i="190"/>
  <c r="J16" i="190"/>
  <c r="R15" i="190"/>
  <c r="Q15" i="190"/>
  <c r="N15" i="190"/>
  <c r="M15" i="190"/>
  <c r="L15" i="190"/>
  <c r="K15" i="190"/>
  <c r="B15" i="190"/>
  <c r="B14" i="190"/>
  <c r="I16" i="190" s="1"/>
  <c r="E7" i="190"/>
  <c r="B18" i="191" s="1"/>
  <c r="E3" i="190"/>
  <c r="E6" i="190" s="1"/>
  <c r="B17" i="191" s="1"/>
  <c r="C3" i="189"/>
  <c r="C2" i="189"/>
  <c r="C1" i="189"/>
  <c r="I27" i="188"/>
  <c r="B27" i="188"/>
  <c r="B21" i="188"/>
  <c r="I7" i="188"/>
  <c r="C7" i="189" s="1"/>
  <c r="I6" i="188"/>
  <c r="C6" i="189" s="1"/>
  <c r="I5" i="188"/>
  <c r="C5" i="189" s="1"/>
  <c r="I4" i="188"/>
  <c r="C4" i="189" s="1"/>
  <c r="I3" i="188"/>
  <c r="Q35" i="186"/>
  <c r="S35" i="186" s="1" a="1"/>
  <c r="S35" i="186" s="1"/>
  <c r="B40" i="187" s="1"/>
  <c r="R35" i="186"/>
  <c r="Q36" i="186"/>
  <c r="S36" i="186" s="1" a="1"/>
  <c r="S36" i="186" s="1"/>
  <c r="B41" i="187" s="1"/>
  <c r="R36" i="186"/>
  <c r="Q37" i="186"/>
  <c r="S37" i="186" s="1" a="1"/>
  <c r="S37" i="186" s="1"/>
  <c r="B42" i="187" s="1"/>
  <c r="R37" i="186"/>
  <c r="Q18" i="186"/>
  <c r="S18" i="186" s="1" a="1"/>
  <c r="S18" i="186" s="1"/>
  <c r="B23" i="187" s="1"/>
  <c r="R18" i="186"/>
  <c r="Q19" i="186"/>
  <c r="R19" i="186"/>
  <c r="S19" i="186" a="1"/>
  <c r="S19" i="186" s="1"/>
  <c r="B24" i="187" s="1"/>
  <c r="Q20" i="186"/>
  <c r="S20" i="186" s="1" a="1"/>
  <c r="S20" i="186" s="1"/>
  <c r="B25" i="187" s="1"/>
  <c r="R20" i="186"/>
  <c r="Q21" i="186"/>
  <c r="R21" i="186"/>
  <c r="Q22" i="186"/>
  <c r="S22" i="186" s="1" a="1"/>
  <c r="S22" i="186" s="1"/>
  <c r="B27" i="187" s="1"/>
  <c r="R22" i="186"/>
  <c r="Q23" i="186"/>
  <c r="S23" i="186" s="1" a="1"/>
  <c r="S23" i="186" s="1"/>
  <c r="B28" i="187" s="1"/>
  <c r="R23" i="186"/>
  <c r="Q24" i="186"/>
  <c r="S24" i="186" s="1" a="1"/>
  <c r="S24" i="186" s="1"/>
  <c r="B29" i="187" s="1"/>
  <c r="R24" i="186"/>
  <c r="Q25" i="186"/>
  <c r="R25" i="186"/>
  <c r="S25" i="186" a="1"/>
  <c r="S25" i="186" s="1"/>
  <c r="B30" i="187" s="1"/>
  <c r="Q26" i="186"/>
  <c r="S26" i="186" s="1" a="1"/>
  <c r="S26" i="186" s="1"/>
  <c r="B31" i="187" s="1"/>
  <c r="R26" i="186"/>
  <c r="Q27" i="186"/>
  <c r="R27" i="186"/>
  <c r="Q28" i="186"/>
  <c r="S28" i="186" s="1" a="1"/>
  <c r="S28" i="186" s="1"/>
  <c r="B33" i="187" s="1"/>
  <c r="R28" i="186"/>
  <c r="Q29" i="186"/>
  <c r="R29" i="186"/>
  <c r="S29" i="186" a="1"/>
  <c r="S29" i="186" s="1"/>
  <c r="B34" i="187" s="1"/>
  <c r="Q30" i="186"/>
  <c r="S30" i="186" s="1" a="1"/>
  <c r="S30" i="186" s="1"/>
  <c r="B35" i="187" s="1"/>
  <c r="R30" i="186"/>
  <c r="Q31" i="186"/>
  <c r="R31" i="186"/>
  <c r="S31" i="186" a="1"/>
  <c r="S31" i="186" s="1"/>
  <c r="B36" i="187" s="1"/>
  <c r="Q32" i="186"/>
  <c r="S32" i="186" s="1" a="1"/>
  <c r="S32" i="186" s="1"/>
  <c r="B37" i="187" s="1"/>
  <c r="R32" i="186"/>
  <c r="Q33" i="186"/>
  <c r="R33" i="186"/>
  <c r="S33" i="186" a="1"/>
  <c r="S33" i="186" s="1"/>
  <c r="B38" i="187" s="1"/>
  <c r="Q34" i="186"/>
  <c r="S34" i="186" s="1" a="1"/>
  <c r="S34" i="186" s="1"/>
  <c r="B39" i="187" s="1"/>
  <c r="R34" i="186"/>
  <c r="Q16" i="186"/>
  <c r="S16" i="186" s="1" a="1"/>
  <c r="S16" i="186" s="1"/>
  <c r="B21" i="187" s="1"/>
  <c r="R16" i="186"/>
  <c r="Q17" i="186"/>
  <c r="S17" i="186" s="1" a="1"/>
  <c r="S17" i="186" s="1"/>
  <c r="B22" i="187" s="1"/>
  <c r="R17" i="186"/>
  <c r="J17" i="186"/>
  <c r="K17" i="186"/>
  <c r="L17" i="186"/>
  <c r="M17" i="186"/>
  <c r="N17" i="186"/>
  <c r="C11" i="185"/>
  <c r="C12" i="185"/>
  <c r="C13" i="185"/>
  <c r="C14" i="185"/>
  <c r="I9" i="184"/>
  <c r="C9" i="185" s="1"/>
  <c r="I10" i="184"/>
  <c r="C10" i="185" s="1"/>
  <c r="I11" i="184"/>
  <c r="I12" i="184"/>
  <c r="I13" i="184"/>
  <c r="I14" i="184"/>
  <c r="I6" i="184"/>
  <c r="C6" i="185" s="1"/>
  <c r="B15" i="187"/>
  <c r="B13" i="187"/>
  <c r="B12" i="187"/>
  <c r="B9" i="187"/>
  <c r="B8" i="187"/>
  <c r="B4" i="187"/>
  <c r="N45" i="186"/>
  <c r="N44" i="186"/>
  <c r="N43" i="186"/>
  <c r="N42" i="186"/>
  <c r="N41" i="186"/>
  <c r="N40" i="186"/>
  <c r="N39" i="186"/>
  <c r="R38" i="186"/>
  <c r="Q38" i="186"/>
  <c r="N38" i="186"/>
  <c r="N37" i="186"/>
  <c r="N36" i="186"/>
  <c r="N35" i="186"/>
  <c r="N34" i="186"/>
  <c r="N33" i="186"/>
  <c r="N32" i="186"/>
  <c r="N31" i="186"/>
  <c r="N30" i="186"/>
  <c r="N29" i="186"/>
  <c r="N28" i="186"/>
  <c r="N27" i="186"/>
  <c r="N26" i="186"/>
  <c r="N25" i="186"/>
  <c r="N24" i="186"/>
  <c r="N23" i="186"/>
  <c r="N22" i="186"/>
  <c r="N21" i="186"/>
  <c r="N20" i="186"/>
  <c r="N19" i="186"/>
  <c r="C17" i="186"/>
  <c r="B17" i="186"/>
  <c r="N16" i="186"/>
  <c r="M16" i="186"/>
  <c r="L16" i="186"/>
  <c r="K16" i="186"/>
  <c r="C16" i="186"/>
  <c r="J16" i="186" s="1"/>
  <c r="B16" i="186"/>
  <c r="R15" i="186"/>
  <c r="Q15" i="186"/>
  <c r="N15" i="186"/>
  <c r="M15" i="186"/>
  <c r="L15" i="186"/>
  <c r="K15" i="186"/>
  <c r="C15" i="186"/>
  <c r="J15" i="186" s="1"/>
  <c r="B15" i="186"/>
  <c r="B14" i="186"/>
  <c r="E7" i="186"/>
  <c r="B18" i="187" s="1"/>
  <c r="E3" i="186"/>
  <c r="B14" i="187" s="1"/>
  <c r="C4" i="185"/>
  <c r="C3" i="185"/>
  <c r="C2" i="185"/>
  <c r="C1" i="185"/>
  <c r="I29" i="184"/>
  <c r="B29" i="184"/>
  <c r="I28" i="184"/>
  <c r="B28" i="184"/>
  <c r="I27" i="184"/>
  <c r="B27" i="184"/>
  <c r="B21" i="184"/>
  <c r="I8" i="184"/>
  <c r="C8" i="185" s="1"/>
  <c r="I7" i="184"/>
  <c r="C7" i="185" s="1"/>
  <c r="I5" i="184"/>
  <c r="C5" i="185" s="1"/>
  <c r="I4" i="184"/>
  <c r="I3" i="184"/>
  <c r="B21" i="183"/>
  <c r="B22" i="183"/>
  <c r="B23" i="183"/>
  <c r="B24" i="183"/>
  <c r="B25" i="183"/>
  <c r="B26" i="183"/>
  <c r="B27" i="183"/>
  <c r="B28" i="183"/>
  <c r="B29" i="183"/>
  <c r="B30" i="183"/>
  <c r="B31" i="183"/>
  <c r="B32" i="183"/>
  <c r="B33" i="183"/>
  <c r="B34" i="183"/>
  <c r="B35" i="183"/>
  <c r="B36" i="183"/>
  <c r="B37" i="183"/>
  <c r="B38" i="183"/>
  <c r="B39" i="183"/>
  <c r="B40" i="183"/>
  <c r="B41" i="183"/>
  <c r="B42" i="183"/>
  <c r="B43" i="183"/>
  <c r="B44" i="183"/>
  <c r="B45" i="183"/>
  <c r="B46" i="183"/>
  <c r="B47" i="183"/>
  <c r="B48" i="183"/>
  <c r="B49" i="183"/>
  <c r="B50" i="183"/>
  <c r="B51" i="183"/>
  <c r="B52" i="183"/>
  <c r="B53" i="183"/>
  <c r="B54" i="183"/>
  <c r="B55" i="183"/>
  <c r="N22" i="182"/>
  <c r="N23" i="182"/>
  <c r="N24" i="182"/>
  <c r="N25" i="182"/>
  <c r="N26" i="182"/>
  <c r="N27" i="182"/>
  <c r="N28" i="182"/>
  <c r="N29" i="182"/>
  <c r="N30" i="182"/>
  <c r="N31" i="182"/>
  <c r="N32" i="182"/>
  <c r="N33" i="182"/>
  <c r="N34" i="182"/>
  <c r="N35" i="182"/>
  <c r="N36" i="182"/>
  <c r="N37" i="182"/>
  <c r="N38" i="182"/>
  <c r="N39" i="182"/>
  <c r="N40" i="182"/>
  <c r="N41" i="182"/>
  <c r="N42" i="182"/>
  <c r="N43" i="182"/>
  <c r="N44" i="182"/>
  <c r="N45" i="182"/>
  <c r="N46" i="182"/>
  <c r="N17" i="182"/>
  <c r="N18" i="182"/>
  <c r="N19" i="182"/>
  <c r="N20" i="182"/>
  <c r="N21" i="182"/>
  <c r="C11" i="181"/>
  <c r="C12" i="181"/>
  <c r="C13" i="181"/>
  <c r="C14" i="181"/>
  <c r="I9" i="180"/>
  <c r="C9" i="181" s="1"/>
  <c r="I10" i="180"/>
  <c r="C10" i="181" s="1"/>
  <c r="I11" i="180"/>
  <c r="I12" i="180"/>
  <c r="I13" i="180"/>
  <c r="I14" i="180"/>
  <c r="I6" i="180"/>
  <c r="C6" i="181" s="1"/>
  <c r="B15" i="183"/>
  <c r="B13" i="183"/>
  <c r="B12" i="183"/>
  <c r="B9" i="183"/>
  <c r="B8" i="183"/>
  <c r="B4" i="183"/>
  <c r="R46" i="182"/>
  <c r="Q46" i="182"/>
  <c r="S46" i="182" s="1" a="1"/>
  <c r="S46" i="182" s="1"/>
  <c r="R45" i="182"/>
  <c r="Q45" i="182"/>
  <c r="S45" i="182" s="1" a="1"/>
  <c r="S45" i="182" s="1"/>
  <c r="R44" i="182"/>
  <c r="Q44" i="182"/>
  <c r="R43" i="182"/>
  <c r="Q43" i="182"/>
  <c r="S43" i="182" s="1" a="1"/>
  <c r="S43" i="182" s="1"/>
  <c r="R42" i="182"/>
  <c r="Q42" i="182"/>
  <c r="S42" i="182" s="1" a="1"/>
  <c r="S42" i="182" s="1"/>
  <c r="R41" i="182"/>
  <c r="Q41" i="182"/>
  <c r="R40" i="182"/>
  <c r="Q40" i="182"/>
  <c r="R39" i="182"/>
  <c r="Q39" i="182"/>
  <c r="R38" i="182"/>
  <c r="Q38" i="182"/>
  <c r="R37" i="182"/>
  <c r="Q37" i="182"/>
  <c r="S37" i="182" s="1" a="1"/>
  <c r="S37" i="182" s="1"/>
  <c r="R36" i="182"/>
  <c r="Q36" i="182"/>
  <c r="S36" i="182" s="1" a="1"/>
  <c r="S36" i="182" s="1"/>
  <c r="R35" i="182"/>
  <c r="Q35" i="182"/>
  <c r="R34" i="182"/>
  <c r="Q34" i="182"/>
  <c r="R33" i="182"/>
  <c r="Q33" i="182"/>
  <c r="R32" i="182"/>
  <c r="Q32" i="182"/>
  <c r="R31" i="182"/>
  <c r="Q31" i="182"/>
  <c r="R30" i="182"/>
  <c r="Q30" i="182"/>
  <c r="S30" i="182" s="1" a="1"/>
  <c r="S30" i="182" s="1"/>
  <c r="R29" i="182"/>
  <c r="Q29" i="182"/>
  <c r="R28" i="182"/>
  <c r="Q28" i="182"/>
  <c r="R27" i="182"/>
  <c r="Q27" i="182"/>
  <c r="R26" i="182"/>
  <c r="Q26" i="182"/>
  <c r="R25" i="182"/>
  <c r="Q25" i="182"/>
  <c r="R24" i="182"/>
  <c r="Q24" i="182"/>
  <c r="R23" i="182"/>
  <c r="Q23" i="182"/>
  <c r="R22" i="182"/>
  <c r="Q22" i="182"/>
  <c r="R21" i="182"/>
  <c r="Q21" i="182"/>
  <c r="R20" i="182"/>
  <c r="Q20" i="182"/>
  <c r="R19" i="182"/>
  <c r="Q19" i="182"/>
  <c r="S19" i="182" s="1" a="1"/>
  <c r="S19" i="182" s="1"/>
  <c r="M19" i="182"/>
  <c r="L19" i="182"/>
  <c r="K19" i="182"/>
  <c r="C19" i="182"/>
  <c r="J19" i="182" s="1"/>
  <c r="B19" i="182"/>
  <c r="R18" i="182"/>
  <c r="Q18" i="182"/>
  <c r="S18" i="182" s="1" a="1"/>
  <c r="S18" i="182" s="1"/>
  <c r="M18" i="182"/>
  <c r="L18" i="182"/>
  <c r="K18" i="182"/>
  <c r="C18" i="182"/>
  <c r="J18" i="182" s="1"/>
  <c r="B18" i="182"/>
  <c r="R17" i="182"/>
  <c r="Q17" i="182"/>
  <c r="M17" i="182"/>
  <c r="L17" i="182"/>
  <c r="K17" i="182"/>
  <c r="C17" i="182"/>
  <c r="J17" i="182" s="1"/>
  <c r="B17" i="182"/>
  <c r="R16" i="182"/>
  <c r="Q16" i="182"/>
  <c r="N16" i="182"/>
  <c r="M16" i="182"/>
  <c r="L16" i="182"/>
  <c r="K16" i="182"/>
  <c r="C16" i="182"/>
  <c r="J16" i="182" s="1"/>
  <c r="B16" i="182"/>
  <c r="R15" i="182"/>
  <c r="Q15" i="182"/>
  <c r="N15" i="182"/>
  <c r="M15" i="182"/>
  <c r="L15" i="182"/>
  <c r="K15" i="182"/>
  <c r="C15" i="182"/>
  <c r="J15" i="182" s="1"/>
  <c r="B15" i="182"/>
  <c r="B14" i="182"/>
  <c r="E7" i="182"/>
  <c r="B18" i="183" s="1"/>
  <c r="E3" i="182"/>
  <c r="E6" i="182" s="1"/>
  <c r="B17" i="183" s="1"/>
  <c r="C3" i="181"/>
  <c r="C2" i="181"/>
  <c r="C1" i="181"/>
  <c r="I30" i="180"/>
  <c r="B30" i="180"/>
  <c r="I29" i="180"/>
  <c r="B29" i="180"/>
  <c r="I28" i="180"/>
  <c r="B28" i="180"/>
  <c r="I27" i="180"/>
  <c r="B27" i="180"/>
  <c r="B21" i="180"/>
  <c r="I8" i="180"/>
  <c r="C8" i="181" s="1"/>
  <c r="I7" i="180"/>
  <c r="C7" i="181" s="1"/>
  <c r="I5" i="180"/>
  <c r="C5" i="181" s="1"/>
  <c r="I4" i="180"/>
  <c r="C4" i="181" s="1"/>
  <c r="I3" i="180"/>
  <c r="B40" i="137"/>
  <c r="C40" i="137"/>
  <c r="L35" i="108"/>
  <c r="A40" i="107"/>
  <c r="B41" i="137"/>
  <c r="C41" i="137"/>
  <c r="B42" i="137"/>
  <c r="C42" i="137"/>
  <c r="J10" i="108"/>
  <c r="G33" i="108"/>
  <c r="A41" i="107"/>
  <c r="Q16" i="178"/>
  <c r="S16" i="178" s="1" a="1"/>
  <c r="S16" i="178" s="1"/>
  <c r="B20" i="179" s="1"/>
  <c r="R16" i="178"/>
  <c r="Q17" i="178"/>
  <c r="R17" i="178"/>
  <c r="S17" i="178" a="1"/>
  <c r="S17" i="178" s="1"/>
  <c r="B21" i="179" s="1"/>
  <c r="Q18" i="178"/>
  <c r="S18" i="178" s="1" a="1"/>
  <c r="S18" i="178" s="1"/>
  <c r="B22" i="179" s="1"/>
  <c r="R18" i="178"/>
  <c r="Q19" i="178"/>
  <c r="R19" i="178"/>
  <c r="S19" i="178" a="1"/>
  <c r="S19" i="178" s="1"/>
  <c r="B23" i="179" s="1"/>
  <c r="Q20" i="178"/>
  <c r="S20" i="178" s="1" a="1"/>
  <c r="S20" i="178" s="1"/>
  <c r="B24" i="179" s="1"/>
  <c r="R20" i="178"/>
  <c r="Q21" i="178"/>
  <c r="R21" i="178"/>
  <c r="Q22" i="178"/>
  <c r="S22" i="178" s="1" a="1"/>
  <c r="S22" i="178" s="1"/>
  <c r="B26" i="179" s="1"/>
  <c r="R22" i="178"/>
  <c r="Q23" i="178"/>
  <c r="R23" i="178"/>
  <c r="S23" i="178" a="1"/>
  <c r="S23" i="178" s="1"/>
  <c r="B27" i="179" s="1"/>
  <c r="Q24" i="178"/>
  <c r="S24" i="178" s="1" a="1"/>
  <c r="S24" i="178" s="1"/>
  <c r="B28" i="179" s="1"/>
  <c r="R24" i="178"/>
  <c r="Q25" i="178"/>
  <c r="R25" i="178"/>
  <c r="S25" i="178" a="1"/>
  <c r="S25" i="178" s="1"/>
  <c r="B29" i="179" s="1"/>
  <c r="Q26" i="178"/>
  <c r="S26" i="178" s="1" a="1"/>
  <c r="S26" i="178" s="1"/>
  <c r="B30" i="179" s="1"/>
  <c r="R26" i="178"/>
  <c r="Q27" i="178"/>
  <c r="R27" i="178"/>
  <c r="Q28" i="178"/>
  <c r="S28" i="178" s="1" a="1"/>
  <c r="S28" i="178" s="1"/>
  <c r="B32" i="179" s="1"/>
  <c r="R28" i="178"/>
  <c r="Q29" i="178"/>
  <c r="R29" i="178"/>
  <c r="S29" i="178" a="1"/>
  <c r="S29" i="178" s="1"/>
  <c r="B33" i="179" s="1"/>
  <c r="Q30" i="178"/>
  <c r="S30" i="178" s="1" a="1"/>
  <c r="S30" i="178" s="1"/>
  <c r="B34" i="179" s="1"/>
  <c r="R30" i="178"/>
  <c r="Q31" i="178"/>
  <c r="R31" i="178"/>
  <c r="S31" i="178" a="1"/>
  <c r="S31" i="178" s="1"/>
  <c r="B35" i="179" s="1"/>
  <c r="Q32" i="178"/>
  <c r="S32" i="178" s="1" a="1"/>
  <c r="S32" i="178" s="1"/>
  <c r="B36" i="179" s="1"/>
  <c r="R32" i="178"/>
  <c r="Q33" i="178"/>
  <c r="R33" i="178"/>
  <c r="S33" i="178" a="1"/>
  <c r="S33" i="178" s="1"/>
  <c r="B37" i="179" s="1"/>
  <c r="Q34" i="178"/>
  <c r="S34" i="178" s="1" a="1"/>
  <c r="S34" i="178" s="1"/>
  <c r="B38" i="179" s="1"/>
  <c r="R34" i="178"/>
  <c r="Q35" i="178"/>
  <c r="R35" i="178"/>
  <c r="S35" i="178" a="1"/>
  <c r="S35" i="178" s="1"/>
  <c r="B39" i="179" s="1"/>
  <c r="Q36" i="178"/>
  <c r="S36" i="178" s="1" a="1"/>
  <c r="S36" i="178" s="1"/>
  <c r="B40" i="179" s="1"/>
  <c r="R36" i="178"/>
  <c r="Q37" i="178"/>
  <c r="R37" i="178"/>
  <c r="S37" i="178" a="1"/>
  <c r="S37" i="178" s="1"/>
  <c r="B41" i="179" s="1"/>
  <c r="Q38" i="178"/>
  <c r="S38" i="178" s="1" a="1"/>
  <c r="S38" i="178" s="1"/>
  <c r="B42" i="179" s="1"/>
  <c r="R38" i="178"/>
  <c r="Q39" i="178"/>
  <c r="R39" i="178"/>
  <c r="S39" i="178" a="1"/>
  <c r="S39" i="178" s="1"/>
  <c r="B43" i="179" s="1"/>
  <c r="Q40" i="178"/>
  <c r="S40" i="178" s="1" a="1"/>
  <c r="S40" i="178" s="1"/>
  <c r="B44" i="179" s="1"/>
  <c r="R40" i="178"/>
  <c r="Q41" i="178"/>
  <c r="R41" i="178"/>
  <c r="S41" i="178" a="1"/>
  <c r="S41" i="178" s="1"/>
  <c r="B45" i="179" s="1"/>
  <c r="Q42" i="178"/>
  <c r="S42" i="178" s="1" a="1"/>
  <c r="S42" i="178" s="1"/>
  <c r="B46" i="179" s="1"/>
  <c r="R42" i="178"/>
  <c r="Q43" i="178"/>
  <c r="R43" i="178"/>
  <c r="S43" i="178" a="1"/>
  <c r="S43" i="178" s="1"/>
  <c r="B47" i="179" s="1"/>
  <c r="Q44" i="178"/>
  <c r="S44" i="178" s="1" a="1"/>
  <c r="S44" i="178" s="1"/>
  <c r="B48" i="179" s="1"/>
  <c r="R44" i="178"/>
  <c r="Q45" i="178"/>
  <c r="R45" i="178"/>
  <c r="S45" i="178" a="1"/>
  <c r="S45" i="178" s="1"/>
  <c r="B49" i="179" s="1"/>
  <c r="Q46" i="178"/>
  <c r="S46" i="178" s="1" a="1"/>
  <c r="S46" i="178" s="1"/>
  <c r="B50" i="179" s="1"/>
  <c r="R46" i="178"/>
  <c r="Q47" i="178"/>
  <c r="R47" i="178"/>
  <c r="S47" i="178" a="1"/>
  <c r="S47" i="178" s="1"/>
  <c r="B51" i="179" s="1"/>
  <c r="Q48" i="178"/>
  <c r="S48" i="178" s="1" a="1"/>
  <c r="S48" i="178" s="1"/>
  <c r="R48" i="178"/>
  <c r="Q49" i="178"/>
  <c r="R49" i="178"/>
  <c r="S49" i="178" a="1"/>
  <c r="S49" i="178" s="1"/>
  <c r="Q50" i="178"/>
  <c r="S50" i="178" s="1" a="1"/>
  <c r="S50" i="178" s="1"/>
  <c r="R50" i="178"/>
  <c r="Q51" i="178"/>
  <c r="R51" i="178"/>
  <c r="S51" i="178" a="1"/>
  <c r="S51" i="178" s="1"/>
  <c r="Q52" i="178"/>
  <c r="S52" i="178" s="1" a="1"/>
  <c r="S52" i="178" s="1"/>
  <c r="R52" i="178"/>
  <c r="I16" i="178"/>
  <c r="S21" i="178" s="1" a="1"/>
  <c r="S21" i="178" s="1"/>
  <c r="B25" i="179" s="1"/>
  <c r="J16" i="178"/>
  <c r="K16" i="178"/>
  <c r="L16" i="178"/>
  <c r="M16" i="178"/>
  <c r="N16" i="178"/>
  <c r="J17" i="178"/>
  <c r="K17" i="178"/>
  <c r="L17" i="178"/>
  <c r="M17" i="178"/>
  <c r="N17" i="178"/>
  <c r="C9" i="177"/>
  <c r="C11" i="177"/>
  <c r="C12" i="177"/>
  <c r="C13" i="177"/>
  <c r="C14" i="177"/>
  <c r="I8" i="176"/>
  <c r="C8" i="177" s="1"/>
  <c r="A42" i="107"/>
  <c r="A34" i="107"/>
  <c r="B17" i="179"/>
  <c r="B15" i="179"/>
  <c r="B13" i="179"/>
  <c r="B12" i="179"/>
  <c r="B9" i="179"/>
  <c r="B8" i="179"/>
  <c r="B4" i="179"/>
  <c r="B17" i="178"/>
  <c r="I17" i="178" s="1"/>
  <c r="S27" i="178" s="1" a="1"/>
  <c r="S27" i="178" s="1"/>
  <c r="B31" i="179" s="1"/>
  <c r="B16" i="178"/>
  <c r="R15" i="178"/>
  <c r="Q15" i="178"/>
  <c r="N15" i="178"/>
  <c r="M15" i="178"/>
  <c r="L15" i="178"/>
  <c r="K15" i="178"/>
  <c r="B15" i="178"/>
  <c r="B14" i="178"/>
  <c r="E3" i="178"/>
  <c r="B14" i="179" s="1"/>
  <c r="C2" i="177"/>
  <c r="C1" i="177"/>
  <c r="I23" i="176"/>
  <c r="B23" i="176"/>
  <c r="I22" i="176"/>
  <c r="B22" i="176"/>
  <c r="I21" i="176"/>
  <c r="B21" i="176"/>
  <c r="B20" i="176"/>
  <c r="I14" i="176"/>
  <c r="I13" i="176"/>
  <c r="I12" i="176"/>
  <c r="I11" i="176"/>
  <c r="I7" i="176"/>
  <c r="C7" i="177" s="1"/>
  <c r="I6" i="176"/>
  <c r="C6" i="177" s="1"/>
  <c r="I5" i="176"/>
  <c r="C5" i="177" s="1"/>
  <c r="I4" i="176"/>
  <c r="C4" i="177" s="1"/>
  <c r="I3" i="176"/>
  <c r="C3" i="177" s="1"/>
  <c r="G29" i="108"/>
  <c r="G49" i="108"/>
  <c r="B45" i="165"/>
  <c r="B33" i="165"/>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20" i="162"/>
  <c r="S20" i="162" s="1" a="1"/>
  <c r="S20" i="162" s="1"/>
  <c r="B24" i="165" s="1"/>
  <c r="R20" i="162"/>
  <c r="Q21" i="162"/>
  <c r="R21" i="162"/>
  <c r="Q22" i="162"/>
  <c r="S22" i="162" s="1" a="1"/>
  <c r="S22" i="162" s="1"/>
  <c r="B26" i="165" s="1"/>
  <c r="R22" i="162"/>
  <c r="Q23" i="162"/>
  <c r="S23" i="162" s="1" a="1"/>
  <c r="S23" i="162" s="1"/>
  <c r="B27" i="165" s="1"/>
  <c r="R23" i="162"/>
  <c r="Q24" i="162"/>
  <c r="S24" i="162" s="1" a="1"/>
  <c r="S24" i="162" s="1"/>
  <c r="B28" i="165" s="1"/>
  <c r="R24" i="162"/>
  <c r="Q25" i="162"/>
  <c r="S25" i="162" s="1" a="1"/>
  <c r="S25" i="162" s="1"/>
  <c r="B29" i="165" s="1"/>
  <c r="R25" i="162"/>
  <c r="Q26" i="162"/>
  <c r="S26" i="162" s="1" a="1"/>
  <c r="S26" i="162" s="1"/>
  <c r="B30" i="165" s="1"/>
  <c r="R26" i="162"/>
  <c r="Q27" i="162"/>
  <c r="R27" i="162"/>
  <c r="Q28" i="162"/>
  <c r="S28" i="162" s="1" a="1"/>
  <c r="S28" i="162" s="1"/>
  <c r="B32" i="165" s="1"/>
  <c r="R28" i="162"/>
  <c r="Q29" i="162"/>
  <c r="S29" i="162" s="1" a="1"/>
  <c r="S29" i="162" s="1"/>
  <c r="R29" i="162"/>
  <c r="Q30" i="162"/>
  <c r="S30" i="162" s="1" a="1"/>
  <c r="S30" i="162" s="1"/>
  <c r="B34" i="165" s="1"/>
  <c r="R30" i="162"/>
  <c r="Q31" i="162"/>
  <c r="S31" i="162" s="1" a="1"/>
  <c r="S31" i="162" s="1"/>
  <c r="B35" i="165" s="1"/>
  <c r="R31" i="162"/>
  <c r="Q32" i="162"/>
  <c r="S32" i="162" s="1" a="1"/>
  <c r="S32" i="162" s="1"/>
  <c r="B36" i="165" s="1"/>
  <c r="R32" i="162"/>
  <c r="Q33" i="162"/>
  <c r="R33" i="162"/>
  <c r="Q34" i="162"/>
  <c r="S34" i="162" s="1" a="1"/>
  <c r="S34" i="162" s="1"/>
  <c r="B38" i="165" s="1"/>
  <c r="R34" i="162"/>
  <c r="Q35" i="162"/>
  <c r="S35" i="162" s="1" a="1"/>
  <c r="S35" i="162" s="1"/>
  <c r="B39" i="165" s="1"/>
  <c r="R35" i="162"/>
  <c r="Q16" i="162"/>
  <c r="S16" i="162" s="1" a="1"/>
  <c r="S16" i="162" s="1"/>
  <c r="R16" i="162"/>
  <c r="Q17" i="162"/>
  <c r="R17" i="162"/>
  <c r="S17" i="162" a="1"/>
  <c r="S17" i="162" s="1"/>
  <c r="Q18" i="162"/>
  <c r="S18" i="162" s="1" a="1"/>
  <c r="S18" i="162" s="1"/>
  <c r="R18" i="162"/>
  <c r="Q19" i="162"/>
  <c r="R19" i="162"/>
  <c r="S19" i="162" a="1"/>
  <c r="S19" i="162" s="1"/>
  <c r="B23" i="165" s="1"/>
  <c r="J16" i="162"/>
  <c r="K16" i="162"/>
  <c r="L16" i="162"/>
  <c r="M16" i="162"/>
  <c r="N16" i="162"/>
  <c r="J17" i="162"/>
  <c r="K17" i="162"/>
  <c r="L17" i="162"/>
  <c r="M17" i="162"/>
  <c r="N17" i="162"/>
  <c r="J18" i="162"/>
  <c r="K18" i="162"/>
  <c r="L18" i="162"/>
  <c r="M18" i="162"/>
  <c r="N18" i="162"/>
  <c r="I13" i="131"/>
  <c r="I14" i="131"/>
  <c r="I15" i="131"/>
  <c r="C9" i="133"/>
  <c r="C10" i="133"/>
  <c r="C11" i="133"/>
  <c r="C12" i="133"/>
  <c r="C13" i="133"/>
  <c r="C14" i="133"/>
  <c r="C15" i="162"/>
  <c r="B16" i="162"/>
  <c r="C16" i="162"/>
  <c r="B17" i="162"/>
  <c r="C17" i="162"/>
  <c r="B18" i="162"/>
  <c r="C18" i="162"/>
  <c r="B59" i="137"/>
  <c r="C59" i="137"/>
  <c r="A91" i="107"/>
  <c r="B25" i="168"/>
  <c r="B94" i="171"/>
  <c r="Q30" i="168"/>
  <c r="R30" i="168"/>
  <c r="Q31" i="168"/>
  <c r="R31" i="168"/>
  <c r="Q32" i="168"/>
  <c r="R32" i="168"/>
  <c r="Q33" i="168"/>
  <c r="R33" i="168"/>
  <c r="Q34" i="168"/>
  <c r="R34" i="168"/>
  <c r="Q35" i="168"/>
  <c r="R35" i="168"/>
  <c r="Q36" i="168"/>
  <c r="R36" i="168"/>
  <c r="Q37" i="168"/>
  <c r="R37" i="168"/>
  <c r="Q38" i="168"/>
  <c r="R38" i="168"/>
  <c r="Q39" i="168"/>
  <c r="R39" i="168"/>
  <c r="Q40" i="168"/>
  <c r="R40" i="168"/>
  <c r="Q41" i="168"/>
  <c r="R41" i="168"/>
  <c r="Q42" i="168"/>
  <c r="R42" i="168"/>
  <c r="Q43" i="168"/>
  <c r="R43" i="168"/>
  <c r="Q44" i="168"/>
  <c r="R44" i="168"/>
  <c r="Q45" i="168"/>
  <c r="R45" i="168"/>
  <c r="Q46" i="168"/>
  <c r="R46" i="168"/>
  <c r="Q47" i="168"/>
  <c r="R47" i="168"/>
  <c r="Q48" i="168"/>
  <c r="R48" i="168"/>
  <c r="Q49" i="168"/>
  <c r="R49" i="168"/>
  <c r="Q50" i="168"/>
  <c r="R50" i="168"/>
  <c r="Q51" i="168"/>
  <c r="R51" i="168"/>
  <c r="Q52" i="168"/>
  <c r="R52" i="168"/>
  <c r="Q53" i="168"/>
  <c r="R53" i="168"/>
  <c r="Q54" i="168"/>
  <c r="R54" i="168"/>
  <c r="Q55" i="168"/>
  <c r="R55" i="168"/>
  <c r="Q56" i="168"/>
  <c r="R56" i="168"/>
  <c r="Q57" i="168"/>
  <c r="R57" i="168"/>
  <c r="Q58" i="168"/>
  <c r="R58" i="168"/>
  <c r="Q59" i="168"/>
  <c r="R59" i="168"/>
  <c r="Q60" i="168"/>
  <c r="R60" i="168"/>
  <c r="Q61" i="168"/>
  <c r="R61" i="168"/>
  <c r="Q62" i="168"/>
  <c r="R62" i="168"/>
  <c r="Q63" i="168"/>
  <c r="R63" i="168"/>
  <c r="Q64" i="168"/>
  <c r="R64" i="168"/>
  <c r="Q65" i="168"/>
  <c r="R65" i="168"/>
  <c r="Q66" i="168"/>
  <c r="R66" i="168"/>
  <c r="Q67" i="168"/>
  <c r="R67" i="168"/>
  <c r="Q68" i="168"/>
  <c r="R68" i="168"/>
  <c r="Q69" i="168"/>
  <c r="R69" i="168"/>
  <c r="Q70" i="168"/>
  <c r="R70" i="168"/>
  <c r="Q71" i="168"/>
  <c r="R71" i="168"/>
  <c r="Q72" i="168"/>
  <c r="R72" i="168"/>
  <c r="Q73" i="168"/>
  <c r="R73" i="168"/>
  <c r="Q74" i="168"/>
  <c r="R74" i="168"/>
  <c r="Q75" i="168"/>
  <c r="R75" i="168"/>
  <c r="Q76" i="168"/>
  <c r="R76" i="168"/>
  <c r="Q77" i="168"/>
  <c r="R77" i="168"/>
  <c r="Q78" i="168"/>
  <c r="S78" i="168" s="1" a="1"/>
  <c r="S78" i="168" s="1"/>
  <c r="B85" i="171" s="1"/>
  <c r="R78" i="168"/>
  <c r="Q79" i="168"/>
  <c r="R79" i="168"/>
  <c r="Q80" i="168"/>
  <c r="R80" i="168"/>
  <c r="Q81" i="168"/>
  <c r="R81" i="168"/>
  <c r="Q82" i="168"/>
  <c r="S82" i="168" s="1" a="1"/>
  <c r="S82" i="168" s="1"/>
  <c r="B89" i="171" s="1"/>
  <c r="R82" i="168"/>
  <c r="Q83" i="168"/>
  <c r="R83" i="168"/>
  <c r="Q84" i="168"/>
  <c r="R84" i="168"/>
  <c r="Q85" i="168"/>
  <c r="R85" i="168"/>
  <c r="Q86" i="168"/>
  <c r="S86" i="168" s="1" a="1"/>
  <c r="S86" i="168" s="1"/>
  <c r="B93" i="171" s="1"/>
  <c r="R86" i="168"/>
  <c r="Q16" i="168"/>
  <c r="R16" i="168"/>
  <c r="Q17" i="168"/>
  <c r="R17" i="168"/>
  <c r="Q18" i="168"/>
  <c r="R18" i="168"/>
  <c r="Q19" i="168"/>
  <c r="R19" i="168"/>
  <c r="Q20" i="168"/>
  <c r="R20" i="168"/>
  <c r="Q21" i="168"/>
  <c r="R21" i="168"/>
  <c r="Q22" i="168"/>
  <c r="R22" i="168"/>
  <c r="Q23" i="168"/>
  <c r="R23" i="168"/>
  <c r="Q24" i="168"/>
  <c r="R24" i="168"/>
  <c r="Q25" i="168"/>
  <c r="R25" i="168"/>
  <c r="Q26" i="168"/>
  <c r="R26" i="168"/>
  <c r="Q27" i="168"/>
  <c r="R27" i="168"/>
  <c r="Q28" i="168"/>
  <c r="R28" i="168"/>
  <c r="Q29" i="168"/>
  <c r="R29" i="168"/>
  <c r="K25" i="168"/>
  <c r="L25" i="168"/>
  <c r="M25" i="168"/>
  <c r="N25" i="168"/>
  <c r="K22" i="168"/>
  <c r="L22" i="168"/>
  <c r="M22" i="168"/>
  <c r="N22" i="168"/>
  <c r="K23" i="168"/>
  <c r="L23" i="168"/>
  <c r="M23" i="168"/>
  <c r="N23" i="168"/>
  <c r="K24" i="168"/>
  <c r="L24" i="168"/>
  <c r="M24" i="168"/>
  <c r="N24" i="168"/>
  <c r="K20" i="168"/>
  <c r="L20" i="168"/>
  <c r="M20" i="168"/>
  <c r="N20" i="168"/>
  <c r="K21" i="168"/>
  <c r="L21" i="168"/>
  <c r="M21" i="168"/>
  <c r="N21" i="168"/>
  <c r="K17" i="168"/>
  <c r="L17" i="168"/>
  <c r="M17" i="168"/>
  <c r="N17" i="168"/>
  <c r="K18" i="168"/>
  <c r="L18" i="168"/>
  <c r="M18" i="168"/>
  <c r="N18" i="168"/>
  <c r="K19" i="168"/>
  <c r="L19" i="168"/>
  <c r="M19" i="168"/>
  <c r="N19" i="168"/>
  <c r="K16" i="168"/>
  <c r="L16" i="168"/>
  <c r="M16" i="168"/>
  <c r="N16" i="168"/>
  <c r="B23" i="168"/>
  <c r="C23" i="168"/>
  <c r="J23" i="168" s="1"/>
  <c r="B22" i="168"/>
  <c r="C22" i="168"/>
  <c r="J22" i="168" s="1"/>
  <c r="B17" i="168"/>
  <c r="C17" i="168"/>
  <c r="J17" i="168" s="1"/>
  <c r="C9" i="136"/>
  <c r="C10" i="136"/>
  <c r="C11" i="136"/>
  <c r="C12" i="136"/>
  <c r="C13" i="136"/>
  <c r="C14" i="136"/>
  <c r="C15" i="136"/>
  <c r="C16" i="136"/>
  <c r="C17" i="136"/>
  <c r="C18" i="136"/>
  <c r="I9" i="134"/>
  <c r="I10" i="134"/>
  <c r="I11" i="134"/>
  <c r="I12" i="134"/>
  <c r="I13" i="134"/>
  <c r="I14" i="134"/>
  <c r="I15" i="134"/>
  <c r="I16" i="134"/>
  <c r="I17" i="134"/>
  <c r="I18" i="134"/>
  <c r="B62" i="137"/>
  <c r="C62" i="137"/>
  <c r="A102" i="107"/>
  <c r="C18" i="175"/>
  <c r="B18" i="175"/>
  <c r="C17" i="175"/>
  <c r="B17" i="175"/>
  <c r="C16" i="175"/>
  <c r="B16" i="175"/>
  <c r="C15" i="175"/>
  <c r="J15" i="175" s="1"/>
  <c r="B15" i="175"/>
  <c r="B14" i="175"/>
  <c r="E7" i="175"/>
  <c r="B87" i="158" s="1"/>
  <c r="E3" i="175"/>
  <c r="E6" i="175" s="1"/>
  <c r="B86" i="158" s="1"/>
  <c r="Q64" i="157"/>
  <c r="S64" i="157" s="1" a="1"/>
  <c r="S64" i="157" s="1"/>
  <c r="B69" i="158" s="1"/>
  <c r="R64" i="157"/>
  <c r="Q65" i="157"/>
  <c r="R65" i="157"/>
  <c r="Q66" i="157"/>
  <c r="S66" i="157" s="1" a="1"/>
  <c r="S66" i="157" s="1"/>
  <c r="B71" i="158" s="1"/>
  <c r="R66" i="157"/>
  <c r="Q67" i="157"/>
  <c r="R67" i="157"/>
  <c r="Q68" i="157"/>
  <c r="R68" i="157"/>
  <c r="Q69" i="157"/>
  <c r="R69" i="157"/>
  <c r="Q70" i="157"/>
  <c r="S70" i="157" s="1" a="1"/>
  <c r="S70" i="157" s="1"/>
  <c r="B75" i="158" s="1"/>
  <c r="R70" i="157"/>
  <c r="Q71" i="157"/>
  <c r="S71" i="157" s="1" a="1"/>
  <c r="S71" i="157" s="1"/>
  <c r="B76" i="158" s="1"/>
  <c r="R71" i="157"/>
  <c r="Q72" i="157"/>
  <c r="S72" i="157" s="1" a="1"/>
  <c r="S72" i="157" s="1"/>
  <c r="B77" i="158" s="1"/>
  <c r="R72" i="157"/>
  <c r="Q73" i="157"/>
  <c r="S73" i="157" s="1" a="1"/>
  <c r="S73" i="157" s="1"/>
  <c r="B78" i="158" s="1"/>
  <c r="R73" i="157"/>
  <c r="Q74" i="157"/>
  <c r="S74" i="157" s="1" a="1"/>
  <c r="S74" i="157" s="1"/>
  <c r="B79" i="158" s="1"/>
  <c r="R74" i="157"/>
  <c r="Q75" i="157"/>
  <c r="S75" i="157" s="1" a="1"/>
  <c r="S75" i="157" s="1"/>
  <c r="B80" i="158" s="1"/>
  <c r="R75" i="157"/>
  <c r="Q76" i="157"/>
  <c r="S76" i="157" s="1" a="1"/>
  <c r="S76" i="157" s="1"/>
  <c r="B81" i="158" s="1"/>
  <c r="R76" i="157"/>
  <c r="Q77" i="157"/>
  <c r="S77" i="157" s="1" a="1"/>
  <c r="S77" i="157" s="1"/>
  <c r="B82" i="158" s="1"/>
  <c r="R77" i="157"/>
  <c r="Q78" i="157"/>
  <c r="S78" i="157" s="1" a="1"/>
  <c r="S78" i="157" s="1"/>
  <c r="B83" i="158" s="1"/>
  <c r="R78" i="157"/>
  <c r="Q79" i="157"/>
  <c r="S79" i="157" s="1" a="1"/>
  <c r="S79" i="157" s="1"/>
  <c r="R79" i="157"/>
  <c r="Q80" i="157"/>
  <c r="S80" i="157" s="1" a="1"/>
  <c r="S80" i="157" s="1"/>
  <c r="R80" i="157"/>
  <c r="Q81" i="157"/>
  <c r="S81" i="157" s="1" a="1"/>
  <c r="S81" i="157" s="1"/>
  <c r="R81" i="157"/>
  <c r="Q82" i="157"/>
  <c r="S82" i="157" s="1" a="1"/>
  <c r="S82" i="157" s="1"/>
  <c r="R82" i="157"/>
  <c r="Q48" i="157"/>
  <c r="S48" i="157" s="1" a="1"/>
  <c r="S48" i="157" s="1"/>
  <c r="B53" i="158" s="1"/>
  <c r="R48" i="157"/>
  <c r="Q49" i="157"/>
  <c r="R49" i="157"/>
  <c r="S49" i="157" a="1"/>
  <c r="S49" i="157" s="1"/>
  <c r="B54" i="158" s="1"/>
  <c r="Q50" i="157"/>
  <c r="S50" i="157" s="1" a="1"/>
  <c r="S50" i="157" s="1"/>
  <c r="B55" i="158" s="1"/>
  <c r="R50" i="157"/>
  <c r="Q51" i="157"/>
  <c r="R51" i="157"/>
  <c r="Q52" i="157"/>
  <c r="S52" i="157" s="1" a="1"/>
  <c r="S52" i="157" s="1"/>
  <c r="B57" i="158" s="1"/>
  <c r="R52" i="157"/>
  <c r="Q53" i="157"/>
  <c r="R53" i="157"/>
  <c r="S53" i="157" a="1"/>
  <c r="S53" i="157" s="1"/>
  <c r="B58" i="158" s="1"/>
  <c r="Q54" i="157"/>
  <c r="S54" i="157" s="1" a="1"/>
  <c r="S54" i="157" s="1"/>
  <c r="B59" i="158" s="1"/>
  <c r="R54" i="157"/>
  <c r="Q55" i="157"/>
  <c r="R55" i="157"/>
  <c r="S55" i="157" a="1"/>
  <c r="S55" i="157" s="1"/>
  <c r="B60" i="158" s="1"/>
  <c r="Q56" i="157"/>
  <c r="R56" i="157"/>
  <c r="Q57" i="157"/>
  <c r="R57" i="157"/>
  <c r="Q58" i="157"/>
  <c r="S58" i="157" s="1" a="1"/>
  <c r="S58" i="157" s="1"/>
  <c r="B63" i="158" s="1"/>
  <c r="R58" i="157"/>
  <c r="Q59" i="157"/>
  <c r="R59" i="157"/>
  <c r="S59" i="157" a="1"/>
  <c r="S59" i="157" s="1"/>
  <c r="B64" i="158" s="1"/>
  <c r="Q60" i="157"/>
  <c r="S60" i="157" s="1" a="1"/>
  <c r="S60" i="157" s="1"/>
  <c r="B65" i="158" s="1"/>
  <c r="R60" i="157"/>
  <c r="Q61" i="157"/>
  <c r="R61" i="157"/>
  <c r="Q62" i="157"/>
  <c r="S62" i="157" s="1" a="1"/>
  <c r="S62" i="157" s="1"/>
  <c r="B67" i="158" s="1"/>
  <c r="R62" i="157"/>
  <c r="Q63" i="157"/>
  <c r="R63" i="157"/>
  <c r="Q18" i="157"/>
  <c r="S18" i="157" s="1" a="1"/>
  <c r="S18" i="157" s="1"/>
  <c r="B23" i="158" s="1"/>
  <c r="R18" i="157"/>
  <c r="Q19" i="157"/>
  <c r="R19" i="157"/>
  <c r="S19" i="157" a="1"/>
  <c r="S19" i="157" s="1"/>
  <c r="B24" i="158" s="1"/>
  <c r="Q20" i="157"/>
  <c r="S20" i="157" s="1" a="1"/>
  <c r="S20" i="157" s="1"/>
  <c r="B25" i="158" s="1"/>
  <c r="R20" i="157"/>
  <c r="Q21" i="157"/>
  <c r="R21" i="157"/>
  <c r="Q22" i="157"/>
  <c r="S22" i="157" s="1" a="1"/>
  <c r="S22" i="157" s="1"/>
  <c r="B27" i="158" s="1"/>
  <c r="R22" i="157"/>
  <c r="Q23" i="157"/>
  <c r="R23" i="157"/>
  <c r="S23" i="157" a="1"/>
  <c r="S23" i="157" s="1"/>
  <c r="B28" i="158" s="1"/>
  <c r="Q24" i="157"/>
  <c r="S24" i="157" s="1" a="1"/>
  <c r="S24" i="157" s="1"/>
  <c r="B29" i="158" s="1"/>
  <c r="R24" i="157"/>
  <c r="Q25" i="157"/>
  <c r="R25" i="157"/>
  <c r="S25" i="157" a="1"/>
  <c r="S25" i="157" s="1"/>
  <c r="B30" i="158" s="1"/>
  <c r="Q26" i="157"/>
  <c r="S26" i="157" s="1" a="1"/>
  <c r="S26" i="157" s="1"/>
  <c r="B31" i="158" s="1"/>
  <c r="R26" i="157"/>
  <c r="Q27" i="157"/>
  <c r="R27" i="157"/>
  <c r="Q28" i="157"/>
  <c r="S28" i="157" s="1" a="1"/>
  <c r="S28" i="157" s="1"/>
  <c r="B33" i="158" s="1"/>
  <c r="R28" i="157"/>
  <c r="Q29" i="157"/>
  <c r="R29" i="157"/>
  <c r="Q30" i="157"/>
  <c r="R30" i="157"/>
  <c r="Q31" i="157"/>
  <c r="R31" i="157"/>
  <c r="Q32" i="157"/>
  <c r="R32" i="157"/>
  <c r="Q33" i="157"/>
  <c r="R33" i="157"/>
  <c r="Q34" i="157"/>
  <c r="S34" i="157" s="1" a="1"/>
  <c r="S34" i="157" s="1"/>
  <c r="B39" i="158" s="1"/>
  <c r="R34" i="157"/>
  <c r="Q35" i="157"/>
  <c r="R35" i="157"/>
  <c r="S35" i="157" a="1"/>
  <c r="S35" i="157" s="1"/>
  <c r="B40" i="158" s="1"/>
  <c r="Q36" i="157"/>
  <c r="S36" i="157" s="1" a="1"/>
  <c r="S36" i="157" s="1"/>
  <c r="B41" i="158" s="1"/>
  <c r="R36" i="157"/>
  <c r="Q37" i="157"/>
  <c r="R37" i="157"/>
  <c r="S37" i="157" a="1"/>
  <c r="S37" i="157" s="1"/>
  <c r="B42" i="158" s="1"/>
  <c r="Q38" i="157"/>
  <c r="R38" i="157"/>
  <c r="Q39" i="157"/>
  <c r="R39" i="157"/>
  <c r="Q40" i="157"/>
  <c r="S40" i="157" s="1" a="1"/>
  <c r="S40" i="157" s="1"/>
  <c r="B45" i="158" s="1"/>
  <c r="R40" i="157"/>
  <c r="Q41" i="157"/>
  <c r="R41" i="157"/>
  <c r="S41" i="157" a="1"/>
  <c r="S41" i="157" s="1"/>
  <c r="B46" i="158" s="1"/>
  <c r="Q42" i="157"/>
  <c r="S42" i="157" s="1" a="1"/>
  <c r="S42" i="157" s="1"/>
  <c r="B47" i="158" s="1"/>
  <c r="R42" i="157"/>
  <c r="Q43" i="157"/>
  <c r="R43" i="157"/>
  <c r="S43" i="157" a="1"/>
  <c r="S43" i="157" s="1"/>
  <c r="B48" i="158" s="1"/>
  <c r="Q44" i="157"/>
  <c r="S44" i="157" s="1" a="1"/>
  <c r="S44" i="157" s="1"/>
  <c r="B49" i="158" s="1"/>
  <c r="R44" i="157"/>
  <c r="Q45" i="157"/>
  <c r="R45" i="157"/>
  <c r="Q46" i="157"/>
  <c r="S46" i="157" s="1" a="1"/>
  <c r="S46" i="157" s="1"/>
  <c r="B51" i="158" s="1"/>
  <c r="R46" i="157"/>
  <c r="Q47" i="157"/>
  <c r="R47" i="157"/>
  <c r="S47" i="157" a="1"/>
  <c r="S47" i="157" s="1"/>
  <c r="B52" i="158" s="1"/>
  <c r="Q16" i="157"/>
  <c r="S16" i="157" s="1" a="1"/>
  <c r="S16" i="157" s="1"/>
  <c r="B21" i="158" s="1"/>
  <c r="R16" i="157"/>
  <c r="Q17" i="157"/>
  <c r="R17" i="157"/>
  <c r="S17" i="157" a="1"/>
  <c r="S17" i="157" s="1"/>
  <c r="B22" i="158" s="1"/>
  <c r="J16" i="157"/>
  <c r="K16" i="157"/>
  <c r="L16" i="157"/>
  <c r="M16" i="157"/>
  <c r="N16" i="157"/>
  <c r="J17" i="157"/>
  <c r="K17" i="157"/>
  <c r="S29" i="157" s="1" a="1"/>
  <c r="S29" i="157" s="1"/>
  <c r="B34" i="158" s="1"/>
  <c r="L17" i="157"/>
  <c r="M17" i="157"/>
  <c r="S31" i="157" s="1" a="1"/>
  <c r="S31" i="157" s="1"/>
  <c r="B36" i="158" s="1"/>
  <c r="N17" i="157"/>
  <c r="J18" i="157"/>
  <c r="K18" i="157"/>
  <c r="L18" i="157"/>
  <c r="M18" i="157"/>
  <c r="N18" i="157"/>
  <c r="J19" i="157"/>
  <c r="K19" i="157"/>
  <c r="L19" i="157"/>
  <c r="M19" i="157"/>
  <c r="N19" i="157"/>
  <c r="J20" i="157"/>
  <c r="K20" i="157"/>
  <c r="L20" i="157"/>
  <c r="M20" i="157"/>
  <c r="N20" i="157"/>
  <c r="J21" i="157"/>
  <c r="K21" i="157"/>
  <c r="L21" i="157"/>
  <c r="M21" i="157"/>
  <c r="N21" i="157"/>
  <c r="J22" i="157"/>
  <c r="K22" i="157"/>
  <c r="L22" i="157"/>
  <c r="M22" i="157"/>
  <c r="S61" i="157" s="1" a="1"/>
  <c r="S61" i="157" s="1"/>
  <c r="B66" i="158" s="1"/>
  <c r="N22" i="157"/>
  <c r="J23" i="157"/>
  <c r="K23" i="157"/>
  <c r="L23" i="157"/>
  <c r="M23" i="157"/>
  <c r="N23" i="157"/>
  <c r="J24" i="157"/>
  <c r="K24" i="157"/>
  <c r="L24" i="157"/>
  <c r="M24" i="157"/>
  <c r="N24" i="157"/>
  <c r="B24" i="157"/>
  <c r="C24" i="157"/>
  <c r="B22" i="157"/>
  <c r="C22" i="157"/>
  <c r="B23" i="157"/>
  <c r="C23" i="157"/>
  <c r="B18" i="157"/>
  <c r="C18" i="157"/>
  <c r="B19" i="157"/>
  <c r="C19" i="157"/>
  <c r="B20" i="157"/>
  <c r="C20" i="157"/>
  <c r="B21" i="157"/>
  <c r="C21" i="157"/>
  <c r="B16" i="157"/>
  <c r="C16" i="157"/>
  <c r="B47" i="137"/>
  <c r="C47" i="137"/>
  <c r="L37" i="108"/>
  <c r="C9" i="120"/>
  <c r="C10" i="120"/>
  <c r="C11" i="120"/>
  <c r="C12" i="120"/>
  <c r="C13" i="120"/>
  <c r="C14" i="120"/>
  <c r="C15" i="120"/>
  <c r="C16" i="120"/>
  <c r="C17" i="120"/>
  <c r="C18" i="120"/>
  <c r="C19" i="120"/>
  <c r="C20" i="120"/>
  <c r="G38" i="108"/>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8" i="108"/>
  <c r="I40" i="128"/>
  <c r="I41" i="128"/>
  <c r="B38" i="128"/>
  <c r="B39" i="128"/>
  <c r="B40" i="128"/>
  <c r="B41" i="128"/>
  <c r="B35" i="137"/>
  <c r="C35" i="137"/>
  <c r="B34" i="137"/>
  <c r="C34" i="137"/>
  <c r="L12" i="108"/>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4" i="108"/>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62"/>
  <c r="E3" i="159"/>
  <c r="E3" i="157"/>
  <c r="E3" i="154"/>
  <c r="B7" i="115"/>
  <c r="B6" i="115"/>
  <c r="A8" i="107"/>
  <c r="A9" i="107"/>
  <c r="A10" i="107"/>
  <c r="A11" i="107"/>
  <c r="A12" i="107"/>
  <c r="A13" i="107"/>
  <c r="A14" i="107"/>
  <c r="A15" i="107"/>
  <c r="A16" i="107"/>
  <c r="A17" i="107"/>
  <c r="B58" i="137"/>
  <c r="C58" i="137"/>
  <c r="B60" i="137"/>
  <c r="C60" i="137"/>
  <c r="B61" i="137"/>
  <c r="C61" i="137"/>
  <c r="B16" i="137"/>
  <c r="C16" i="137"/>
  <c r="B17" i="137"/>
  <c r="C17" i="137"/>
  <c r="B19" i="137"/>
  <c r="C19" i="137"/>
  <c r="B20" i="137"/>
  <c r="C20" i="137"/>
  <c r="B21" i="137"/>
  <c r="C21" i="137"/>
  <c r="B23" i="137"/>
  <c r="C23" i="137"/>
  <c r="B24" i="137"/>
  <c r="C24" i="137"/>
  <c r="B25" i="137"/>
  <c r="C25" i="137"/>
  <c r="B26" i="137"/>
  <c r="C26" i="137"/>
  <c r="B27" i="137"/>
  <c r="C27" i="137"/>
  <c r="B28" i="137"/>
  <c r="C28" i="137"/>
  <c r="B29" i="137"/>
  <c r="C29" i="137"/>
  <c r="B30" i="137"/>
  <c r="C30" i="137"/>
  <c r="B31" i="137"/>
  <c r="C31" i="137"/>
  <c r="B32" i="137"/>
  <c r="C32" i="137"/>
  <c r="B33" i="137"/>
  <c r="C33" i="137"/>
  <c r="B36" i="137"/>
  <c r="C36" i="137"/>
  <c r="B37" i="137"/>
  <c r="C37" i="137"/>
  <c r="B38" i="137"/>
  <c r="C38" i="137"/>
  <c r="B39" i="137"/>
  <c r="C39" i="137"/>
  <c r="B43" i="137"/>
  <c r="C43" i="137"/>
  <c r="B44" i="137"/>
  <c r="C44" i="137"/>
  <c r="B45" i="137"/>
  <c r="C45" i="137"/>
  <c r="B46" i="137"/>
  <c r="C46" i="137"/>
  <c r="B48" i="137"/>
  <c r="C48" i="137"/>
  <c r="B51" i="137"/>
  <c r="C51" i="137"/>
  <c r="B52" i="137"/>
  <c r="C52" i="137"/>
  <c r="B53" i="137"/>
  <c r="C53" i="137"/>
  <c r="C15" i="137"/>
  <c r="A90" i="107"/>
  <c r="A86" i="107"/>
  <c r="L10" i="108"/>
  <c r="L19" i="108"/>
  <c r="A101" i="107"/>
  <c r="A92" i="107"/>
  <c r="A75" i="107"/>
  <c r="A61" i="107"/>
  <c r="A55" i="107"/>
  <c r="A51" i="107"/>
  <c r="A46" i="107"/>
  <c r="A39" i="107"/>
  <c r="A21" i="107"/>
  <c r="A20" i="107"/>
  <c r="A7" i="107"/>
  <c r="A6" i="107"/>
  <c r="B64" i="108"/>
  <c r="G64" i="108" s="1"/>
  <c r="B65" i="108"/>
  <c r="G65" i="108" s="1"/>
  <c r="B66" i="108"/>
  <c r="G66" i="108" s="1"/>
  <c r="B67" i="108"/>
  <c r="G67" i="108" s="1"/>
  <c r="B68" i="108"/>
  <c r="G68" i="108" s="1"/>
  <c r="B69" i="108"/>
  <c r="G69" i="108" s="1"/>
  <c r="B70" i="108"/>
  <c r="G70" i="108" s="1"/>
  <c r="B71" i="108"/>
  <c r="G71" i="108" s="1"/>
  <c r="B72" i="108"/>
  <c r="G72" i="108" s="1"/>
  <c r="B63" i="108"/>
  <c r="H53" i="106"/>
  <c r="H48" i="106"/>
  <c r="H42" i="106"/>
  <c r="B16" i="141"/>
  <c r="C16" i="141"/>
  <c r="J16" i="141" s="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C15" i="141"/>
  <c r="I55" i="12"/>
  <c r="I56" i="12"/>
  <c r="I57" i="12"/>
  <c r="I58" i="12"/>
  <c r="I59" i="12"/>
  <c r="I60" i="12"/>
  <c r="I61" i="12"/>
  <c r="B55" i="12"/>
  <c r="B56" i="12"/>
  <c r="B57" i="12"/>
  <c r="B58" i="12"/>
  <c r="B60" i="12"/>
  <c r="B61" i="12"/>
  <c r="I54" i="12"/>
  <c r="S68" i="157" l="1" a="1"/>
  <c r="S68" i="157" s="1"/>
  <c r="B73" i="158" s="1"/>
  <c r="S67" i="157" a="1"/>
  <c r="S67" i="157" s="1"/>
  <c r="B72" i="158" s="1"/>
  <c r="S65" i="157" a="1"/>
  <c r="S65" i="157" s="1"/>
  <c r="B70" i="158" s="1"/>
  <c r="I15" i="175"/>
  <c r="S15" i="175" s="1" a="1"/>
  <c r="S15" i="175" s="1"/>
  <c r="B89" i="158" s="1"/>
  <c r="S32" i="157" a="1"/>
  <c r="S32" i="157" s="1"/>
  <c r="B37" i="158" s="1"/>
  <c r="S30" i="157" a="1"/>
  <c r="S30" i="157" s="1"/>
  <c r="B35" i="158" s="1"/>
  <c r="S38" i="157" a="1"/>
  <c r="S38" i="157" s="1"/>
  <c r="B43" i="158" s="1"/>
  <c r="S56" i="157" a="1"/>
  <c r="S56" i="157" s="1"/>
  <c r="B61" i="158" s="1"/>
  <c r="I17" i="186"/>
  <c r="S27" i="186" s="1" a="1"/>
  <c r="S27" i="186" s="1"/>
  <c r="B32" i="187" s="1"/>
  <c r="S72" i="194" a="1"/>
  <c r="S72" i="194" s="1"/>
  <c r="S56" i="194" a="1"/>
  <c r="S56" i="194" s="1"/>
  <c r="S40" i="194" a="1"/>
  <c r="S40" i="194" s="1"/>
  <c r="S68" i="194" a="1"/>
  <c r="S68" i="194" s="1"/>
  <c r="S52" i="194" a="1"/>
  <c r="S52" i="194" s="1"/>
  <c r="S36" i="194" a="1"/>
  <c r="S36" i="194" s="1"/>
  <c r="S66" i="194" a="1"/>
  <c r="S66" i="194" s="1"/>
  <c r="S58" i="194" a="1"/>
  <c r="S58" i="194" s="1"/>
  <c r="S42" i="194" a="1"/>
  <c r="S42" i="194" s="1"/>
  <c r="S50" i="194" a="1"/>
  <c r="S50" i="194" s="1"/>
  <c r="S34" i="194" a="1"/>
  <c r="S34" i="194" s="1"/>
  <c r="S64" i="194" a="1"/>
  <c r="S64" i="194" s="1"/>
  <c r="S48" i="194" a="1"/>
  <c r="S48" i="194" s="1"/>
  <c r="S20" i="194" a="1"/>
  <c r="S20" i="194" s="1"/>
  <c r="S26" i="194" a="1"/>
  <c r="S26" i="194" s="1"/>
  <c r="S32" i="194" a="1"/>
  <c r="S32" i="194" s="1"/>
  <c r="S74" i="194" a="1"/>
  <c r="S74" i="194" s="1"/>
  <c r="S38" i="194" a="1"/>
  <c r="S38" i="194" s="1"/>
  <c r="L20" i="108"/>
  <c r="S15" i="194" a="1"/>
  <c r="S15" i="194" s="1"/>
  <c r="B20" i="195" s="1"/>
  <c r="B14" i="195"/>
  <c r="I16" i="194"/>
  <c r="L26" i="108"/>
  <c r="C15" i="190"/>
  <c r="J15" i="190" s="1"/>
  <c r="B14" i="191"/>
  <c r="I15" i="190"/>
  <c r="S15" i="190" s="1" a="1"/>
  <c r="S15" i="190" s="1"/>
  <c r="B20" i="191" s="1"/>
  <c r="E6" i="186"/>
  <c r="B17" i="187" s="1"/>
  <c r="B43" i="187"/>
  <c r="B45" i="187"/>
  <c r="I15" i="186"/>
  <c r="S15" i="186" s="1" a="1"/>
  <c r="S15" i="186" s="1"/>
  <c r="B20" i="187" s="1"/>
  <c r="S38" i="186" a="1"/>
  <c r="S38" i="186" s="1"/>
  <c r="B44" i="187" s="1"/>
  <c r="I16" i="186"/>
  <c r="S21" i="186" s="1" a="1"/>
  <c r="S21" i="186" s="1"/>
  <c r="B26" i="187" s="1"/>
  <c r="S31" i="182" a="1"/>
  <c r="S31" i="182" s="1"/>
  <c r="S24" i="182" a="1"/>
  <c r="S24" i="182" s="1"/>
  <c r="S25" i="182" a="1"/>
  <c r="S25" i="182" s="1"/>
  <c r="S44" i="182" a="1"/>
  <c r="S44" i="182" s="1"/>
  <c r="S38" i="182" a="1"/>
  <c r="S38" i="182" s="1"/>
  <c r="S26" i="182" a="1"/>
  <c r="S26" i="182" s="1"/>
  <c r="S32" i="182" a="1"/>
  <c r="S32" i="182" s="1"/>
  <c r="S20" i="182" a="1"/>
  <c r="S20" i="182" s="1"/>
  <c r="S23" i="182" a="1"/>
  <c r="S23" i="182" s="1"/>
  <c r="S35" i="182" a="1"/>
  <c r="S35" i="182" s="1"/>
  <c r="S29" i="182" a="1"/>
  <c r="S29" i="182" s="1"/>
  <c r="S41" i="182" a="1"/>
  <c r="S41" i="182" s="1"/>
  <c r="S17" i="182" a="1"/>
  <c r="S17" i="182" s="1"/>
  <c r="I18" i="182"/>
  <c r="S33" i="182" s="1" a="1"/>
  <c r="S33" i="182" s="1"/>
  <c r="S28" i="182" a="1"/>
  <c r="S28" i="182" s="1"/>
  <c r="S40" i="182" a="1"/>
  <c r="S40" i="182" s="1"/>
  <c r="S16" i="182" a="1"/>
  <c r="S16" i="182" s="1"/>
  <c r="S22" i="182" a="1"/>
  <c r="S22" i="182" s="1"/>
  <c r="S34" i="182" a="1"/>
  <c r="S34" i="182" s="1"/>
  <c r="B14" i="183"/>
  <c r="I15" i="182"/>
  <c r="S15" i="182" s="1" a="1"/>
  <c r="S15" i="182" s="1"/>
  <c r="B20" i="183" s="1"/>
  <c r="I17" i="182"/>
  <c r="S27" i="182" s="1" a="1"/>
  <c r="S27" i="182" s="1"/>
  <c r="I19" i="182"/>
  <c r="S39" i="182" s="1" a="1"/>
  <c r="S39" i="182" s="1"/>
  <c r="I16" i="182"/>
  <c r="S21" i="182" s="1" a="1"/>
  <c r="S21" i="182" s="1"/>
  <c r="L29" i="108"/>
  <c r="E6" i="178"/>
  <c r="B16" i="179" s="1"/>
  <c r="I15" i="178"/>
  <c r="C16" i="178"/>
  <c r="I9" i="176"/>
  <c r="C17" i="178"/>
  <c r="I10" i="176"/>
  <c r="C10" i="177" s="1"/>
  <c r="C15" i="178"/>
  <c r="J15" i="178" s="1"/>
  <c r="S15" i="178" a="1"/>
  <c r="S15" i="178" s="1"/>
  <c r="B19" i="179" s="1"/>
  <c r="S26" i="168" a="1"/>
  <c r="S26" i="168" s="1"/>
  <c r="B33" i="171" s="1"/>
  <c r="S29" i="168" a="1"/>
  <c r="S29" i="168" s="1"/>
  <c r="B36" i="171" s="1"/>
  <c r="S84" i="168" a="1"/>
  <c r="S84" i="168" s="1"/>
  <c r="B91" i="171" s="1"/>
  <c r="S72" i="168" a="1"/>
  <c r="S72" i="168" s="1"/>
  <c r="B79" i="171" s="1"/>
  <c r="S68" i="168" a="1"/>
  <c r="S68" i="168" s="1"/>
  <c r="B75" i="171" s="1"/>
  <c r="S64" i="168" a="1"/>
  <c r="S64" i="168" s="1"/>
  <c r="B71" i="171" s="1"/>
  <c r="S60" i="168" a="1"/>
  <c r="S60" i="168" s="1"/>
  <c r="B67" i="171" s="1"/>
  <c r="S56" i="168" a="1"/>
  <c r="S56" i="168" s="1"/>
  <c r="B63" i="171" s="1"/>
  <c r="S48" i="168" a="1"/>
  <c r="S48" i="168" s="1"/>
  <c r="B55" i="171" s="1"/>
  <c r="S32" i="168" a="1"/>
  <c r="S32" i="168" s="1"/>
  <c r="B39" i="171" s="1"/>
  <c r="S36" i="168" a="1"/>
  <c r="S36" i="168" s="1"/>
  <c r="B43" i="171" s="1"/>
  <c r="S28" i="168" a="1"/>
  <c r="S28" i="168" s="1"/>
  <c r="B35" i="171" s="1"/>
  <c r="S24" i="168" a="1"/>
  <c r="S24" i="168" s="1"/>
  <c r="B31" i="171" s="1"/>
  <c r="S83" i="168" a="1"/>
  <c r="S83" i="168" s="1"/>
  <c r="B90" i="171" s="1"/>
  <c r="S79" i="168" a="1"/>
  <c r="S79" i="168" s="1"/>
  <c r="B86" i="171" s="1"/>
  <c r="S25" i="168" a="1"/>
  <c r="S25" i="168" s="1"/>
  <c r="B32" i="171" s="1"/>
  <c r="S76" i="168" a="1"/>
  <c r="S76" i="168" s="1"/>
  <c r="B83" i="171" s="1"/>
  <c r="S40" i="168" a="1"/>
  <c r="S40" i="168" s="1"/>
  <c r="B47" i="171" s="1"/>
  <c r="S80" i="168" a="1"/>
  <c r="S80" i="168" s="1"/>
  <c r="B87" i="171" s="1"/>
  <c r="S44" i="168" a="1"/>
  <c r="S44" i="168" s="1"/>
  <c r="B51" i="171" s="1"/>
  <c r="S23" i="168" a="1"/>
  <c r="S23" i="168" s="1"/>
  <c r="B30" i="171" s="1"/>
  <c r="S19" i="168" a="1"/>
  <c r="S19" i="168" s="1"/>
  <c r="B26" i="171" s="1"/>
  <c r="S74" i="168" a="1"/>
  <c r="S74" i="168" s="1"/>
  <c r="B81" i="171" s="1"/>
  <c r="S70" i="168" a="1"/>
  <c r="S70" i="168" s="1"/>
  <c r="B77" i="171" s="1"/>
  <c r="S66" i="168" a="1"/>
  <c r="S66" i="168" s="1"/>
  <c r="B73" i="171" s="1"/>
  <c r="S62" i="168" a="1"/>
  <c r="S62" i="168" s="1"/>
  <c r="B69" i="171" s="1"/>
  <c r="S58" i="168" a="1"/>
  <c r="S58" i="168" s="1"/>
  <c r="B65" i="171" s="1"/>
  <c r="S54" i="168" a="1"/>
  <c r="S54" i="168" s="1"/>
  <c r="B61" i="171" s="1"/>
  <c r="S50" i="168" a="1"/>
  <c r="S50" i="168" s="1"/>
  <c r="B57" i="171" s="1"/>
  <c r="S46" i="168" a="1"/>
  <c r="S46" i="168" s="1"/>
  <c r="B53" i="171" s="1"/>
  <c r="S42" i="168" a="1"/>
  <c r="S42" i="168" s="1"/>
  <c r="B49" i="171" s="1"/>
  <c r="S38" i="168" a="1"/>
  <c r="S38" i="168" s="1"/>
  <c r="B45" i="171" s="1"/>
  <c r="S30" i="168" a="1"/>
  <c r="S30" i="168" s="1"/>
  <c r="B37" i="171" s="1"/>
  <c r="S85" i="168" a="1"/>
  <c r="S85" i="168" s="1"/>
  <c r="B92" i="171" s="1"/>
  <c r="S81" i="168" a="1"/>
  <c r="S81" i="168" s="1"/>
  <c r="B88" i="171" s="1"/>
  <c r="S77" i="168" a="1"/>
  <c r="S77" i="168" s="1"/>
  <c r="B84" i="171" s="1"/>
  <c r="S73" i="168" a="1"/>
  <c r="S73" i="168" s="1"/>
  <c r="B80" i="171" s="1"/>
  <c r="S65" i="168" a="1"/>
  <c r="S65" i="168" s="1"/>
  <c r="B72" i="171" s="1"/>
  <c r="S41" i="168" a="1"/>
  <c r="S41" i="168" s="1"/>
  <c r="B48" i="171" s="1"/>
  <c r="S37" i="168" a="1"/>
  <c r="S37" i="168" s="1"/>
  <c r="B44" i="171" s="1"/>
  <c r="S53" i="168" a="1"/>
  <c r="S53" i="168" s="1"/>
  <c r="B60" i="171" s="1"/>
  <c r="S49" i="168" a="1"/>
  <c r="S49" i="168" s="1"/>
  <c r="B56" i="171" s="1"/>
  <c r="S71" i="168" a="1"/>
  <c r="S71" i="168" s="1"/>
  <c r="B78" i="171" s="1"/>
  <c r="S67" i="168" a="1"/>
  <c r="S67" i="168" s="1"/>
  <c r="B74" i="171" s="1"/>
  <c r="S59" i="168" a="1"/>
  <c r="S59" i="168" s="1"/>
  <c r="B66" i="171" s="1"/>
  <c r="S55" i="168" a="1"/>
  <c r="S55" i="168" s="1"/>
  <c r="B62" i="171" s="1"/>
  <c r="S47" i="168" a="1"/>
  <c r="S47" i="168" s="1"/>
  <c r="B54" i="171" s="1"/>
  <c r="S43" i="168" a="1"/>
  <c r="S43" i="168" s="1"/>
  <c r="B50" i="171" s="1"/>
  <c r="S35" i="168" a="1"/>
  <c r="S35" i="168" s="1"/>
  <c r="B42" i="171" s="1"/>
  <c r="S31" i="168" a="1"/>
  <c r="S31" i="168" s="1"/>
  <c r="B38" i="171" s="1"/>
  <c r="S61" i="168" a="1"/>
  <c r="S61" i="168" s="1"/>
  <c r="B68" i="171" s="1"/>
  <c r="S29" i="159" a="1"/>
  <c r="S29" i="159" s="1"/>
  <c r="B34" i="161" s="1"/>
  <c r="S35" i="159" a="1"/>
  <c r="S35" i="159" s="1"/>
  <c r="B40" i="161" s="1"/>
  <c r="S69" i="159" a="1"/>
  <c r="S69" i="159" s="1"/>
  <c r="B74" i="161" s="1"/>
  <c r="S75" i="159" a="1"/>
  <c r="S75" i="159" s="1"/>
  <c r="B80" i="161" s="1"/>
  <c r="L36" i="108"/>
  <c r="L49" i="108"/>
  <c r="L39" i="108"/>
  <c r="L42"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8" i="108"/>
  <c r="L27" i="108"/>
  <c r="L18" i="108"/>
  <c r="L16" i="108"/>
  <c r="L34" i="108"/>
  <c r="L17" i="108"/>
  <c r="L50" i="108"/>
  <c r="L15" i="108"/>
  <c r="L22" i="108"/>
  <c r="L14" i="108"/>
  <c r="L30" i="108"/>
  <c r="L21" i="108"/>
  <c r="L13" i="108"/>
  <c r="B22" i="165"/>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N15" i="162"/>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J9" i="108" s="1"/>
  <c r="E4" i="151"/>
  <c r="E4" i="153" s="1"/>
  <c r="B20" i="171"/>
  <c r="N36" i="168"/>
  <c r="N37" i="168"/>
  <c r="N38" i="168"/>
  <c r="B14" i="168"/>
  <c r="K15" i="168"/>
  <c r="S17" i="168" s="1" a="1"/>
  <c r="S17" i="168" s="1"/>
  <c r="B24" i="171" s="1"/>
  <c r="B21" i="168"/>
  <c r="C21" i="168"/>
  <c r="J21" i="168" s="1"/>
  <c r="S52" i="168" s="1" a="1"/>
  <c r="S52" i="168" s="1"/>
  <c r="B59" i="171" s="1"/>
  <c r="B24" i="168"/>
  <c r="C24" i="168"/>
  <c r="J24" i="168" s="1"/>
  <c r="C25" i="168"/>
  <c r="J25" i="168" s="1"/>
  <c r="B16" i="168"/>
  <c r="C16" i="168"/>
  <c r="J16" i="168" s="1"/>
  <c r="S22" i="168" s="1" a="1"/>
  <c r="S22" i="168" s="1"/>
  <c r="B29" i="171" s="1"/>
  <c r="B18" i="168"/>
  <c r="C18" i="168"/>
  <c r="J18" i="168" s="1"/>
  <c r="S34" i="168" s="1" a="1"/>
  <c r="S34" i="168" s="1"/>
  <c r="B41" i="171" s="1"/>
  <c r="B19" i="168"/>
  <c r="C19" i="168"/>
  <c r="J19" i="168" s="1"/>
  <c r="B20" i="168"/>
  <c r="C20" i="168"/>
  <c r="J20" i="168" s="1"/>
  <c r="C15" i="168"/>
  <c r="J15" i="168" s="1"/>
  <c r="S16" i="168" s="1" a="1"/>
  <c r="S16" i="168" s="1"/>
  <c r="B23" i="171" s="1"/>
  <c r="B15" i="168"/>
  <c r="E6" i="168"/>
  <c r="B15" i="171"/>
  <c r="B14" i="171"/>
  <c r="B13" i="171"/>
  <c r="B12" i="171"/>
  <c r="B9" i="171"/>
  <c r="B8" i="171"/>
  <c r="B4" i="171"/>
  <c r="R15" i="168"/>
  <c r="Q15" i="168"/>
  <c r="N15" i="168"/>
  <c r="S20" i="168" s="1" a="1"/>
  <c r="S20" i="168" s="1"/>
  <c r="B27" i="171" s="1"/>
  <c r="M15" i="168"/>
  <c r="L15" i="168"/>
  <c r="S18" i="168" s="1" a="1"/>
  <c r="S18" i="168" s="1"/>
  <c r="B25" i="171" s="1"/>
  <c r="J15" i="162"/>
  <c r="B15" i="162"/>
  <c r="B14" i="162"/>
  <c r="E6" i="162"/>
  <c r="B16" i="165" s="1"/>
  <c r="B17" i="165"/>
  <c r="B15" i="165"/>
  <c r="B13" i="165"/>
  <c r="B12" i="165"/>
  <c r="B9" i="165"/>
  <c r="B8" i="165"/>
  <c r="B4" i="165"/>
  <c r="R15" i="162"/>
  <c r="Q15" i="162"/>
  <c r="M15" i="162"/>
  <c r="L15" i="162"/>
  <c r="K15" i="162"/>
  <c r="B21" i="165" s="1"/>
  <c r="K15" i="146"/>
  <c r="K15" i="144"/>
  <c r="K15" i="141"/>
  <c r="K15" i="137"/>
  <c r="K15" i="159"/>
  <c r="C15" i="159"/>
  <c r="J15" i="159" s="1"/>
  <c r="B15" i="159"/>
  <c r="B14" i="159"/>
  <c r="E6" i="159"/>
  <c r="B17" i="161" s="1"/>
  <c r="B18" i="161"/>
  <c r="B15" i="161"/>
  <c r="B13" i="161"/>
  <c r="B12" i="161"/>
  <c r="B9" i="161"/>
  <c r="B8" i="161"/>
  <c r="B4" i="161"/>
  <c r="R15" i="159"/>
  <c r="Q15" i="159"/>
  <c r="N15" i="159"/>
  <c r="M15" i="159"/>
  <c r="L15" i="159"/>
  <c r="B17" i="157"/>
  <c r="C17" i="157"/>
  <c r="C15" i="157"/>
  <c r="J15" i="157" s="1"/>
  <c r="B15" i="157"/>
  <c r="B14" i="157"/>
  <c r="E6" i="157"/>
  <c r="B17" i="158" s="1"/>
  <c r="B15" i="158"/>
  <c r="B13" i="158"/>
  <c r="B12" i="158"/>
  <c r="B9" i="158"/>
  <c r="B8" i="158"/>
  <c r="B4" i="158"/>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15" i="141"/>
  <c r="B14" i="141"/>
  <c r="B18" i="143"/>
  <c r="B17" i="143"/>
  <c r="B15" i="143"/>
  <c r="B14" i="143"/>
  <c r="B13" i="143"/>
  <c r="B12" i="143"/>
  <c r="B9" i="143"/>
  <c r="B8" i="143"/>
  <c r="B4" i="143"/>
  <c r="N16" i="141"/>
  <c r="R15" i="141"/>
  <c r="Q15" i="141"/>
  <c r="N15" i="141"/>
  <c r="M15" i="141"/>
  <c r="L15" i="141"/>
  <c r="B13" i="138"/>
  <c r="B12" i="138"/>
  <c r="B9" i="138"/>
  <c r="L15" i="137"/>
  <c r="M15" i="137"/>
  <c r="B18" i="138"/>
  <c r="B17" i="138"/>
  <c r="B14" i="138"/>
  <c r="B15" i="138"/>
  <c r="B4" i="138"/>
  <c r="B8" i="138"/>
  <c r="N15" i="137"/>
  <c r="J15" i="137"/>
  <c r="B15" i="137"/>
  <c r="I15" i="137" s="1"/>
  <c r="I19" i="157" l="1"/>
  <c r="S39" i="157" s="1" a="1"/>
  <c r="S39" i="157" s="1"/>
  <c r="B44" i="158" s="1"/>
  <c r="I23" i="157"/>
  <c r="S63" i="157" s="1" a="1"/>
  <c r="S63" i="157" s="1"/>
  <c r="B68" i="158" s="1"/>
  <c r="I24" i="157"/>
  <c r="S69" i="157" s="1" a="1"/>
  <c r="S69" i="157" s="1"/>
  <c r="B74" i="158" s="1"/>
  <c r="I20" i="157"/>
  <c r="S45" i="157" s="1" a="1"/>
  <c r="S45" i="157" s="1"/>
  <c r="B50" i="158" s="1"/>
  <c r="I18" i="157"/>
  <c r="S33" i="157" s="1" a="1"/>
  <c r="S33" i="157" s="1"/>
  <c r="B38" i="158" s="1"/>
  <c r="I22" i="157"/>
  <c r="S57" i="157" s="1" a="1"/>
  <c r="S57" i="157" s="1"/>
  <c r="B62" i="158" s="1"/>
  <c r="I17" i="157"/>
  <c r="S27" i="157" s="1" a="1"/>
  <c r="S27" i="157" s="1"/>
  <c r="B32" i="158" s="1"/>
  <c r="I21" i="157"/>
  <c r="S51" i="157" s="1" a="1"/>
  <c r="S51" i="157" s="1"/>
  <c r="B56" i="158" s="1"/>
  <c r="I16" i="157"/>
  <c r="S21" i="157" s="1" a="1"/>
  <c r="S21" i="157" s="1"/>
  <c r="B26" i="158" s="1"/>
  <c r="I18" i="162"/>
  <c r="S33" i="162" s="1" a="1"/>
  <c r="S33" i="162" s="1"/>
  <c r="B37" i="165" s="1"/>
  <c r="I16" i="162"/>
  <c r="S21" i="162" s="1" a="1"/>
  <c r="S21" i="162" s="1"/>
  <c r="B25" i="165" s="1"/>
  <c r="I17" i="162"/>
  <c r="S27" i="162" s="1" a="1"/>
  <c r="S27" i="162" s="1"/>
  <c r="B31" i="165" s="1"/>
  <c r="B20" i="165"/>
  <c r="I24" i="168"/>
  <c r="S69" i="168" s="1" a="1"/>
  <c r="S69" i="168" s="1"/>
  <c r="B76" i="171" s="1"/>
  <c r="I18" i="168"/>
  <c r="S33" i="168" s="1" a="1"/>
  <c r="S33" i="168" s="1"/>
  <c r="B40" i="171" s="1"/>
  <c r="I22" i="168"/>
  <c r="S57" i="168" s="1" a="1"/>
  <c r="S57" i="168" s="1"/>
  <c r="B64" i="171" s="1"/>
  <c r="I21" i="168"/>
  <c r="S51" i="168" s="1" a="1"/>
  <c r="S51" i="168" s="1"/>
  <c r="B58" i="171" s="1"/>
  <c r="I16" i="168"/>
  <c r="S21" i="168" s="1" a="1"/>
  <c r="S21" i="168" s="1"/>
  <c r="B28" i="171" s="1"/>
  <c r="I19" i="168"/>
  <c r="S39" i="168" s="1" a="1"/>
  <c r="S39" i="168" s="1"/>
  <c r="B46" i="171" s="1"/>
  <c r="I23" i="168"/>
  <c r="S63" i="168" s="1" a="1"/>
  <c r="S63" i="168" s="1"/>
  <c r="B70" i="171" s="1"/>
  <c r="I17" i="168"/>
  <c r="S27" i="168" s="1" a="1"/>
  <c r="S27" i="168" s="1"/>
  <c r="B34" i="171" s="1"/>
  <c r="I20" i="168"/>
  <c r="S45" i="168" s="1" a="1"/>
  <c r="S45" i="168" s="1"/>
  <c r="B52" i="171" s="1"/>
  <c r="I25" i="168"/>
  <c r="S75" i="168" s="1" a="1"/>
  <c r="S75" i="168" s="1"/>
  <c r="B82" i="171" s="1"/>
  <c r="B19" i="171"/>
  <c r="I15" i="168"/>
  <c r="S15" i="168" s="1" a="1"/>
  <c r="S15" i="168" s="1"/>
  <c r="B22" i="171" s="1"/>
  <c r="I16" i="159"/>
  <c r="S157" i="146" a="1"/>
  <c r="S157" i="146" s="1"/>
  <c r="S161" i="146" a="1"/>
  <c r="S161" i="146" s="1"/>
  <c r="S165" i="146" a="1"/>
  <c r="S165" i="146" s="1"/>
  <c r="S169" i="146" a="1"/>
  <c r="S169" i="146" s="1"/>
  <c r="S173" i="146" a="1"/>
  <c r="S173" i="146" s="1"/>
  <c r="S179" i="146" a="1"/>
  <c r="S179" i="146" s="1"/>
  <c r="S188" i="146" a="1"/>
  <c r="S188" i="146" s="1"/>
  <c r="L25" i="108"/>
  <c r="L24" i="108"/>
  <c r="L23" i="108"/>
  <c r="I16" i="141"/>
  <c r="I15" i="141"/>
  <c r="S15" i="141" s="1" a="1"/>
  <c r="S15" i="141" s="1"/>
  <c r="B20" i="143" s="1"/>
  <c r="S50" i="153" a="1"/>
  <c r="S50" i="153" s="1"/>
  <c r="B56" i="156" s="1"/>
  <c r="S38" i="153" a="1"/>
  <c r="S38" i="153" s="1"/>
  <c r="B44" i="156" s="1"/>
  <c r="S35" i="148" a="1"/>
  <c r="S35" i="148" s="1"/>
  <c r="B86" i="156" s="1"/>
  <c r="B14" i="165"/>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S174" i="146" a="1"/>
  <c r="S174" i="146" s="1"/>
  <c r="S178" i="146" a="1"/>
  <c r="S178" i="146" s="1"/>
  <c r="S182" i="146" a="1"/>
  <c r="S182" i="146" s="1"/>
  <c r="S186" i="146" a="1"/>
  <c r="S186" i="146" s="1"/>
  <c r="S190" i="146" a="1"/>
  <c r="S190" i="146" s="1"/>
  <c r="S194" i="146" a="1"/>
  <c r="S194" i="146" s="1"/>
  <c r="S159" i="146" a="1"/>
  <c r="S159" i="146" s="1"/>
  <c r="S32" i="151" a="1"/>
  <c r="S32" i="151" s="1"/>
  <c r="S15" i="172" a="1"/>
  <c r="S15" i="172" s="1"/>
  <c r="I15" i="172"/>
  <c r="I16" i="172"/>
  <c r="S44" i="154" a="1"/>
  <c r="S44" i="154" s="1"/>
  <c r="B49" i="155" s="1"/>
  <c r="S35" i="151" a="1"/>
  <c r="S35" i="151" s="1"/>
  <c r="S29" i="151" a="1"/>
  <c r="S29" i="151" s="1"/>
  <c r="S23" i="151" a="1"/>
  <c r="S23" i="151" s="1"/>
  <c r="S17" i="151" a="1"/>
  <c r="S17" i="151" s="1"/>
  <c r="I15" i="162"/>
  <c r="S15" i="162" s="1" a="1"/>
  <c r="S15" i="162" s="1"/>
  <c r="B19" i="165" s="1"/>
  <c r="S35" i="154" a="1"/>
  <c r="S35" i="154" s="1"/>
  <c r="B40" i="155" s="1"/>
  <c r="S41" i="154" a="1"/>
  <c r="S41" i="154" s="1"/>
  <c r="B46" i="155" s="1"/>
  <c r="S29" i="154" a="1"/>
  <c r="S29" i="154" s="1"/>
  <c r="B34" i="155" s="1"/>
  <c r="I15" i="159"/>
  <c r="S15" i="159" s="1" a="1"/>
  <c r="S15" i="159" s="1"/>
  <c r="B14" i="161"/>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R15" i="137"/>
  <c r="Q15" i="137"/>
  <c r="L3" i="108"/>
  <c r="E11" i="125"/>
  <c r="E12" i="125"/>
  <c r="E13" i="125"/>
  <c r="E14" i="125"/>
  <c r="E15" i="125"/>
  <c r="E16" i="125"/>
  <c r="E17" i="125"/>
  <c r="E18" i="125"/>
  <c r="B11" i="125"/>
  <c r="B10" i="125"/>
  <c r="E19" i="112"/>
  <c r="E11" i="112"/>
  <c r="E12" i="112"/>
  <c r="E13" i="112"/>
  <c r="E14" i="112"/>
  <c r="E15" i="112"/>
  <c r="E16" i="112"/>
  <c r="E17" i="112"/>
  <c r="E18" i="112"/>
  <c r="B15" i="112"/>
  <c r="B16" i="112"/>
  <c r="B14" i="112"/>
  <c r="I24" i="134"/>
  <c r="I25" i="134"/>
  <c r="I26" i="134"/>
  <c r="I27" i="134"/>
  <c r="I28" i="134"/>
  <c r="I29" i="134"/>
  <c r="I30" i="134"/>
  <c r="I31" i="134"/>
  <c r="B24" i="134"/>
  <c r="B25" i="134"/>
  <c r="B26" i="134"/>
  <c r="B27" i="134"/>
  <c r="B28" i="134"/>
  <c r="B29" i="134"/>
  <c r="B30" i="134"/>
  <c r="B31" i="134"/>
  <c r="C2" i="136"/>
  <c r="C1" i="136"/>
  <c r="I8" i="134"/>
  <c r="C8" i="136" s="1"/>
  <c r="I7" i="134"/>
  <c r="C7" i="136" s="1"/>
  <c r="I6" i="134"/>
  <c r="C6" i="136" s="1"/>
  <c r="I5" i="134"/>
  <c r="C5" i="136" s="1"/>
  <c r="I4" i="134"/>
  <c r="C4" i="136" s="1"/>
  <c r="I3" i="134"/>
  <c r="C3" i="136" s="1"/>
  <c r="I11" i="131"/>
  <c r="I23" i="131"/>
  <c r="I24" i="131"/>
  <c r="I25" i="131"/>
  <c r="C2" i="133"/>
  <c r="C1" i="133"/>
  <c r="B25" i="131"/>
  <c r="B24" i="131"/>
  <c r="B23" i="131"/>
  <c r="I22" i="131"/>
  <c r="B22" i="131"/>
  <c r="B21" i="131"/>
  <c r="I12" i="131"/>
  <c r="I10" i="131"/>
  <c r="I9" i="13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C32" i="123"/>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L9" i="108" l="1"/>
  <c r="B20" i="161"/>
  <c r="L8" i="108"/>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<sst xmlns="http://schemas.openxmlformats.org/spreadsheetml/2006/main" count="3250" uniqueCount="1341">
  <si>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</si>
  <si>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</si>
  <si>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</si>
  <si>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</si>
  <si>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</si>
  <si>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</si>
  <si>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</si>
  <si>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</si>
  <si>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</si>
  <si>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</si>
  <si>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</si>
  <si>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</si>
  <si>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</si>
  <si>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</si>
  <si>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</si>
  <si>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</si>
  <si>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</si>
  <si>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</si>
  <si>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</si>
  <si>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</si>
  <si>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</si>
  <si>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</si>
  <si>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</si>
  <si>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</si>
  <si>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</si>
  <si>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</si>
  <si>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</si>
  <si>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</si>
  <si>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</si>
  <si>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</si>
  <si>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</si>
  <si>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</si>
  <si>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</si>
  <si>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</si>
  <si>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</si>
  <si>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</si>
  <si>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</si>
  <si>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</si>
  <si>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</si>
  <si>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</si>
  <si>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</si>
  <si>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</si>
  <si>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</si>
  <si>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</si>
  <si>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</si>
  <si>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</si>
  <si>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</si>
  <si>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</si>
  <si>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</si>
  <si>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</si>
  <si>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</si>
  <si>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</si>
  <si>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</si>
  <si>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</si>
  <si>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</si>
  <si>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</si>
  <si>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</si>
  <si>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</si>
  <si>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</si>
  <si>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</si>
  <si>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</si>
  <si>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</si>
  <si>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</si>
  <si>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</si>
  <si>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</si>
  <si>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</si>
  <si>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</si>
  <si>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</si>
  <si>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</si>
  <si>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</si>
  <si>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</si>
  <si>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</si>
  <si>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</si>
  <si>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</si>
  <si>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</si>
  <si>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</si>
  <si>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</si>
  <si>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</si>
  <si>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</si>
  <si>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</si>
  <si>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</si>
  <si>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</si>
  <si>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</si>
  <si>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</si>
  <si>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</si>
  <si>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</si>
  <si>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</si>
  <si>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</si>
  <si>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</si>
  <si>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</si>
  <si>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</si>
  <si>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</si>
  <si>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</si>
  <si>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</si>
  <si>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</si>
  <si>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A.2.1</t>
  </si>
  <si>
    <t>A.2.2</t>
  </si>
  <si>
    <t>A.2.3</t>
  </si>
  <si>
    <t>A.2.4</t>
  </si>
  <si>
    <t>A.2.5</t>
  </si>
  <si>
    <t>Date and time of the observation</t>
  </si>
  <si>
    <t>Performer</t>
  </si>
  <si>
    <t>Reporter</t>
  </si>
  <si>
    <t>With certain observation results, e.g. there may also be an interpreter or a person responsible for validation.</t>
  </si>
  <si>
    <t>Result description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</si>
  <si>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</si>
  <si>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</si>
  <si>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</si>
  <si>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</si>
  <si>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</si>
  <si>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</si>
  <si>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</si>
  <si>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</si>
  <si>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</si>
  <si>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</si>
  <si>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</si>
  <si>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</si>
  <si>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</si>
  <si>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</si>
  <si>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</si>
  <si>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</si>
  <si>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result</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</si>
  <si>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</si>
  <si>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</si>
  <si>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</si>
  <si>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</si>
  <si>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</si>
  <si>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</si>
  <si>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</si>
  <si>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</si>
  <si>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</si>
  <si>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</si>
  <si>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</si>
  <si>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</si>
  <si>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</si>
  <si>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</si>
  <si>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</si>
  <si>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</si>
  <si>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</si>
  <si>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</si>
  <si>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</si>
  <si>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</si>
  <si>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</si>
  <si>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</si>
  <si>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</si>
  <si>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</si>
  <si>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</si>
  <si>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</si>
  <si>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</si>
  <si>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</si>
  <si>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</si>
  <si>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</si>
  <si>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</si>
  <si>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Author</t>
  </si>
  <si>
    <t>eHNLabAuthor2Fhir</t>
  </si>
  <si>
    <t>eHN Lab Author model to FHIR R4 Map</t>
  </si>
  <si>
    <t>HumanName</t>
  </si>
  <si>
    <t>Result</t>
  </si>
  <si>
    <t>Date and time of the observation - Preferred system(s): ISO 8601</t>
  </si>
  <si>
    <t>observation</t>
  </si>
  <si>
    <t>Narrative</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</si>
  <si>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</si>
  <si>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</si>
  <si>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</si>
  <si>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</si>
  <si>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</si>
  <si>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</si>
  <si>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</si>
  <si>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</si>
  <si>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</si>
  <si>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</si>
  <si>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</si>
  <si>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</si>
  <si>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</si>
  <si>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</si>
  <si>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</si>
  <si>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</si>
  <si>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</si>
  <si>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</si>
  <si>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Comment</t>
  </si>
  <si>
    <t>//  Comments</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</si>
  <si>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</si>
  <si>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</si>
  <si>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</si>
  <si>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</si>
  <si>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</si>
  <si>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</si>
  <si>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</si>
  <si>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</si>
  <si>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</si>
  <si>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</si>
  <si>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</si>
  <si>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</si>
  <si>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</si>
  <si>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</si>
  <si>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</si>
  <si>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</si>
  <si>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</si>
  <si>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</si>
  <si>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</si>
  <si>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</si>
  <si>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</si>
  <si>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</si>
  <si>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</si>
  <si>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</si>
  <si>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</si>
  <si>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</si>
  <si>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</si>
  <si>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</si>
  <si>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</si>
  <si>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</si>
  <si>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</si>
  <si>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</si>
  <si>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</si>
  <si>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</si>
  <si>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</si>
  <si>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</si>
  <si>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</si>
  <si>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</si>
  <si>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</si>
  <si>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</si>
  <si>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</si>
  <si>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</si>
  <si>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</si>
  <si>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</si>
  <si>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</si>
  <si>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</si>
  <si>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</si>
  <si>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</si>
  <si>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</si>
  <si>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</si>
  <si>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</si>
  <si>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</si>
  <si>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</si>
  <si>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</si>
  <si>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</si>
  <si>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Payer2Fhir</t>
  </si>
  <si>
    <t>LegalAuth2Fhir</t>
  </si>
  <si>
    <t>ServiceRequest</t>
  </si>
  <si>
    <t>Composition.attester.where(mode='legal')</t>
  </si>
  <si>
    <t>type</t>
  </si>
  <si>
    <t>eHN Result to this guide Map</t>
  </si>
  <si>
    <t>eHN Result Model to this guide Map</t>
  </si>
  <si>
    <t>It shows how the Result data set defined by the EU eHN guidelines is mapped into this guide</t>
  </si>
  <si>
    <t>text</t>
  </si>
  <si>
    <t>Observation</t>
  </si>
  <si>
    <t>performer</t>
  </si>
  <si>
    <t>code.text</t>
  </si>
  <si>
    <t>result-to-fhir-map.fsh</t>
  </si>
  <si>
    <t>author</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</si>
  <si>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</si>
  <si>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</si>
  <si>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</si>
  <si>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</si>
  <si>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</si>
  <si>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</si>
  <si>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</si>
  <si>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</si>
  <si>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</si>
  <si>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</si>
  <si>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</si>
  <si>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</si>
  <si>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</si>
  <si>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</si>
  <si>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</si>
  <si>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</si>
  <si>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</si>
  <si>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</si>
  <si>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</si>
  <si>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</si>
  <si>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</si>
  <si>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For interpreter: performer.extension:performerFunction = AUT (author)
If the person responsible for validation:  performer.extension:performerFunction = AUTHEN or LA</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</si>
  <si>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</si>
  <si>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</si>
  <si>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</si>
  <si>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</si>
  <si>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</si>
  <si>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</si>
  <si>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</si>
  <si>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</si>
  <si>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</si>
  <si>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</si>
  <si>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</si>
  <si>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</si>
  <si>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</si>
  <si>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A.1.5 - Author</t>
  </si>
  <si>
    <t>A.1.3 - Health insurance and payment information</t>
  </si>
  <si>
    <t>A.1.6 - Legal authenticator</t>
  </si>
  <si>
    <t>Sometimes the identifier assigned by the payor (e.g. the SSN) is used as one of the Patient Identifiers</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</si>
  <si>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</si>
  <si>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</si>
  <si>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</si>
  <si>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</si>
  <si>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</si>
  <si>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</si>
  <si>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</si>
  <si>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</si>
  <si>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</si>
  <si>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</si>
  <si>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</si>
  <si>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</si>
  <si>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</si>
  <si>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</si>
  <si>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</si>
  <si>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</si>
  <si>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</si>
  <si>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</si>
  <si>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</si>
  <si>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</si>
  <si>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</si>
  <si>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</si>
  <si>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</si>
  <si>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</si>
  <si>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</si>
  <si>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</si>
  <si>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location</t>
  </si>
  <si>
    <t>resultsInterpreter.practitioner.name</t>
  </si>
  <si>
    <t>Device Author, implies author.ofType(Device)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</si>
  <si>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</si>
  <si>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</si>
  <si>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</si>
  <si>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</si>
  <si>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</si>
  <si>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</si>
  <si>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</si>
  <si>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</si>
  <si>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</si>
  <si>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</si>
  <si>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</si>
  <si>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</si>
  <si>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</si>
  <si>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</si>
  <si>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</si>
  <si>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</si>
  <si>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</si>
  <si>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</si>
  <si>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</si>
  <si>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</si>
  <si>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</si>
  <si>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</si>
  <si>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</si>
  <si>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</si>
  <si>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</si>
  <si>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</si>
  <si>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</si>
  <si>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</si>
  <si>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</si>
  <si>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</si>
  <si>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</si>
  <si>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</si>
  <si>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</si>
  <si>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</si>
  <si>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</si>
  <si>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</si>
  <si>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</si>
  <si>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</si>
  <si>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</si>
  <si>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</si>
  <si>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</si>
  <si>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</si>
  <si>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</si>
  <si>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</si>
  <si>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</si>
  <si>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</si>
  <si>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</si>
  <si>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</si>
  <si>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</si>
  <si>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</si>
  <si>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</si>
  <si>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</si>
  <si>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</si>
  <si>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</si>
  <si>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</si>
  <si>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</si>
  <si>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</si>
  <si>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</si>
  <si>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</si>
  <si>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</si>
  <si>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</si>
  <si>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</si>
  <si>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</si>
  <si>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</si>
  <si>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</si>
  <si>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</si>
  <si>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</si>
  <si>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</si>
  <si>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</si>
  <si>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</si>
  <si>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</si>
  <si>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</si>
  <si>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</si>
  <si>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</si>
  <si>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</si>
  <si>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</si>
  <si>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</si>
  <si>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</si>
  <si>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</si>
  <si>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</si>
  <si>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</si>
  <si>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</si>
  <si>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</si>
  <si>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</si>
  <si>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</si>
  <si>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</si>
  <si>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</si>
  <si>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</si>
  <si>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</si>
  <si>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</si>
  <si>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</si>
  <si>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</si>
  <si>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</si>
  <si>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</si>
  <si>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</si>
  <si>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</si>
  <si>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</si>
  <si>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</si>
  <si>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</si>
  <si>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</si>
  <si>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</si>
  <si>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</si>
  <si>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</si>
  <si>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</si>
  <si>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</si>
  <si>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</si>
  <si>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</si>
  <si>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</si>
  <si>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</si>
  <si>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</si>
  <si>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</si>
  <si>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</si>
  <si>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</si>
  <si>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ps-subject.fsh</t>
  </si>
  <si>
    <t>ServiceRequest.conformsTo('http://hl7.eu/fhir/ig/xeh/StructureDefinition/ServiceRequest-ps-xeh').insurance.resolve().ofType(Coverage)</t>
  </si>
  <si>
    <t>ps-payer.fsh</t>
  </si>
  <si>
    <t>ps-author.fsh</t>
  </si>
  <si>
    <t>ps-legalAuth.fsh</t>
  </si>
  <si>
    <t>ps-result.fsh</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</si>
  <si>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</si>
  <si>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</si>
  <si>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</si>
  <si>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</si>
  <si>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</si>
  <si>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</si>
  <si>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</si>
  <si>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</si>
  <si>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</si>
  <si>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</si>
  <si>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</si>
  <si>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</si>
  <si>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</si>
  <si>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</si>
  <si>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</si>
  <si>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</si>
  <si>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</si>
  <si>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</si>
  <si>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</si>
  <si>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</si>
  <si>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</si>
  <si>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</si>
  <si>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</si>
  <si>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</si>
  <si>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</si>
  <si>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</si>
  <si>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</si>
  <si>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</si>
  <si>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</si>
  <si>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</si>
  <si>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</si>
  <si>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</si>
  <si>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</si>
  <si>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</si>
  <si>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</si>
  <si>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</si>
  <si>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</si>
  <si>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</si>
  <si>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</si>
  <si>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</si>
  <si>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</si>
  <si>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</si>
  <si>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</si>
  <si>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</si>
  <si>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</si>
  <si>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</si>
  <si>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</si>
  <si>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</si>
  <si>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</si>
  <si>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</si>
  <si>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</si>
  <si>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</si>
  <si>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</si>
  <si>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</si>
  <si>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</si>
  <si>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</si>
  <si>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</si>
  <si>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</si>
  <si>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</si>
  <si>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</si>
  <si>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</si>
  <si>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</si>
  <si>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</si>
  <si>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</si>
  <si>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</si>
  <si>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</si>
  <si>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</si>
  <si>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</si>
  <si>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</si>
  <si>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</si>
  <si>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</si>
  <si>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</si>
  <si>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</si>
  <si>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</si>
  <si>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</si>
  <si>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</si>
  <si>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</si>
  <si>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</si>
  <si>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</si>
  <si>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subject2FHIR-eu-ps</t>
  </si>
  <si>
    <t>payer2FHIR-eu-ps</t>
  </si>
  <si>
    <t>author2FHIR-eu-ps</t>
  </si>
  <si>
    <t>legalAuth2FHIR-eu-ps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</si>
  <si>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</si>
  <si>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</si>
  <si>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</si>
  <si>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</si>
  <si>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</si>
  <si>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</si>
  <si>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</si>
  <si>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</si>
  <si>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</si>
  <si>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</si>
  <si>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</si>
  <si>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</si>
  <si>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</si>
  <si>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</si>
  <si>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</si>
  <si>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</si>
  <si>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</si>
  <si>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</si>
  <si>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</si>
  <si>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</si>
  <si>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</si>
  <si>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</si>
  <si>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</si>
  <si>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</si>
  <si>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</si>
  <si>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</si>
  <si>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</si>
  <si>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</si>
  <si>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</si>
  <si>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</si>
  <si>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</si>
  <si>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</si>
  <si>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</si>
  <si>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</si>
  <si>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</si>
  <si>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</si>
  <si>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</si>
  <si>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</si>
  <si>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</si>
  <si>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</si>
  <si>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</si>
  <si>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</si>
  <si>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</si>
  <si>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</si>
  <si>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</si>
  <si>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</si>
  <si>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</si>
  <si>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</si>
  <si>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</si>
  <si>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</si>
  <si>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</si>
  <si>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</si>
  <si>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</si>
  <si>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</si>
  <si>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</si>
  <si>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</si>
  <si>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</si>
  <si>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</si>
  <si>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</si>
  <si>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</si>
  <si>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</si>
  <si>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</si>
  <si>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</si>
  <si>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</si>
  <si>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</si>
  <si>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</si>
  <si>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</si>
  <si>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</si>
  <si>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</si>
  <si>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</si>
  <si>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</si>
  <si>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</si>
  <si>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</si>
  <si>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</si>
  <si>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</si>
  <si>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</si>
  <si>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</si>
  <si>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</si>
  <si>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</si>
  <si>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</si>
  <si>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</si>
  <si>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</si>
  <si>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</si>
  <si>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</si>
  <si>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</si>
  <si>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</si>
  <si>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</si>
  <si>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</si>
  <si>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</si>
  <si>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</si>
  <si>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</si>
  <si>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</si>
  <si>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</si>
  <si>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</si>
  <si>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</si>
  <si>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</si>
  <si>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</si>
  <si>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</si>
  <si>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</si>
  <si>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</si>
  <si>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</si>
  <si>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</si>
  <si>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</si>
  <si>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</si>
  <si>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</si>
  <si>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</si>
  <si>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</si>
  <si>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</si>
  <si>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</si>
  <si>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</si>
  <si>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</si>
  <si>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</si>
  <si>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</si>
  <si>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</si>
  <si>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</si>
  <si>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</si>
  <si>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</si>
  <si>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</si>
  <si>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</si>
  <si>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</si>
  <si>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</si>
  <si>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</si>
  <si>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</si>
  <si>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</si>
  <si>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</si>
  <si>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</si>
  <si>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</si>
  <si>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</si>
  <si>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</si>
  <si>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</si>
  <si>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</si>
  <si>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</si>
  <si>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</si>
  <si>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</si>
  <si>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</si>
  <si>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</si>
  <si>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</si>
  <si>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</si>
  <si>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</si>
  <si>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</si>
  <si>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</si>
  <si>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</si>
  <si>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</si>
  <si>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</si>
  <si>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</si>
  <si>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</si>
  <si>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</si>
  <si>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</si>
  <si>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</si>
  <si>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</si>
  <si>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</si>
  <si>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</si>
  <si>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</si>
  <si>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</si>
  <si>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</si>
  <si>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Functional assessment date</t>
  </si>
  <si>
    <t>Date of the functional assessment</t>
  </si>
  <si>
    <t>Functional assessment result</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</si>
  <si>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</si>
  <si>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</si>
  <si>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</si>
  <si>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</si>
  <si>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</si>
  <si>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</si>
  <si>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</si>
  <si>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</si>
  <si>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</si>
  <si>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</si>
  <si>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</si>
  <si>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</si>
  <si>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</si>
  <si>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</si>
  <si>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</si>
  <si>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</si>
  <si>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</si>
  <si>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</si>
  <si>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</si>
  <si>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</si>
  <si>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</si>
  <si>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</si>
  <si>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</si>
  <si>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</si>
  <si>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</si>
  <si>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</si>
  <si>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</si>
  <si>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</si>
  <si>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</si>
  <si>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</si>
  <si>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</si>
  <si>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</si>
  <si>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</si>
  <si>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</si>
  <si>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</si>
  <si>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</si>
  <si>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</si>
  <si>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</si>
  <si>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</si>
  <si>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</si>
  <si>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</si>
  <si>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</si>
  <si>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</si>
  <si>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</si>
  <si>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</si>
  <si>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</si>
  <si>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</si>
  <si>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</si>
  <si>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</si>
  <si>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</si>
  <si>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</si>
  <si>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</si>
  <si>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</si>
  <si>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</si>
  <si>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</si>
  <si>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</si>
  <si>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</si>
  <si>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</si>
  <si>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</si>
  <si>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</si>
  <si>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</si>
  <si>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</si>
  <si>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</si>
  <si>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</si>
  <si>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</si>
  <si>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</si>
  <si>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</si>
  <si>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</si>
  <si>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</si>
  <si>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</si>
  <si>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</si>
  <si>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</si>
  <si>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</si>
  <si>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</si>
  <si>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</si>
  <si>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</si>
  <si>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</si>
  <si>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</si>
  <si>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</si>
  <si>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</si>
  <si>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</si>
  <si>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</si>
  <si>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</si>
  <si>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</si>
  <si>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</si>
  <si>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</si>
  <si>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</si>
  <si>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</si>
  <si>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</si>
  <si>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</si>
  <si>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</si>
  <si>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</si>
  <si>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</si>
  <si>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</si>
  <si>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</si>
  <si>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</si>
  <si>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</si>
  <si>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</si>
  <si>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</si>
  <si>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</si>
  <si>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</si>
  <si>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</si>
  <si>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</si>
  <si>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</si>
  <si>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</si>
  <si>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</si>
  <si>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</si>
  <si>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</si>
  <si>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</si>
  <si>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</si>
  <si>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</si>
  <si>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</si>
  <si>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</si>
  <si>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</si>
  <si>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</si>
  <si>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</si>
  <si>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</si>
  <si>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</si>
  <si>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</si>
  <si>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</si>
  <si>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</si>
  <si>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</si>
  <si>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</si>
  <si>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</si>
  <si>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</si>
  <si>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</si>
  <si>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</si>
  <si>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</si>
  <si>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</si>
  <si>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</si>
  <si>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</si>
  <si>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</si>
  <si>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</si>
  <si>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</si>
  <si>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</si>
  <si>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</si>
  <si>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</si>
  <si>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</si>
  <si>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</si>
  <si>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</si>
  <si>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</si>
  <si>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</si>
  <si>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</si>
  <si>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</si>
  <si>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</si>
  <si>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</si>
  <si>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</si>
  <si>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</si>
  <si>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</si>
  <si>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</si>
  <si>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</si>
  <si>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</si>
  <si>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</si>
  <si>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</si>
  <si>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</si>
  <si>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</si>
  <si>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</si>
  <si>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</si>
  <si>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</si>
  <si>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</si>
  <si>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</si>
  <si>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</si>
  <si>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</si>
  <si>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</si>
  <si>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</si>
  <si>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</si>
  <si>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</si>
  <si>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</si>
  <si>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</si>
  <si>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</si>
  <si>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</si>
  <si>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</si>
  <si>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</si>
  <si>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</si>
  <si>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</si>
  <si>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</si>
  <si>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</si>
  <si>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</si>
  <si>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</si>
  <si>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</si>
  <si>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</si>
  <si>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</si>
  <si>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</si>
  <si>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</si>
  <si>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</si>
  <si>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</si>
  <si>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</si>
  <si>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</si>
  <si>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</si>
  <si>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</si>
  <si>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</si>
  <si>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</si>
  <si>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</si>
  <si>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</si>
  <si>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</si>
  <si>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</si>
  <si>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</si>
  <si>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</si>
  <si>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</si>
  <si>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</si>
  <si>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</si>
  <si>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</si>
  <si>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</si>
  <si>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</si>
  <si>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</si>
  <si>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</si>
  <si>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</si>
  <si>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</si>
  <si>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</si>
  <si>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</si>
  <si>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</si>
  <si>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</si>
  <si>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</si>
  <si>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</si>
  <si>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</si>
  <si>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</si>
  <si>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</si>
  <si>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</si>
  <si>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</si>
  <si>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</si>
  <si>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</si>
  <si>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</si>
  <si>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</si>
  <si>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</si>
  <si>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</si>
  <si>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</si>
  <si>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</si>
  <si>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</si>
  <si>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</si>
  <si>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</si>
  <si>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</si>
  <si>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</si>
  <si>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</si>
  <si>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</si>
  <si>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</si>
  <si>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</si>
  <si>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</si>
  <si>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</si>
  <si>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</si>
  <si>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</si>
  <si>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</si>
  <si>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</si>
  <si>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</si>
  <si>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</si>
  <si>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</si>
  <si>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</si>
  <si>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</si>
  <si>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</si>
  <si>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</si>
  <si>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</si>
  <si>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</si>
  <si>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</si>
  <si>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</si>
  <si>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</si>
  <si>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</si>
  <si>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</si>
  <si>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</si>
  <si>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</si>
  <si>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</si>
  <si>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</si>
  <si>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</si>
  <si>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</si>
  <si>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</si>
  <si>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</si>
  <si>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</si>
  <si>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</si>
  <si>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</si>
  <si>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</si>
  <si>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</si>
  <si>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</si>
  <si>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</si>
  <si>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</si>
  <si>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</si>
  <si>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</si>
  <si>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</si>
  <si>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</si>
  <si>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</si>
  <si>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</si>
  <si>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</si>
  <si>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</si>
  <si>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</si>
  <si>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</si>
  <si>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</si>
  <si>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</si>
  <si>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</si>
  <si>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</si>
  <si>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</si>
  <si>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</si>
  <si>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</si>
  <si>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</si>
  <si>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</si>
  <si>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</si>
  <si>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</si>
  <si>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</si>
  <si>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</si>
  <si>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</si>
  <si>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</si>
  <si>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</si>
  <si>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</si>
  <si>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</si>
  <si>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</si>
  <si>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</si>
  <si>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</si>
  <si>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</si>
  <si>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</si>
  <si>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</si>
  <si>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</si>
  <si>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</si>
  <si>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</si>
  <si>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</si>
  <si>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</si>
  <si>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</si>
  <si>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</si>
  <si>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</si>
  <si>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</si>
  <si>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</si>
  <si>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</si>
  <si>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</si>
  <si>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</si>
  <si>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</si>
  <si>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</si>
  <si>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</si>
  <si>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</si>
  <si>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</si>
  <si>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</si>
  <si>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vaccination2FHIR-eu-ps</t>
  </si>
  <si>
    <t>vaccination-to-fhir-map.fsh</t>
  </si>
  <si>
    <t>A.1.4 Information recipient (intended recipient or recipients of the report, additional recipients might be identified by the vaccinationing party, e.g. GP, other specialist), if applicable</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</si>
  <si>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</si>
  <si>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</si>
  <si>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</si>
  <si>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</si>
  <si>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</si>
  <si>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</si>
  <si>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</si>
  <si>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</si>
  <si>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</si>
  <si>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</si>
  <si>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</si>
  <si>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</si>
  <si>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</si>
  <si>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</si>
  <si>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</si>
  <si>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</si>
  <si>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</si>
  <si>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</si>
  <si>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</si>
  <si>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</si>
  <si>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</si>
  <si>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</si>
  <si>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</si>
  <si>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</si>
  <si>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</si>
  <si>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</si>
  <si>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</si>
  <si>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</si>
  <si>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</si>
  <si>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</si>
  <si>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</si>
  <si>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</si>
  <si>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</si>
  <si>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</si>
  <si>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</si>
  <si>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</si>
  <si>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</si>
  <si>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</si>
  <si>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</si>
  <si>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</si>
  <si>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</si>
  <si>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</si>
  <si>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</si>
  <si>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</si>
  <si>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</si>
  <si>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</si>
  <si>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</si>
  <si>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</si>
  <si>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</si>
  <si>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</si>
  <si>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</si>
  <si>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</si>
  <si>
    <t>Medicine2Fhir</t>
  </si>
  <si>
    <t>eHN Medicine to this guide Map</t>
  </si>
  <si>
    <t>eHN Medicine Model to this guide Map</t>
  </si>
  <si>
    <t>It shows how the Medicine  data set defined by the EU eHN guidelines is mapped into this guide</t>
  </si>
  <si>
    <t>MedicationStatement</t>
  </si>
  <si>
    <t>reasonCode</t>
  </si>
  <si>
    <t>reasonReference</t>
  </si>
  <si>
    <t>if provided as a reference to a Condition</t>
  </si>
  <si>
    <t>if only a code is provided</t>
  </si>
  <si>
    <t>TBD</t>
  </si>
  <si>
    <t>medication[x]</t>
  </si>
  <si>
    <t>see group 2</t>
  </si>
  <si>
    <t>dosage</t>
  </si>
  <si>
    <t>effectivePeriod.start</t>
  </si>
  <si>
    <t>medicine-to-fhir-map.fsh</t>
  </si>
  <si>
    <t>Medication</t>
  </si>
  <si>
    <t>ingredient.itemCodeableConcept</t>
  </si>
  <si>
    <t>where ingredient.isActive = true</t>
  </si>
  <si>
    <t>ingredient.strength</t>
  </si>
  <si>
    <t>form</t>
  </si>
  <si>
    <t>A.2.9.1 Plan of care</t>
  </si>
  <si>
    <t>body.planOfCare.carePlan</t>
  </si>
  <si>
    <t>section:sectionPlanOfCare.text</t>
  </si>
  <si>
    <t>A.2.8.1 Result observations</t>
  </si>
  <si>
    <t>A.2.8.1.1 Date</t>
  </si>
  <si>
    <t>A.2.8.1.2 Observation type</t>
  </si>
  <si>
    <t>A.2.8.1.3 Result description</t>
  </si>
  <si>
    <t>A.2.8.1.4 Observation details</t>
  </si>
  <si>
    <t>A.2.8.1.5 Observation results</t>
  </si>
  <si>
    <t>A.2.8.1.6 Performer</t>
  </si>
  <si>
    <t>A.2.8.1.7 Reporter</t>
  </si>
  <si>
    <t xml:space="preserve">Observation results types that may be measurements, laboratory results, anatomic pathology results, radiology results or other imaging or clinical results. Examples: Diagnostic results (Blood group, Laboratory Observations, Imaging results etc.) Physical findings (Vital signs observations) </t>
  </si>
  <si>
    <t>HL7 ObservationCategoryCodes</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</si>
  <si>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t>
  </si>
  <si>
    <t>Observation details including code that identifies observation, specification of the observed body structure or specimen, date and time of the specimen collection. LOINC - Preferred system(s): SNOMED CT GPS NPU</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</si>
  <si>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t>
  </si>
  <si>
    <t>Results data elements. Section A2.8 of the eHN guideline.</t>
  </si>
  <si>
    <t>details</t>
  </si>
  <si>
    <t>reporter</t>
  </si>
  <si>
    <t>http://hl7.eu/fhir/ig/xpandh/ps/StructureDefinition/Observation-results-xpandh</t>
  </si>
  <si>
    <t>effectiveDateTime</t>
  </si>
  <si>
    <t>Whe it represents the date clincally relevant time (e.g. the time of specimen collection for Lab results</t>
  </si>
  <si>
    <t>issued</t>
  </si>
  <si>
    <t>When is the time when this result has been made available</t>
  </si>
  <si>
    <t>text describing the result</t>
  </si>
  <si>
    <t xml:space="preserve">details are described by a set of observation elements </t>
  </si>
  <si>
    <t>value</t>
  </si>
  <si>
    <t>hasMember</t>
  </si>
  <si>
    <t>component.value</t>
  </si>
  <si>
    <t>when the result is provided in a subordinated observation</t>
  </si>
  <si>
    <t>when it refers to a component result</t>
  </si>
  <si>
    <t>A.2.7.2.1 Documentation</t>
  </si>
  <si>
    <t>Existence of documentation on living will.
Preferred system: SNOMED CT GPS</t>
  </si>
  <si>
    <t>body.patientData.advanceDirective.documentation</t>
  </si>
  <si>
    <t>to be reviewed</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</si>
  <si>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t>
  </si>
  <si>
    <t xml:space="preserve"> ICD-10* SNOMED CT GPS Orphacode if rare disease is diagnosed</t>
  </si>
  <si>
    <t>A.2.2.2.1 Problem description</t>
  </si>
  <si>
    <t>A.2.2.2.2 Onset date</t>
  </si>
  <si>
    <t>A.2.2.2.3 End date</t>
  </si>
  <si>
    <t>A.2.2.2.4 Resolution circumstances</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</si>
  <si>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t>
  </si>
  <si>
    <t>Date of problem onset - Preferred system(s): ISO 8601</t>
  </si>
  <si>
    <t>Problem resolution date - Preferred system(s): ISO 8601</t>
  </si>
  <si>
    <t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t>
  </si>
  <si>
    <t>ClosedProblemPsEhn</t>
  </si>
  <si>
    <t>Resolved, closed or inactive problems. Section A.2.2.2 of the eHN guideline.</t>
  </si>
  <si>
    <t>ps-closedproblem.fsh</t>
  </si>
  <si>
    <t>resolution</t>
  </si>
  <si>
    <t>ClosedProblem2Fhir</t>
  </si>
  <si>
    <t>eHN ClosedProblem to this guide Map</t>
  </si>
  <si>
    <t>eHN ClosedProblem Model to this guide Map</t>
  </si>
  <si>
    <t>It shows how the ClosedProblem data set defined by the EU eHN guidelines is mapped into this guide</t>
  </si>
  <si>
    <t>Condition</t>
  </si>
  <si>
    <t>abatementDateTime</t>
  </si>
  <si>
    <t>closedproblem-to-fhir-map.fsh</t>
  </si>
  <si>
    <t>ClosedProblem</t>
  </si>
  <si>
    <t>A.2.3.1 Current problems</t>
  </si>
  <si>
    <t>Current problems. Section A.2.3.1 of the eHN guideline.</t>
  </si>
  <si>
    <t>Health conditions affecting the health of the patient and are important to be known for a health professional during a health encounter. - Preferred system(s): ICD-10* SNOMED CT GPS Orphacode if rare disease is diagnosed</t>
  </si>
  <si>
    <t>Assertion about the certainty associated with a diagnosis. Diagnostic and/or clinical evidence of condition. - Preferred system(s): HL7</t>
  </si>
  <si>
    <t>A.2.3.1.1 Problem / diagnosis description</t>
  </si>
  <si>
    <t>A.2.3.1.2 Onset date</t>
  </si>
  <si>
    <t>A.2.3.1.3 Diagnosis assertion status</t>
  </si>
  <si>
    <t>ProblemPsEhn</t>
  </si>
  <si>
    <t>Problem</t>
  </si>
  <si>
    <t>ps-problem.fsh</t>
  </si>
  <si>
    <t>problem-to-fhir-map.fsh</t>
  </si>
  <si>
    <t>A.2.3 Medical problems</t>
  </si>
  <si>
    <t>body.medicalProblems</t>
  </si>
  <si>
    <t>body.medicalProblems.medicalDevices</t>
  </si>
  <si>
    <t>body.medicalProblems.procedures</t>
  </si>
  <si>
    <t>body.medicalProblems.functionalStatus</t>
  </si>
  <si>
    <t>body.medicalProblems.problems</t>
  </si>
  <si>
    <t>section:section:sectionProblems</t>
  </si>
  <si>
    <t>Problem2Fhir</t>
  </si>
  <si>
    <t>eHN Problem to this guide Map</t>
  </si>
  <si>
    <t>eHN Problem Model to this guide Map</t>
  </si>
  <si>
    <t>It shows how the Problem data set defined by the EU eHN guidelines is mapped into this guide</t>
  </si>
  <si>
    <t>closedProblem2FHIR-eu-ps</t>
  </si>
  <si>
    <t>problem2FHIR-eu-ps</t>
  </si>
  <si>
    <t>A.2.2.3.1 Medical history</t>
  </si>
  <si>
    <t>body.medicalHistory.anamnesis.details</t>
  </si>
  <si>
    <t>section:section:sectionPatientHx</t>
  </si>
  <si>
    <t>medicine2FHIR-eu-ps</t>
  </si>
  <si>
    <t>Medical devices and implants
Section A.2.3.2 of the eHN guideline.</t>
  </si>
  <si>
    <t>MedicalDevicePsEhn</t>
  </si>
  <si>
    <t>MedicalDevice</t>
  </si>
  <si>
    <t>A.2.3.2.1 Device and implant description</t>
  </si>
  <si>
    <t>A.2.3.2.2 Device ID</t>
  </si>
  <si>
    <t>A.2.3.2.3 Implant date</t>
  </si>
  <si>
    <t>A.2.3.2.4 End date</t>
  </si>
  <si>
    <t>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t>
  </si>
  <si>
    <t>Date when procedure was performed - Preferred system(s): ISO 8601</t>
  </si>
  <si>
    <t>Date when the device was explanted from the patient or the external device was no longer in use; likewise when the device is planned to be explanted - Preferred system(s): ISO 8601</t>
  </si>
  <si>
    <t>implantDate</t>
  </si>
  <si>
    <t>ps-devices.fsh</t>
  </si>
  <si>
    <t>MedicalDevice2Fhir</t>
  </si>
  <si>
    <t>medicalDevice2FHIR-eu-ps</t>
  </si>
  <si>
    <t>eHN Medical Devices Model to this guide Map</t>
  </si>
  <si>
    <t>It shows how theMedical Devices Recipient data set defined by the EU eHN guidelines is mapped into this guide</t>
  </si>
  <si>
    <t>DeviceUseStatement</t>
  </si>
  <si>
    <t>device.type</t>
  </si>
  <si>
    <t>device.identifier</t>
  </si>
  <si>
    <t>device.udiCarrier</t>
  </si>
  <si>
    <t>If it is an UDI</t>
  </si>
  <si>
    <t>If it is a generic identifier</t>
  </si>
  <si>
    <t>timingPeriod.start</t>
  </si>
  <si>
    <t>timingPeriod.end</t>
  </si>
  <si>
    <t>devices-to-fhir-map.fsh</t>
  </si>
  <si>
    <t>ProcedurePsEhn</t>
  </si>
  <si>
    <t>Procedure</t>
  </si>
  <si>
    <t>Procedure2Fhir</t>
  </si>
  <si>
    <t>Procedures.Section A.2.3.3 of the eHN guideline.</t>
  </si>
  <si>
    <t>procedure2FHIR-eu-ps</t>
  </si>
  <si>
    <t>A.2.3.3.1 Procedure description</t>
  </si>
  <si>
    <t>A.2.3.3.2 Body site</t>
  </si>
  <si>
    <t>A.2.3.3.3 Procedure date</t>
  </si>
  <si>
    <t>Describes the type of procedure - Preferred system(s): SNOMED CT GPS*</t>
  </si>
  <si>
    <t>Procedure target body site - Preferred system(s): SNOMED CT GPS*</t>
  </si>
  <si>
    <t>ps-procedures.fsh</t>
  </si>
  <si>
    <t>http://hl7.eu/fhir/ig/xpandh/ps/StructureDefinition/Procedure-ps-xpandh</t>
  </si>
  <si>
    <t>bodySite</t>
  </si>
  <si>
    <t>performed[x]</t>
  </si>
  <si>
    <t>procedure-to-fhir-map.fsh</t>
  </si>
  <si>
    <t>FunctionalStatusPsEhn</t>
  </si>
  <si>
    <t>FunctionalStatus</t>
  </si>
  <si>
    <t>ICF</t>
  </si>
  <si>
    <t>Functional assessment result value</t>
  </si>
  <si>
    <t>Description of the functional assessment</t>
  </si>
  <si>
    <t>A.2.3.4.1 Description</t>
  </si>
  <si>
    <t>A.2.3.4.2 Onset Date</t>
  </si>
  <si>
    <t>A.2.3.4.3 Functional assessment description</t>
  </si>
  <si>
    <t>A.2.3.4.4 Functional assessment date</t>
  </si>
  <si>
    <t>A.2.3.4.5 Functional assessment result</t>
  </si>
  <si>
    <t>Onset date of a condition - Preferred system(s): ISO 8601</t>
  </si>
  <si>
    <t>Description of the functional assessment - Preferred system(s): ICF</t>
  </si>
  <si>
    <t>Date of the functional assessment - Preferred system(s): ISO 8601</t>
  </si>
  <si>
    <t>Functional assessment result value - Preferred system(s): ICF</t>
  </si>
  <si>
    <t>Need for the patient to be continuously assessed by third parties; functional status may influence decisions about how to plan and administer treatments.</t>
  </si>
  <si>
    <t>ps-functionalStatus.fsh</t>
  </si>
  <si>
    <t>A.2.3.3 - Functional Status</t>
  </si>
  <si>
    <t>Functional Status. Section A.2.3.3 of the eHN guideline.</t>
  </si>
  <si>
    <t>FunctionalStatus2Fhir</t>
  </si>
  <si>
    <t>functionalStatus2FHIR-eu-ps</t>
  </si>
  <si>
    <t>http://hl7.eu/fhir/ig/xpandh/ps/StructureDefinition/Composition-ps-xpandh</t>
  </si>
  <si>
    <t xml:space="preserve">where section.code = 'http://loinc.org#47420-5' </t>
  </si>
  <si>
    <t>where section.code = 'http://loinc.org#47420-5'  and entry of type Condition</t>
  </si>
  <si>
    <t>section.text</t>
  </si>
  <si>
    <t>section.entry.code</t>
  </si>
  <si>
    <t>section.entry.description</t>
  </si>
  <si>
    <t>where section.code = 'http://loinc.org#47420-5'  and entry of type ClinicalImpression</t>
  </si>
  <si>
    <t>section.entry.effective[x]</t>
  </si>
  <si>
    <t>section.entry.finding</t>
  </si>
  <si>
    <t>section.entry.onset[x]</t>
  </si>
  <si>
    <t>MAPPING TO BE FURTHER INVESTIGATED</t>
  </si>
  <si>
    <t>where section.code = 'http://loinc.org#47420-5'  and entry of type Condition.Considering the result as indication of the disability</t>
  </si>
  <si>
    <t>functionalStatus-to-fhir-map.fsh</t>
  </si>
  <si>
    <t>A.2.5.1 Social history observations related to health</t>
  </si>
  <si>
    <t>A.2.5.2 Reference date range</t>
  </si>
  <si>
    <t>Health related lifestyle factors or lifestyle observations and social determinants of health. Example: cigarette smoker, alcohol consumption. - Preferred System: SNOMED CT GPS</t>
  </si>
  <si>
    <t>Range</t>
  </si>
  <si>
    <t>body.socialHistory.observation</t>
  </si>
  <si>
    <t>body.socialHistory.referenceRange</t>
  </si>
  <si>
    <t>section:sectionSocialHistory.entry</t>
  </si>
  <si>
    <t>section:sectionSocialHistory.entry.effective[x]</t>
  </si>
  <si>
    <t>PregnancyPsEhn</t>
  </si>
  <si>
    <t>Pregnancy</t>
  </si>
  <si>
    <t>Pregnancy2Fhir</t>
  </si>
  <si>
    <t>pregnancy2FHIR-eu-ps</t>
  </si>
  <si>
    <t>ps-pregnancy.fsh</t>
  </si>
  <si>
    <t>pregnancy-to-fhir-map.fsh</t>
  </si>
  <si>
    <t>A.2.6.1.1 Date of observation</t>
  </si>
  <si>
    <t>A.2.6.1.2 Status</t>
  </si>
  <si>
    <t>A.2.6.1.3 Expected date of delivery</t>
  </si>
  <si>
    <t>A.2.6.2 History of previous pregnancies</t>
  </si>
  <si>
    <t>A.2.6.2.1 Previous pregnancies status</t>
  </si>
  <si>
    <t>A.2.6.2.2 Previous pregnancies description</t>
  </si>
  <si>
    <t>A.2.6.2.2.1 Outcome date</t>
  </si>
  <si>
    <t>A.2.6.2.2.2 Outcome</t>
  </si>
  <si>
    <t>A.2.6.2.2.3 Number of children</t>
  </si>
  <si>
    <t>Date on which the observation of the pregnancy state was made - Preferred system(s): ISO 8601</t>
  </si>
  <si>
    <t>Provides the woman's current state at the date the observation was made: e.g. pregnant, not pregnant, unknown - Preferred system(s): SNOMED CT GPS</t>
  </si>
  <si>
    <t>Date on which the woman is due to give birth. - Preferred system(s): ISO 8601</t>
  </si>
  <si>
    <t>Information on the woman's previous pregnancies: Yes, previous pregnancies; No, previous pregnancies; Unknown - Preferred system(s): SNOMED CT GPS</t>
  </si>
  <si>
    <t>Date referred to the previous pregnancies outcome - Preferred system(s): ISO 8601</t>
  </si>
  <si>
    <t>Outcome of the previous pregnancies - Preferred system(s): SNOMED CT GPS</t>
  </si>
  <si>
    <t>integer</t>
  </si>
  <si>
    <t>pregnancyStatus</t>
  </si>
  <si>
    <t>hxPreviousPregnancies</t>
  </si>
  <si>
    <t>pregnancyStatus.dateOfObservation</t>
  </si>
  <si>
    <t>pregnancyStatus.status</t>
  </si>
  <si>
    <t>pregnancyStatus.deliveryDate</t>
  </si>
  <si>
    <t>hxPreviousPregnancies.status</t>
  </si>
  <si>
    <t>hxPreviousPregnancies.description</t>
  </si>
  <si>
    <t>hxPreviousPregnancies.description.outcomeDate</t>
  </si>
  <si>
    <t>hxPreviousPregnancies.description.outcome</t>
  </si>
  <si>
    <t>hxPreviousPregnancies.description.numberOfChildren</t>
  </si>
  <si>
    <t>section:sectionPregnancyHx.entry:pregnancyStatus</t>
  </si>
  <si>
    <t>section:sectionPregnancyHx.entry:pregnancyStatus.effectiveDateTime</t>
  </si>
  <si>
    <t>section:sectionPregnancyHx.entry:pregnancyStatus.valueCodeabelConcept</t>
  </si>
  <si>
    <t>section:sectionPregnancyHx.entry:pregnancyStatus.hasMember.valueDateTime</t>
  </si>
  <si>
    <t>where section:sectionPregnancyHx.entry:pregnancyStatus.hasMember.code IN PregnancyExpectedDeliveryDateMethodUvIps value set</t>
  </si>
  <si>
    <t xml:space="preserve">section:sectionPregnancyHx.entry:pregnancyOutcomeSummary	</t>
  </si>
  <si>
    <t>section:sectionPregnancyHx.entry</t>
  </si>
  <si>
    <t>Observation profile to be added</t>
  </si>
  <si>
    <t>section:sectionPregnancyHx.entry:pregnancyOutcomeSummary.effectiveDateTime</t>
  </si>
  <si>
    <t>section:sectionPregnancyHx.entry:pregnancyOutcomeSummary.code</t>
  </si>
  <si>
    <t>to be checked</t>
  </si>
  <si>
    <t>section:sectionPregnancyHx.entry:pregnancyOutcomeSummary.valueQuentity</t>
  </si>
  <si>
    <t>A.2.7.1.1 Country</t>
  </si>
  <si>
    <t>A.2.7.1.2 Period</t>
  </si>
  <si>
    <t>A.1.4.1 Country(s) visited - Preferred System: ISO 3166</t>
  </si>
  <si>
    <t>A.1.4.2 Date of entry and departure - Preferred System: ISO 8601</t>
  </si>
  <si>
    <t>body.patientData.travelHistory.country</t>
  </si>
  <si>
    <t>body.patientData.travelHistory.period</t>
  </si>
  <si>
    <t>section:sectionTravelHx.text</t>
  </si>
  <si>
    <t>if textual description</t>
  </si>
  <si>
    <t>section:sectionTravelHx.entry.effectivePeriod</t>
  </si>
  <si>
    <t>section:sectionTravelHx.entry.valueCodeableConcept</t>
  </si>
  <si>
    <t>entry of type Observation and Obseravtion.code = http://loinc.org#94651-7 'Country of travel [Location]'
TBD</t>
  </si>
  <si>
    <t>OBSERVATION PROFILE TO BE SPECIFIED</t>
  </si>
  <si>
    <t>ProcedurePs</t>
  </si>
  <si>
    <t>A.1.3.1  Insurance number</t>
  </si>
  <si>
    <t>header.insuranceInfo.insuranceNumber</t>
  </si>
  <si>
    <t>In some cases the identifier assigned by the payor (e.g. the SSN) is used as one of the Patient Identifiers, this is how it expected to be used foe the PS.
The appropriate resource for covneying such a kind of data is Coverage, but a dedicated section should be added to the PS.</t>
  </si>
  <si>
    <t>subject.identifier</t>
  </si>
  <si>
    <t>assertionStatus</t>
  </si>
  <si>
    <t>http://hl7.eu/fhir/ig/xpandh/ps/StructureDefinition/DeviceUseStatement-ps-xpandh</t>
  </si>
  <si>
    <t>http://hl7.eu/fhir/ig/xpandh/ps/StructureDefinition/ClosedProblem</t>
  </si>
  <si>
    <t>http://hl7.eu/fhir/ig/xpandh/ps/StructureDefinition/Condition-ps-xpandh</t>
  </si>
  <si>
    <t>http://hl7.eu/fhir/ig/xpandh/ps/StructureDefinition/MedicationStatement-ps-xpandh</t>
  </si>
  <si>
    <t>http://hl7.eu/fhir/ig/xpandh/ps/StructureDefinition/Medication-ps-xpandh</t>
  </si>
  <si>
    <t>meta.lastUpdated</t>
  </si>
  <si>
    <t>If it represents the period of time this Patient Summary is covering</t>
  </si>
  <si>
    <t>If it represents the last update of this FHIR resource</t>
  </si>
  <si>
    <t>section:sectionMedicalDevices</t>
  </si>
  <si>
    <t>category</t>
  </si>
  <si>
    <t>MAPPING TO BE FURTHER INVESTIGATED
THIS MAP HAS TO BE CLEAN UP BY hand (REMOVE AN ADDIITONAL ")</t>
  </si>
  <si>
    <t>UPDATE TARGET</t>
  </si>
  <si>
    <t>valueCodeabelConcept</t>
  </si>
  <si>
    <t>hasMember.valueDateTime</t>
  </si>
  <si>
    <t>Where hasMember.code IN PregnancyExpectedDeliveryDateMethodUvIps value set</t>
  </si>
  <si>
    <t>valueQuentity</t>
  </si>
  <si>
    <t>dosage.route</t>
  </si>
  <si>
    <t>this map adopts  the definition given in R5</t>
  </si>
  <si>
    <t>http://hl7.eu/fhir/ig/xpandh/ps/StructureDefinition/Bundle-ps-xpandh</t>
  </si>
  <si>
    <t>The contact is intrinsically connected with the Condition</t>
  </si>
  <si>
    <t>extension:supporintInfo</t>
  </si>
  <si>
    <t>extension[supporintInfo].resolve().ofType(DocumentReference)</t>
  </si>
  <si>
    <t>the containing resource describes the context in this case the Condition</t>
  </si>
  <si>
    <t>section:sectionAllergies</t>
  </si>
  <si>
    <t>Common textual descirption</t>
  </si>
  <si>
    <t>entry level description</t>
  </si>
  <si>
    <t>section:sectionImmunizations</t>
  </si>
  <si>
    <t>section:sectionPastIllnessHx</t>
  </si>
  <si>
    <t>extension:participantR5.actor</t>
  </si>
  <si>
    <t>where extension:participantR5.function = http://terminology.hl7.org/CodeSystem/v2-0131#CP Contact Person AND extension:participantR5.actor of type PracticionerRole</t>
  </si>
  <si>
    <t>extension:participantR5.actor.practitioner.name</t>
  </si>
  <si>
    <t>extension:participantR5.actor.code</t>
  </si>
  <si>
    <t>extension:participantR5.actor.organization</t>
  </si>
  <si>
    <t>extension:participantR5.actor.telecom</t>
  </si>
  <si>
    <t>This might be described by using a CareTeam having this organization and/or this practitioner as extension:participantR5.member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</si>
</sst>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
      <sz val="11"/>
      <color theme="1"/>
      <name val="Calibri"/>
      <family val="2"/>
      <scheme val="minor"/>
    </font>
    <font>
      <sz val="11"/>
      <color theme="10"/>
      <name val="Calibri"/>
      <family val="2"/>
      <scheme val="minor"/>
    </font>
  </fonts>
  <fills count="1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39997558519241921"/>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8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0" fillId="0" borderId="25" xfId="0" applyBorder="1"/>
    <xf numFmtId="0" fontId="1" fillId="0" borderId="26" xfId="0" applyFont="1" applyBorder="1"/>
    <xf numFmtId="0" fontId="0" fillId="0" borderId="27"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8" xfId="3" applyFont="1" applyBorder="1" applyAlignment="1">
      <alignment horizontal="center" vertical="center"/>
    </xf>
    <xf numFmtId="0" fontId="0" fillId="0" borderId="3" xfId="0" applyBorder="1" applyAlignment="1">
      <alignment wrapText="1"/>
    </xf>
    <xf numFmtId="0" fontId="0" fillId="0" borderId="27" xfId="0" applyBorder="1" applyAlignment="1">
      <alignment wrapText="1"/>
    </xf>
    <xf numFmtId="0" fontId="0" fillId="0" borderId="29" xfId="0" applyBorder="1"/>
    <xf numFmtId="0" fontId="0" fillId="0" borderId="29" xfId="0" applyBorder="1" applyAlignment="1">
      <alignment wrapText="1"/>
    </xf>
    <xf numFmtId="0" fontId="0" fillId="0" borderId="30" xfId="0" applyBorder="1"/>
    <xf numFmtId="0" fontId="0" fillId="9" borderId="1" xfId="0" applyFill="1" applyBorder="1"/>
    <xf numFmtId="0" fontId="3" fillId="0" borderId="1" xfId="0" applyFont="1" applyBorder="1" applyAlignment="1">
      <alignment wrapText="1"/>
    </xf>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1" borderId="0" xfId="0" applyFill="1"/>
    <xf numFmtId="0" fontId="0" fillId="4" borderId="0" xfId="0" applyFill="1"/>
    <xf numFmtId="0" fontId="14" fillId="10"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0" borderId="28"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2"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8"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2" borderId="0" xfId="1" applyFill="1"/>
    <xf numFmtId="0" fontId="0" fillId="0" borderId="36" xfId="0" applyBorder="1"/>
    <xf numFmtId="0" fontId="9" fillId="0" borderId="34"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8"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1" borderId="1" xfId="0" applyFill="1" applyBorder="1"/>
    <xf numFmtId="0" fontId="7" fillId="0" borderId="3" xfId="0" applyFont="1" applyBorder="1" applyAlignment="1">
      <alignment wrapText="1"/>
    </xf>
    <xf numFmtId="0" fontId="0" fillId="0" borderId="37" xfId="0" applyBorder="1"/>
    <xf numFmtId="0" fontId="0" fillId="3" borderId="3" xfId="0" applyFill="1" applyBorder="1"/>
    <xf numFmtId="0" fontId="0" fillId="13" borderId="1" xfId="0" applyFill="1" applyBorder="1"/>
    <xf numFmtId="0" fontId="0" fillId="14" borderId="1" xfId="0" applyFill="1" applyBorder="1" applyAlignment="1">
      <alignment wrapText="1"/>
    </xf>
    <xf numFmtId="0" fontId="17" fillId="11" borderId="23" xfId="0" applyFont="1" applyFill="1" applyBorder="1" applyAlignment="1">
      <alignment vertical="center" wrapText="1"/>
    </xf>
    <xf numFmtId="0" fontId="17" fillId="11" borderId="2" xfId="0" applyFont="1" applyFill="1" applyBorder="1" applyAlignment="1">
      <alignment vertical="center" wrapText="1"/>
    </xf>
    <xf numFmtId="0" fontId="16" fillId="11" borderId="23" xfId="0" applyFont="1" applyFill="1" applyBorder="1" applyAlignment="1">
      <alignment vertical="center" wrapText="1"/>
    </xf>
    <xf numFmtId="0" fontId="16" fillId="11" borderId="2" xfId="0" applyFont="1" applyFill="1" applyBorder="1" applyAlignment="1">
      <alignment vertical="center" wrapText="1"/>
    </xf>
    <xf numFmtId="0" fontId="17" fillId="11" borderId="28" xfId="0" applyFont="1" applyFill="1" applyBorder="1" applyAlignment="1">
      <alignment vertical="center" wrapText="1"/>
    </xf>
    <xf numFmtId="0" fontId="17" fillId="11" borderId="21" xfId="0" applyFont="1" applyFill="1" applyBorder="1" applyAlignment="1">
      <alignment vertical="center" wrapText="1"/>
    </xf>
    <xf numFmtId="0" fontId="17" fillId="11" borderId="1" xfId="0" applyFont="1" applyFill="1" applyBorder="1" applyAlignment="1">
      <alignment vertical="center" wrapText="1"/>
    </xf>
    <xf numFmtId="0" fontId="16" fillId="11" borderId="1" xfId="0" applyFont="1" applyFill="1" applyBorder="1" applyAlignment="1">
      <alignment vertical="center" wrapText="1"/>
    </xf>
    <xf numFmtId="0" fontId="9" fillId="11" borderId="1" xfId="0" applyFont="1" applyFill="1" applyBorder="1" applyAlignment="1">
      <alignment horizontal="center" vertical="center" wrapText="1"/>
    </xf>
    <xf numFmtId="0" fontId="0" fillId="0" borderId="14" xfId="0" applyBorder="1" applyAlignment="1">
      <alignment wrapText="1"/>
    </xf>
    <xf numFmtId="0" fontId="0" fillId="0" borderId="11" xfId="0" applyBorder="1" applyAlignment="1">
      <alignment wrapText="1"/>
    </xf>
    <xf numFmtId="0" fontId="16" fillId="11" borderId="28" xfId="0" applyFont="1" applyFill="1" applyBorder="1" applyAlignment="1">
      <alignment vertical="center" wrapText="1"/>
    </xf>
    <xf numFmtId="0" fontId="16" fillId="11" borderId="21" xfId="0" applyFont="1" applyFill="1" applyBorder="1" applyAlignment="1">
      <alignment vertical="center" wrapText="1"/>
    </xf>
    <xf numFmtId="0" fontId="1" fillId="11" borderId="0" xfId="0" applyFont="1" applyFill="1"/>
    <xf numFmtId="0" fontId="10" fillId="15" borderId="23" xfId="0" applyFont="1" applyFill="1" applyBorder="1" applyAlignment="1">
      <alignment horizontal="justify" vertical="center" wrapText="1"/>
    </xf>
    <xf numFmtId="0" fontId="10" fillId="15" borderId="2" xfId="0" applyFont="1" applyFill="1" applyBorder="1" applyAlignment="1">
      <alignment horizontal="justify" vertical="center" wrapText="1"/>
    </xf>
    <xf numFmtId="0" fontId="10" fillId="15" borderId="24" xfId="0" applyFont="1" applyFill="1" applyBorder="1" applyAlignment="1">
      <alignment vertical="center" wrapText="1"/>
    </xf>
    <xf numFmtId="0" fontId="0" fillId="15" borderId="28" xfId="0" applyFill="1" applyBorder="1" applyAlignment="1">
      <alignment vertical="center" wrapText="1"/>
    </xf>
    <xf numFmtId="0" fontId="0" fillId="15" borderId="21" xfId="0" applyFill="1" applyBorder="1" applyAlignment="1">
      <alignment vertical="center" wrapText="1"/>
    </xf>
    <xf numFmtId="0" fontId="0" fillId="15" borderId="23" xfId="0" applyFill="1" applyBorder="1" applyAlignment="1">
      <alignment vertical="center" wrapText="1"/>
    </xf>
    <xf numFmtId="0" fontId="0" fillId="15" borderId="2" xfId="0" applyFill="1" applyBorder="1" applyAlignment="1">
      <alignment vertical="center" wrapText="1"/>
    </xf>
    <xf numFmtId="0" fontId="17" fillId="15" borderId="28" xfId="0" applyFont="1" applyFill="1" applyBorder="1" applyAlignment="1">
      <alignment vertical="center" wrapText="1"/>
    </xf>
    <xf numFmtId="0" fontId="17" fillId="15" borderId="21" xfId="0" applyFont="1" applyFill="1" applyBorder="1" applyAlignment="1">
      <alignment vertical="center" wrapText="1"/>
    </xf>
    <xf numFmtId="0" fontId="16" fillId="15" borderId="23" xfId="0" applyFont="1" applyFill="1" applyBorder="1" applyAlignment="1">
      <alignment vertical="center" wrapText="1"/>
    </xf>
    <xf numFmtId="0" fontId="16" fillId="15" borderId="2" xfId="0" applyFont="1" applyFill="1" applyBorder="1" applyAlignment="1">
      <alignment vertical="center" wrapText="1"/>
    </xf>
    <xf numFmtId="0" fontId="17" fillId="15" borderId="23" xfId="0" applyFont="1" applyFill="1" applyBorder="1" applyAlignment="1">
      <alignment vertical="center" wrapText="1"/>
    </xf>
    <xf numFmtId="0" fontId="17" fillId="15" borderId="2" xfId="0" applyFont="1" applyFill="1" applyBorder="1" applyAlignment="1">
      <alignment vertical="center" wrapText="1"/>
    </xf>
    <xf numFmtId="0" fontId="0" fillId="3" borderId="0" xfId="0" applyFill="1"/>
    <xf numFmtId="0" fontId="1" fillId="3" borderId="0" xfId="0" applyFont="1" applyFill="1"/>
    <xf numFmtId="0" fontId="9" fillId="0" borderId="32" xfId="0" applyFont="1" applyBorder="1" applyAlignment="1">
      <alignment horizontal="center" vertical="center" wrapText="1"/>
    </xf>
    <xf numFmtId="0" fontId="9" fillId="0" borderId="34" xfId="0" applyFont="1" applyBorder="1" applyAlignment="1">
      <alignment horizontal="center" vertical="center" wrapText="1"/>
    </xf>
    <xf numFmtId="0" fontId="9" fillId="0" borderId="35" xfId="0" applyFont="1" applyBorder="1" applyAlignment="1">
      <alignment horizontal="left" vertical="center" wrapText="1"/>
    </xf>
    <xf numFmtId="0" fontId="9" fillId="0" borderId="33" xfId="0" applyFont="1" applyBorder="1" applyAlignment="1">
      <alignment horizontal="left" vertical="center" wrapText="1"/>
    </xf>
    <xf numFmtId="0" fontId="0" fillId="15" borderId="24" xfId="0" applyFill="1" applyBorder="1" applyAlignment="1">
      <alignment vertical="center" wrapText="1"/>
    </xf>
    <xf numFmtId="0" fontId="0" fillId="15" borderId="23" xfId="0" applyFill="1" applyBorder="1" applyAlignment="1">
      <alignmen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15" borderId="20" xfId="0" applyFont="1" applyFill="1" applyBorder="1" applyAlignment="1">
      <alignment horizontal="left" vertical="center" wrapText="1"/>
    </xf>
    <xf numFmtId="0" fontId="9" fillId="15" borderId="22" xfId="0" applyFont="1" applyFill="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15" borderId="20" xfId="0" applyFont="1" applyFill="1" applyBorder="1" applyAlignment="1">
      <alignment horizontal="justify" vertical="center" wrapText="1"/>
    </xf>
    <xf numFmtId="0" fontId="9" fillId="15" borderId="22" xfId="0" applyFont="1" applyFill="1" applyBorder="1" applyAlignment="1">
      <alignment horizontal="justify" vertical="center" wrapText="1"/>
    </xf>
    <xf numFmtId="0" fontId="9" fillId="15" borderId="32" xfId="0" applyFont="1" applyFill="1" applyBorder="1" applyAlignment="1">
      <alignment horizontal="left" vertical="center" wrapText="1"/>
    </xf>
    <xf numFmtId="0" fontId="9" fillId="15" borderId="33" xfId="0" applyFont="1" applyFill="1" applyBorder="1" applyAlignment="1">
      <alignment horizontal="left" vertical="center" wrapText="1"/>
    </xf>
    <xf numFmtId="0" fontId="9" fillId="0" borderId="34" xfId="0" applyFont="1" applyBorder="1" applyAlignment="1">
      <alignment horizontal="left" vertical="center" wrapText="1"/>
    </xf>
    <xf numFmtId="0" fontId="0" fillId="0" borderId="0" xfId="0"/>
    <xf numFmtId="0" fontId="2" fillId="0" borderId="0" xfId="1"/>
    <xf numFmtId="0" fontId="1" fillId="3" borderId="0" xfId="0" applyFont="1" applyFill="1" applyAlignment="1">
      <alignment horizontal="center" wrapText="1"/>
    </xf>
    <xf numFmtId="0" fontId="1" fillId="3" borderId="0" xfId="0" applyFont="1" applyFill="1" applyAlignment="1">
      <alignment horizontal="center"/>
    </xf>
    <xf numFmtId="0" fontId="2" fillId="3" borderId="0" xfId="1" applyFill="1"/>
    <xf numFmtId="0" fontId="0" fillId="3" borderId="0" xfId="0" applyFill="1"/>
    <xf numFmtId="0" fontId="9" fillId="0" borderId="20" xfId="0" applyFont="1" applyBorder="1" applyAlignment="1">
      <alignment horizontal="left"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9" fillId="0" borderId="0" xfId="1" applyFont="1"/>
    <xf numFmtId="0" fontId="18" fillId="0" borderId="0" xfId="0" applyFont="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1" xfId="1" applyBorder="1" applyAlignment="1">
      <alignment horizontal="left"/>
    </xf>
    <xf numFmtId="0" fontId="2" fillId="0" borderId="0" xfId="1" applyAlignment="1">
      <alignment horizontal="left"/>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externalLink" Target="externalLinks/externalLink1.xml"/><Relationship Id="rId79"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sheetMetadata" Target="metadata.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96</xdr:row>
          <xdr:rowOff>171450</xdr:rowOff>
        </xdr:from>
        <xdr:to>
          <xdr:col>2</xdr:col>
          <xdr:colOff>1117600</xdr:colOff>
          <xdr:row>98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6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27009" name="Button 1" hidden="1">
              <a:extLst>
                <a:ext uri="{63B3BB69-23CF-44E3-9099-C40C66FF867C}">
                  <a14:compatExt spid="_x0000_s427009"/>
                </a:ext>
                <a:ext uri="{FF2B5EF4-FFF2-40B4-BE49-F238E27FC236}">
                  <a16:creationId xmlns:a16="http://schemas.microsoft.com/office/drawing/2014/main" id="{00000000-0008-0000-0800-0000018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28033" name="Button 1" hidden="1">
              <a:extLst>
                <a:ext uri="{63B3BB69-23CF-44E3-9099-C40C66FF867C}">
                  <a14:compatExt spid="_x0000_s428033"/>
                </a:ext>
                <a:ext uri="{FF2B5EF4-FFF2-40B4-BE49-F238E27FC236}">
                  <a16:creationId xmlns:a16="http://schemas.microsoft.com/office/drawing/2014/main" id="{00000000-0008-0000-0C00-0000018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99361" name="Button 1" hidden="1">
              <a:extLst>
                <a:ext uri="{63B3BB69-23CF-44E3-9099-C40C66FF867C}">
                  <a14:compatExt spid="_x0000_s399361"/>
                </a:ext>
                <a:ext uri="{FF2B5EF4-FFF2-40B4-BE49-F238E27FC236}">
                  <a16:creationId xmlns:a16="http://schemas.microsoft.com/office/drawing/2014/main" id="{00000000-0008-0000-0E00-0000011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10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71713" name="Button 1" hidden="1">
              <a:extLst>
                <a:ext uri="{63B3BB69-23CF-44E3-9099-C40C66FF867C}">
                  <a14:compatExt spid="_x0000_s371713"/>
                </a:ext>
                <a:ext uri="{FF2B5EF4-FFF2-40B4-BE49-F238E27FC236}">
                  <a16:creationId xmlns:a16="http://schemas.microsoft.com/office/drawing/2014/main" id="{00000000-0008-0000-1200-000001AC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2737" name="Button 1" hidden="1">
              <a:extLst>
                <a:ext uri="{63B3BB69-23CF-44E3-9099-C40C66FF867C}">
                  <a14:compatExt spid="_x0000_s372737"/>
                </a:ext>
                <a:ext uri="{FF2B5EF4-FFF2-40B4-BE49-F238E27FC236}">
                  <a16:creationId xmlns:a16="http://schemas.microsoft.com/office/drawing/2014/main" id="{00000000-0008-0000-1400-000001B0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12321" name="Button 1" hidden="1">
              <a:extLst>
                <a:ext uri="{63B3BB69-23CF-44E3-9099-C40C66FF867C}">
                  <a14:compatExt spid="_x0000_s312321"/>
                </a:ext>
                <a:ext uri="{FF2B5EF4-FFF2-40B4-BE49-F238E27FC236}">
                  <a16:creationId xmlns:a16="http://schemas.microsoft.com/office/drawing/2014/main" id="{00000000-0008-0000-1600-000001C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13345" name="Button 1" hidden="1">
              <a:extLst>
                <a:ext uri="{63B3BB69-23CF-44E3-9099-C40C66FF867C}">
                  <a14:compatExt spid="_x0000_s313345"/>
                </a:ext>
                <a:ext uri="{FF2B5EF4-FFF2-40B4-BE49-F238E27FC236}">
                  <a16:creationId xmlns:a16="http://schemas.microsoft.com/office/drawing/2014/main" id="{00000000-0008-0000-1800-000001C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290817" name="Button 1" hidden="1">
              <a:extLst>
                <a:ext uri="{63B3BB69-23CF-44E3-9099-C40C66FF867C}">
                  <a14:compatExt spid="_x0000_s290817"/>
                </a:ext>
                <a:ext uri="{FF2B5EF4-FFF2-40B4-BE49-F238E27FC236}">
                  <a16:creationId xmlns:a16="http://schemas.microsoft.com/office/drawing/2014/main" id="{00000000-0008-0000-1A00-0000017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1C00-0000017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E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20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2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24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6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9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B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D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2F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32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35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39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3B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3D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40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44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46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48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xpandh/ps/StructureDefinition/Composition-ps-xpandh" TargetMode="External"/><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Procedure-ps-xpandh"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DeviceUseStatement-ps-xpandh"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xpandh/ps/StructureDefinition/Observation-result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Observation-results-xpandh"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Statement-ps-xpandh" TargetMode="Externa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ps-xpandh"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45.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hl7.eu/fhir/laboratory/StructureDefinition/LabReport"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49.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Bundle-ps-xpandh" TargetMode="External"/></Relationships>
</file>

<file path=xl/worksheets/_rels/sheet50.xml.rels><?xml version="1.0" encoding="UTF-8" standalone="yes"?>
<Relationships xmlns="http://schemas.openxmlformats.org/package/2006/relationships"><Relationship Id="rId2" Type="http://schemas.openxmlformats.org/officeDocument/2006/relationships/hyperlink" Target="http://hl7.eu/fhir/ig/xpandh/ps/StructureDefinition/Condition-ps-xpandh" TargetMode="External"/><Relationship Id="rId1" Type="http://schemas.openxmlformats.org/officeDocument/2006/relationships/hyperlink" Target="http://hl7.eu/fhir/ig/xpandh/ps/StructureDefinition/Bundle-ps-xpandh"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6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25.vml"/><Relationship Id="rId1" Type="http://schemas.openxmlformats.org/officeDocument/2006/relationships/drawing" Target="../drawings/drawing25.xml"/></Relationships>
</file>

<file path=xl/worksheets/_rels/sheet61.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28.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trlProp" Target="../ctrlProps/ctrlProp27.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65.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27.vml"/><Relationship Id="rId1" Type="http://schemas.openxmlformats.org/officeDocument/2006/relationships/drawing" Target="../drawings/drawing27.xml"/></Relationships>
</file>

<file path=xl/worksheets/_rels/sheet66.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7.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8.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trlProp" Target="../ctrlProps/ctrlProp29.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71.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9.vml"/><Relationship Id="rId1" Type="http://schemas.openxmlformats.org/officeDocument/2006/relationships/drawing" Target="../drawings/drawing29.xml"/></Relationships>
</file>

<file path=xl/worksheets/_rels/sheet7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11" zoomScale="130" zoomScaleNormal="130" workbookViewId="0">
      <selection activeCell="B5" sqref="B5:C5"/>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42" t="s">
        <v>39</v>
      </c>
      <c r="C3" s="143"/>
      <c r="D3" s="101" t="s">
        <v>40</v>
      </c>
      <c r="E3" s="101" t="s">
        <v>41</v>
      </c>
    </row>
    <row r="4" spans="1:5" ht="16" x14ac:dyDescent="0.75">
      <c r="B4" s="102"/>
      <c r="C4" s="102"/>
      <c r="D4" s="102"/>
      <c r="E4" s="102"/>
    </row>
    <row r="5" spans="1:5" ht="29.5" x14ac:dyDescent="0.75">
      <c r="B5" s="119" t="s">
        <v>594</v>
      </c>
      <c r="C5" s="119" t="s">
        <v>570</v>
      </c>
      <c r="D5" s="14"/>
      <c r="E5" s="14"/>
    </row>
    <row r="6" spans="1:5" x14ac:dyDescent="0.75">
      <c r="A6" t="str">
        <f>B6&amp;" - "&amp;C6</f>
        <v>A.2.1 - Alerts</v>
      </c>
      <c r="B6" s="119" t="s">
        <v>95</v>
      </c>
      <c r="C6" s="119" t="s">
        <v>571</v>
      </c>
      <c r="D6" s="14"/>
      <c r="E6" s="14"/>
    </row>
    <row r="7" spans="1:5" x14ac:dyDescent="0.75">
      <c r="A7" t="str">
        <f>B7&amp;" - "&amp;C7</f>
        <v>A.2.1.1 - Allergy</v>
      </c>
      <c r="B7" s="119" t="s">
        <v>595</v>
      </c>
      <c r="C7" s="119" t="s">
        <v>572</v>
      </c>
      <c r="D7" s="14"/>
      <c r="E7" s="14"/>
    </row>
    <row r="8" spans="1:5" x14ac:dyDescent="0.75">
      <c r="A8" t="str">
        <f t="shared" ref="A8:A17" si="0">B8&amp;" - "&amp;C8</f>
        <v>A.2.1.1.1 - Allergy description</v>
      </c>
      <c r="B8" s="120" t="s">
        <v>596</v>
      </c>
      <c r="C8" s="120" t="s">
        <v>573</v>
      </c>
      <c r="D8" s="104" t="s">
        <v>574</v>
      </c>
      <c r="E8" s="14"/>
    </row>
    <row r="9" spans="1:5" ht="29.5" x14ac:dyDescent="0.75">
      <c r="A9" t="str">
        <f t="shared" si="0"/>
        <v>A.2.1.1.2 - Type of propensity</v>
      </c>
      <c r="B9" s="120" t="s">
        <v>597</v>
      </c>
      <c r="C9" s="120" t="s">
        <v>575</v>
      </c>
      <c r="D9" s="104" t="s">
        <v>576</v>
      </c>
      <c r="E9" s="104" t="s">
        <v>577</v>
      </c>
    </row>
    <row r="10" spans="1:5" ht="29.5" x14ac:dyDescent="0.75">
      <c r="A10" t="str">
        <f t="shared" si="0"/>
        <v>A.2.1.1.3 - Allergy manifestation</v>
      </c>
      <c r="B10" s="120" t="s">
        <v>598</v>
      </c>
      <c r="C10" s="120" t="s">
        <v>578</v>
      </c>
      <c r="D10" s="104" t="s">
        <v>579</v>
      </c>
      <c r="E10" s="104" t="s">
        <v>577</v>
      </c>
    </row>
    <row r="11" spans="1:5" x14ac:dyDescent="0.75">
      <c r="A11" t="str">
        <f t="shared" si="0"/>
        <v>A.2.1.1.4 - Severity Severity</v>
      </c>
      <c r="B11" s="120" t="s">
        <v>599</v>
      </c>
      <c r="C11" s="120" t="s">
        <v>580</v>
      </c>
      <c r="D11" s="104" t="s">
        <v>581</v>
      </c>
      <c r="E11" s="104" t="s">
        <v>577</v>
      </c>
    </row>
    <row r="12" spans="1:5" ht="29.5" x14ac:dyDescent="0.75">
      <c r="A12" t="str">
        <f t="shared" si="0"/>
        <v>A.2.1.1.5 - Criticality</v>
      </c>
      <c r="B12" s="120" t="s">
        <v>600</v>
      </c>
      <c r="C12" s="120" t="s">
        <v>582</v>
      </c>
      <c r="D12" s="104" t="s">
        <v>583</v>
      </c>
      <c r="E12" s="104" t="s">
        <v>577</v>
      </c>
    </row>
    <row r="13" spans="1:5" x14ac:dyDescent="0.75">
      <c r="A13" t="str">
        <f t="shared" si="0"/>
        <v>A.2.1.1.6 - Onset date</v>
      </c>
      <c r="B13" s="120" t="s">
        <v>601</v>
      </c>
      <c r="C13" s="120" t="s">
        <v>584</v>
      </c>
      <c r="D13" s="104" t="s">
        <v>585</v>
      </c>
      <c r="E13" s="14"/>
    </row>
    <row r="14" spans="1:5" ht="29.5" x14ac:dyDescent="0.75">
      <c r="A14" t="str">
        <f t="shared" si="0"/>
        <v>A.2.1.1.7 - End Date</v>
      </c>
      <c r="B14" s="120" t="s">
        <v>602</v>
      </c>
      <c r="C14" s="120" t="s">
        <v>586</v>
      </c>
      <c r="D14" s="104" t="s">
        <v>587</v>
      </c>
      <c r="E14" s="104" t="s">
        <v>94</v>
      </c>
    </row>
    <row r="15" spans="1:5" x14ac:dyDescent="0.75">
      <c r="A15" t="str">
        <f t="shared" si="0"/>
        <v>A.2.1.1.8 - Status</v>
      </c>
      <c r="B15" s="120" t="s">
        <v>603</v>
      </c>
      <c r="C15" s="120" t="s">
        <v>588</v>
      </c>
      <c r="D15" s="104" t="s">
        <v>589</v>
      </c>
      <c r="E15" s="104" t="s">
        <v>577</v>
      </c>
    </row>
    <row r="16" spans="1:5" ht="29.5" x14ac:dyDescent="0.75">
      <c r="A16" t="str">
        <f t="shared" si="0"/>
        <v>A.2.1.1.9 - Certainty</v>
      </c>
      <c r="B16" s="120" t="s">
        <v>604</v>
      </c>
      <c r="C16" s="120" t="s">
        <v>590</v>
      </c>
      <c r="D16" s="104" t="s">
        <v>591</v>
      </c>
      <c r="E16" s="104" t="s">
        <v>577</v>
      </c>
    </row>
    <row r="17" spans="1:5" ht="59" x14ac:dyDescent="0.75">
      <c r="A17" t="str">
        <f t="shared" si="0"/>
        <v>A.2.1.1.10 - Agent or Allergen</v>
      </c>
      <c r="B17" s="120" t="s">
        <v>605</v>
      </c>
      <c r="C17" s="120" t="s">
        <v>606</v>
      </c>
      <c r="D17" s="104" t="s">
        <v>592</v>
      </c>
      <c r="E17" s="104" t="s">
        <v>593</v>
      </c>
    </row>
    <row r="18" spans="1:5" ht="48" x14ac:dyDescent="0.75">
      <c r="A18" t="str">
        <f>B18&amp;" "&amp;C18</f>
        <v>A.2.1.2 Medical alert information (other alerts not included in allergies)</v>
      </c>
      <c r="B18" s="121" t="s">
        <v>608</v>
      </c>
      <c r="C18" s="121" t="s">
        <v>607</v>
      </c>
      <c r="D18" s="102"/>
      <c r="E18" s="102"/>
    </row>
    <row r="19" spans="1:5" ht="162.25" x14ac:dyDescent="0.75">
      <c r="A19" t="str">
        <f>B19&amp;" "&amp;C19</f>
        <v>A.2.1.2.1 Healthcare alert description</v>
      </c>
      <c r="B19" s="121" t="s">
        <v>609</v>
      </c>
      <c r="C19" s="121" t="s">
        <v>610</v>
      </c>
      <c r="D19" s="1" t="s">
        <v>1001</v>
      </c>
      <c r="E19" s="102"/>
    </row>
    <row r="20" spans="1:5" ht="16.75" thickBot="1" x14ac:dyDescent="0.9">
      <c r="A20" t="str">
        <f>B20&amp;" - "&amp;C20</f>
        <v>A.2.2 - Medical history</v>
      </c>
      <c r="B20" s="121" t="s">
        <v>96</v>
      </c>
      <c r="C20" s="121" t="s">
        <v>644</v>
      </c>
      <c r="D20" s="102" t="s">
        <v>705</v>
      </c>
      <c r="E20" s="102"/>
    </row>
    <row r="21" spans="1:5" ht="30.25" thickBot="1" x14ac:dyDescent="0.9">
      <c r="A21" t="str">
        <f>B21&amp;" - "&amp;C21</f>
        <v>A.2.2.1 - Vaccination/ prophylaxis information</v>
      </c>
      <c r="B21" s="117" t="s">
        <v>832</v>
      </c>
      <c r="C21" s="118" t="s">
        <v>831</v>
      </c>
      <c r="D21" s="92"/>
      <c r="E21" s="92"/>
    </row>
    <row r="22" spans="1:5" ht="15.5" thickBot="1" x14ac:dyDescent="0.9">
      <c r="B22" s="115" t="s">
        <v>706</v>
      </c>
      <c r="C22" s="116" t="s">
        <v>611</v>
      </c>
      <c r="D22" s="94" t="s">
        <v>612</v>
      </c>
      <c r="E22" s="94" t="s">
        <v>577</v>
      </c>
    </row>
    <row r="23" spans="1:5" ht="30.25" thickBot="1" x14ac:dyDescent="0.9">
      <c r="B23" s="115" t="s">
        <v>707</v>
      </c>
      <c r="C23" s="116" t="s">
        <v>613</v>
      </c>
      <c r="D23" s="94" t="s">
        <v>614</v>
      </c>
      <c r="E23" s="94" t="s">
        <v>615</v>
      </c>
    </row>
    <row r="24" spans="1:5" ht="30.25" thickBot="1" x14ac:dyDescent="0.9">
      <c r="B24" s="115" t="s">
        <v>708</v>
      </c>
      <c r="C24" s="116" t="s">
        <v>616</v>
      </c>
      <c r="D24" s="94" t="s">
        <v>617</v>
      </c>
      <c r="E24" s="94"/>
    </row>
    <row r="25" spans="1:5" ht="30.25" thickBot="1" x14ac:dyDescent="0.9">
      <c r="B25" s="115" t="s">
        <v>709</v>
      </c>
      <c r="C25" s="116" t="s">
        <v>618</v>
      </c>
      <c r="D25" s="94" t="s">
        <v>619</v>
      </c>
      <c r="E25" s="94"/>
    </row>
    <row r="26" spans="1:5" ht="30.25" thickBot="1" x14ac:dyDescent="0.9">
      <c r="B26" s="115" t="s">
        <v>710</v>
      </c>
      <c r="C26" s="116" t="s">
        <v>620</v>
      </c>
      <c r="D26" s="94" t="s">
        <v>621</v>
      </c>
      <c r="E26" s="94"/>
    </row>
    <row r="27" spans="1:5" ht="30.25" thickBot="1" x14ac:dyDescent="0.9">
      <c r="B27" s="115" t="s">
        <v>711</v>
      </c>
      <c r="C27" s="116" t="s">
        <v>622</v>
      </c>
      <c r="D27" s="94" t="s">
        <v>998</v>
      </c>
      <c r="E27" s="94"/>
    </row>
    <row r="28" spans="1:5" ht="15.5" thickBot="1" x14ac:dyDescent="0.9">
      <c r="B28" s="115" t="s">
        <v>712</v>
      </c>
      <c r="C28" s="116" t="s">
        <v>623</v>
      </c>
      <c r="D28" s="94" t="s">
        <v>624</v>
      </c>
      <c r="E28" s="94"/>
    </row>
    <row r="29" spans="1:5" ht="15.5" thickBot="1" x14ac:dyDescent="0.9">
      <c r="B29" s="115" t="s">
        <v>713</v>
      </c>
      <c r="C29" s="116" t="s">
        <v>625</v>
      </c>
      <c r="D29" s="94" t="s">
        <v>626</v>
      </c>
      <c r="E29" s="94" t="s">
        <v>94</v>
      </c>
    </row>
    <row r="30" spans="1:5" ht="15.5" thickBot="1" x14ac:dyDescent="0.9">
      <c r="B30" s="115" t="s">
        <v>714</v>
      </c>
      <c r="C30" s="116" t="s">
        <v>627</v>
      </c>
      <c r="D30" s="94" t="s">
        <v>628</v>
      </c>
      <c r="E30" s="94"/>
    </row>
    <row r="31" spans="1:5" ht="30.25" thickBot="1" x14ac:dyDescent="0.9">
      <c r="B31" s="115" t="s">
        <v>715</v>
      </c>
      <c r="C31" s="116" t="s">
        <v>629</v>
      </c>
      <c r="D31" s="94" t="s">
        <v>630</v>
      </c>
      <c r="E31" s="94"/>
    </row>
    <row r="32" spans="1:5" ht="15.5" thickBot="1" x14ac:dyDescent="0.9">
      <c r="B32" s="115" t="s">
        <v>716</v>
      </c>
      <c r="C32" s="116" t="s">
        <v>631</v>
      </c>
      <c r="D32" s="94" t="s">
        <v>632</v>
      </c>
      <c r="E32" s="94" t="s">
        <v>279</v>
      </c>
    </row>
    <row r="33" spans="1:5" ht="15.5" thickBot="1" x14ac:dyDescent="0.9">
      <c r="B33" s="115" t="s">
        <v>717</v>
      </c>
      <c r="C33" s="116" t="s">
        <v>633</v>
      </c>
      <c r="D33" s="94" t="s">
        <v>634</v>
      </c>
      <c r="E33" s="94" t="s">
        <v>94</v>
      </c>
    </row>
    <row r="34" spans="1:5" ht="30.25" thickBot="1" x14ac:dyDescent="0.9">
      <c r="A34" t="str">
        <f>B34&amp;" "&amp;C34</f>
        <v>A.2.2.2 Resolved, closed or inactive problems</v>
      </c>
      <c r="B34" s="113" t="s">
        <v>718</v>
      </c>
      <c r="C34" s="114" t="s">
        <v>635</v>
      </c>
      <c r="D34" s="94"/>
      <c r="E34" s="94"/>
    </row>
    <row r="35" spans="1:5" ht="45" thickBot="1" x14ac:dyDescent="0.9">
      <c r="B35" s="115" t="s">
        <v>719</v>
      </c>
      <c r="C35" s="116" t="s">
        <v>636</v>
      </c>
      <c r="D35" s="94" t="s">
        <v>637</v>
      </c>
      <c r="E35" s="94" t="s">
        <v>638</v>
      </c>
    </row>
    <row r="36" spans="1:5" ht="15.5" thickBot="1" x14ac:dyDescent="0.9">
      <c r="B36" s="115" t="s">
        <v>720</v>
      </c>
      <c r="C36" s="116" t="s">
        <v>584</v>
      </c>
      <c r="D36" s="94" t="s">
        <v>639</v>
      </c>
      <c r="E36" s="94" t="s">
        <v>94</v>
      </c>
    </row>
    <row r="37" spans="1:5" ht="15.5" thickBot="1" x14ac:dyDescent="0.9">
      <c r="B37" s="115" t="s">
        <v>721</v>
      </c>
      <c r="C37" s="116" t="s">
        <v>640</v>
      </c>
      <c r="D37" s="94" t="s">
        <v>641</v>
      </c>
      <c r="E37" s="94" t="s">
        <v>94</v>
      </c>
    </row>
    <row r="38" spans="1:5" ht="74.5" thickBot="1" x14ac:dyDescent="0.9">
      <c r="B38" s="115" t="s">
        <v>722</v>
      </c>
      <c r="C38" s="116" t="s">
        <v>642</v>
      </c>
      <c r="D38" s="94" t="s">
        <v>643</v>
      </c>
      <c r="E38" s="94"/>
    </row>
    <row r="39" spans="1:5" ht="15.5" thickBot="1" x14ac:dyDescent="0.9">
      <c r="A39" t="str">
        <f>B39&amp;" - "&amp;C39</f>
        <v>A.2.2.3 - Medical history</v>
      </c>
      <c r="B39" s="113" t="s">
        <v>724</v>
      </c>
      <c r="C39" s="114" t="s">
        <v>644</v>
      </c>
      <c r="D39" s="94"/>
      <c r="E39" s="94"/>
    </row>
    <row r="40" spans="1:5" ht="45" thickBot="1" x14ac:dyDescent="0.9">
      <c r="A40" t="str">
        <f>B40&amp;" "&amp;C40</f>
        <v>A.2.2.3.1 Medical history</v>
      </c>
      <c r="B40" s="115" t="s">
        <v>723</v>
      </c>
      <c r="C40" s="116" t="s">
        <v>644</v>
      </c>
      <c r="D40" s="94" t="s">
        <v>645</v>
      </c>
      <c r="E40" s="94"/>
    </row>
    <row r="41" spans="1:5" ht="15.5" thickBot="1" x14ac:dyDescent="0.9">
      <c r="A41" t="str">
        <f>B41&amp;" "&amp;C41</f>
        <v>A.2.3 Medical problems</v>
      </c>
      <c r="B41" s="113" t="s">
        <v>97</v>
      </c>
      <c r="C41" s="114" t="s">
        <v>646</v>
      </c>
      <c r="D41" s="94"/>
      <c r="E41" s="94"/>
    </row>
    <row r="42" spans="1:5" ht="15.5" thickBot="1" x14ac:dyDescent="0.9">
      <c r="A42" t="str">
        <f>B42&amp;" "&amp;C42</f>
        <v>A.2.3.1 Current problems</v>
      </c>
      <c r="B42" s="113" t="s">
        <v>725</v>
      </c>
      <c r="C42" s="114" t="s">
        <v>647</v>
      </c>
      <c r="D42" s="94"/>
      <c r="E42" s="94"/>
    </row>
    <row r="43" spans="1:5" ht="45" thickBot="1" x14ac:dyDescent="0.9">
      <c r="B43" s="115" t="s">
        <v>726</v>
      </c>
      <c r="C43" s="116" t="s">
        <v>648</v>
      </c>
      <c r="D43" s="94" t="s">
        <v>649</v>
      </c>
      <c r="E43" s="94" t="s">
        <v>650</v>
      </c>
    </row>
    <row r="44" spans="1:5" ht="15.5" thickBot="1" x14ac:dyDescent="0.9">
      <c r="B44" s="115" t="s">
        <v>727</v>
      </c>
      <c r="C44" s="116" t="s">
        <v>584</v>
      </c>
      <c r="D44" s="94" t="s">
        <v>639</v>
      </c>
      <c r="E44" s="94" t="s">
        <v>94</v>
      </c>
    </row>
    <row r="45" spans="1:5" ht="30.25" thickBot="1" x14ac:dyDescent="0.9">
      <c r="B45" s="115" t="s">
        <v>728</v>
      </c>
      <c r="C45" s="116" t="s">
        <v>651</v>
      </c>
      <c r="D45" s="94" t="s">
        <v>652</v>
      </c>
      <c r="E45" s="94" t="s">
        <v>653</v>
      </c>
    </row>
    <row r="46" spans="1:5" ht="30.25" thickBot="1" x14ac:dyDescent="0.9">
      <c r="A46" t="str">
        <f>B46&amp;" - "&amp;C46</f>
        <v>A.2.3.2 - Medical devices and implants</v>
      </c>
      <c r="B46" s="113" t="s">
        <v>729</v>
      </c>
      <c r="C46" s="114" t="s">
        <v>654</v>
      </c>
      <c r="D46" s="94"/>
      <c r="E46" s="94"/>
    </row>
    <row r="47" spans="1:5" ht="45" thickBot="1" x14ac:dyDescent="0.9">
      <c r="B47" s="115" t="s">
        <v>730</v>
      </c>
      <c r="C47" s="116" t="s">
        <v>655</v>
      </c>
      <c r="D47" s="94" t="s">
        <v>656</v>
      </c>
      <c r="E47" s="94" t="s">
        <v>657</v>
      </c>
    </row>
    <row r="48" spans="1:5" ht="15.5" thickBot="1" x14ac:dyDescent="0.9">
      <c r="B48" s="115" t="s">
        <v>731</v>
      </c>
      <c r="C48" s="116" t="s">
        <v>658</v>
      </c>
      <c r="D48" s="94" t="s">
        <v>659</v>
      </c>
      <c r="E48" s="94"/>
    </row>
    <row r="49" spans="1:5" ht="15.5" thickBot="1" x14ac:dyDescent="0.9">
      <c r="B49" s="115" t="s">
        <v>732</v>
      </c>
      <c r="C49" s="116" t="s">
        <v>660</v>
      </c>
      <c r="D49" s="94" t="s">
        <v>661</v>
      </c>
      <c r="E49" s="94" t="s">
        <v>94</v>
      </c>
    </row>
    <row r="50" spans="1:5" ht="30.25" thickBot="1" x14ac:dyDescent="0.9">
      <c r="B50" s="115" t="s">
        <v>733</v>
      </c>
      <c r="C50" s="116" t="s">
        <v>640</v>
      </c>
      <c r="D50" s="94" t="s">
        <v>662</v>
      </c>
      <c r="E50" s="94" t="s">
        <v>94</v>
      </c>
    </row>
    <row r="51" spans="1:5" ht="15.5" thickBot="1" x14ac:dyDescent="0.9">
      <c r="A51" t="str">
        <f>B51&amp;" - "&amp;C51</f>
        <v>A.2.3.3 - Procedures</v>
      </c>
      <c r="B51" s="113" t="s">
        <v>837</v>
      </c>
      <c r="C51" s="114" t="s">
        <v>663</v>
      </c>
      <c r="D51" s="94"/>
      <c r="E51" s="94"/>
    </row>
    <row r="52" spans="1:5" ht="15.5" thickBot="1" x14ac:dyDescent="0.9">
      <c r="B52" s="115" t="s">
        <v>734</v>
      </c>
      <c r="C52" s="116" t="s">
        <v>664</v>
      </c>
      <c r="D52" s="94" t="s">
        <v>665</v>
      </c>
      <c r="E52" s="94" t="s">
        <v>666</v>
      </c>
    </row>
    <row r="53" spans="1:5" ht="15.5" thickBot="1" x14ac:dyDescent="0.9">
      <c r="B53" s="115" t="s">
        <v>735</v>
      </c>
      <c r="C53" s="116" t="s">
        <v>667</v>
      </c>
      <c r="D53" s="94" t="s">
        <v>668</v>
      </c>
      <c r="E53" s="94" t="s">
        <v>666</v>
      </c>
    </row>
    <row r="54" spans="1:5" ht="15.5" thickBot="1" x14ac:dyDescent="0.9">
      <c r="B54" s="115" t="s">
        <v>736</v>
      </c>
      <c r="C54" s="116" t="s">
        <v>669</v>
      </c>
      <c r="D54" s="94" t="s">
        <v>661</v>
      </c>
      <c r="E54" s="94" t="s">
        <v>94</v>
      </c>
    </row>
    <row r="55" spans="1:5" ht="15.5" thickBot="1" x14ac:dyDescent="0.9">
      <c r="A55" t="str">
        <f>B55&amp;" - "&amp;C55</f>
        <v>A.2.3.4 - Functional status</v>
      </c>
      <c r="B55" s="113" t="s">
        <v>737</v>
      </c>
      <c r="C55" s="114" t="s">
        <v>670</v>
      </c>
      <c r="D55" s="94"/>
      <c r="E55" s="94"/>
    </row>
    <row r="56" spans="1:5" ht="30.25" thickBot="1" x14ac:dyDescent="0.9">
      <c r="B56" s="115" t="s">
        <v>738</v>
      </c>
      <c r="C56" s="116" t="s">
        <v>5</v>
      </c>
      <c r="D56" s="94" t="s">
        <v>671</v>
      </c>
      <c r="E56" s="94"/>
    </row>
    <row r="57" spans="1:5" ht="15.5" thickBot="1" x14ac:dyDescent="0.9">
      <c r="B57" s="115" t="s">
        <v>739</v>
      </c>
      <c r="C57" s="116" t="s">
        <v>672</v>
      </c>
      <c r="D57" s="94" t="s">
        <v>673</v>
      </c>
      <c r="E57" s="94" t="s">
        <v>94</v>
      </c>
    </row>
    <row r="58" spans="1:5" ht="30.25" thickBot="1" x14ac:dyDescent="0.9">
      <c r="B58" s="115" t="s">
        <v>740</v>
      </c>
      <c r="C58" s="116" t="s">
        <v>674</v>
      </c>
      <c r="D58" s="94" t="s">
        <v>1207</v>
      </c>
      <c r="E58" s="94" t="s">
        <v>1205</v>
      </c>
    </row>
    <row r="59" spans="1:5" ht="30.25" thickBot="1" x14ac:dyDescent="0.9">
      <c r="B59" s="115" t="s">
        <v>741</v>
      </c>
      <c r="C59" s="116" t="s">
        <v>675</v>
      </c>
      <c r="D59" s="94" t="s">
        <v>676</v>
      </c>
      <c r="E59" s="94" t="s">
        <v>94</v>
      </c>
    </row>
    <row r="60" spans="1:5" ht="30.25" thickBot="1" x14ac:dyDescent="0.9">
      <c r="B60" s="115" t="s">
        <v>742</v>
      </c>
      <c r="C60" s="116" t="s">
        <v>677</v>
      </c>
      <c r="D60" s="94" t="s">
        <v>1206</v>
      </c>
      <c r="E60" s="94" t="s">
        <v>1205</v>
      </c>
    </row>
    <row r="61" spans="1:5" ht="15.5" thickBot="1" x14ac:dyDescent="0.9">
      <c r="A61" t="str">
        <f>B61&amp;" - "&amp;C61</f>
        <v>A.2.4 - Medication summary</v>
      </c>
      <c r="B61" s="113" t="s">
        <v>98</v>
      </c>
      <c r="C61" s="114" t="s">
        <v>678</v>
      </c>
      <c r="D61" s="94"/>
      <c r="E61" s="94"/>
    </row>
    <row r="62" spans="1:5" ht="45" thickBot="1" x14ac:dyDescent="0.9">
      <c r="B62" s="115" t="s">
        <v>743</v>
      </c>
      <c r="C62" s="116" t="s">
        <v>679</v>
      </c>
      <c r="D62" s="94" t="s">
        <v>680</v>
      </c>
      <c r="E62" s="94"/>
    </row>
    <row r="63" spans="1:5" ht="45" thickBot="1" x14ac:dyDescent="0.9">
      <c r="B63" s="115" t="s">
        <v>744</v>
      </c>
      <c r="C63" s="116" t="s">
        <v>681</v>
      </c>
      <c r="D63" s="94" t="s">
        <v>682</v>
      </c>
      <c r="E63" s="94" t="s">
        <v>650</v>
      </c>
    </row>
    <row r="64" spans="1:5" ht="30.25" thickBot="1" x14ac:dyDescent="0.9">
      <c r="B64" s="115" t="s">
        <v>745</v>
      </c>
      <c r="C64" s="116" t="s">
        <v>683</v>
      </c>
      <c r="D64" s="94" t="s">
        <v>684</v>
      </c>
      <c r="E64" s="94"/>
    </row>
    <row r="65" spans="1:5" ht="30.25" thickBot="1" x14ac:dyDescent="0.9">
      <c r="B65" s="115" t="s">
        <v>746</v>
      </c>
      <c r="C65" s="116" t="s">
        <v>685</v>
      </c>
      <c r="D65" s="94" t="s">
        <v>686</v>
      </c>
      <c r="E65" s="94"/>
    </row>
    <row r="66" spans="1:5" ht="30.25" thickBot="1" x14ac:dyDescent="0.9">
      <c r="B66" s="115" t="s">
        <v>747</v>
      </c>
      <c r="C66" s="116" t="s">
        <v>687</v>
      </c>
      <c r="D66" s="94" t="s">
        <v>688</v>
      </c>
      <c r="E66" s="94"/>
    </row>
    <row r="67" spans="1:5" ht="45" thickBot="1" x14ac:dyDescent="0.9">
      <c r="B67" s="115" t="s">
        <v>748</v>
      </c>
      <c r="C67" s="116" t="s">
        <v>689</v>
      </c>
      <c r="D67" s="94" t="s">
        <v>690</v>
      </c>
      <c r="E67" s="94"/>
    </row>
    <row r="68" spans="1:5" ht="30.25" thickBot="1" x14ac:dyDescent="0.9">
      <c r="B68" s="115" t="s">
        <v>749</v>
      </c>
      <c r="C68" s="116" t="s">
        <v>691</v>
      </c>
      <c r="D68" s="94" t="s">
        <v>692</v>
      </c>
      <c r="E68" s="94"/>
    </row>
    <row r="69" spans="1:5" ht="30.25" thickBot="1" x14ac:dyDescent="0.9">
      <c r="B69" s="115" t="s">
        <v>750</v>
      </c>
      <c r="C69" s="116" t="s">
        <v>693</v>
      </c>
      <c r="D69" s="94" t="s">
        <v>694</v>
      </c>
      <c r="E69" s="94" t="s">
        <v>695</v>
      </c>
    </row>
    <row r="70" spans="1:5" ht="30.25" thickBot="1" x14ac:dyDescent="0.9">
      <c r="B70" s="115" t="s">
        <v>751</v>
      </c>
      <c r="C70" s="116" t="s">
        <v>696</v>
      </c>
      <c r="D70" s="94" t="s">
        <v>697</v>
      </c>
      <c r="E70" s="94"/>
    </row>
    <row r="71" spans="1:5" ht="30.25" thickBot="1" x14ac:dyDescent="0.9">
      <c r="B71" s="115" t="s">
        <v>752</v>
      </c>
      <c r="C71" s="116" t="s">
        <v>698</v>
      </c>
      <c r="D71" s="94" t="s">
        <v>699</v>
      </c>
      <c r="E71" s="94" t="s">
        <v>94</v>
      </c>
    </row>
    <row r="72" spans="1:5" ht="15.5" thickBot="1" x14ac:dyDescent="0.9">
      <c r="A72" t="str">
        <f>B72&amp;" "&amp;C72</f>
        <v>A.2.5 Social history</v>
      </c>
      <c r="B72" s="113" t="s">
        <v>99</v>
      </c>
      <c r="C72" s="114" t="s">
        <v>700</v>
      </c>
      <c r="D72" s="94"/>
      <c r="E72" s="94"/>
    </row>
    <row r="73" spans="1:5" ht="45" thickBot="1" x14ac:dyDescent="0.9">
      <c r="A73" t="str">
        <f t="shared" ref="A73:A74" si="1">B73&amp;" "&amp;C73</f>
        <v>A.2.5.1 Social history observations related to health</v>
      </c>
      <c r="B73" s="115" t="s">
        <v>753</v>
      </c>
      <c r="C73" s="116" t="s">
        <v>701</v>
      </c>
      <c r="D73" s="94" t="s">
        <v>702</v>
      </c>
      <c r="E73" s="94" t="s">
        <v>577</v>
      </c>
    </row>
    <row r="74" spans="1:5" ht="15.5" thickBot="1" x14ac:dyDescent="0.9">
      <c r="A74" t="str">
        <f t="shared" si="1"/>
        <v>A.2.5.2 Reference date range</v>
      </c>
      <c r="B74" s="115" t="s">
        <v>754</v>
      </c>
      <c r="C74" s="116" t="s">
        <v>703</v>
      </c>
      <c r="D74" s="94" t="s">
        <v>704</v>
      </c>
      <c r="E74" s="94"/>
    </row>
    <row r="75" spans="1:5" x14ac:dyDescent="0.75">
      <c r="A75" t="str">
        <f>B75&amp;" - "&amp;C75</f>
        <v xml:space="preserve">A.2.6 Pregnancy history - </v>
      </c>
      <c r="B75" s="126" t="s">
        <v>755</v>
      </c>
      <c r="C75" s="65"/>
    </row>
    <row r="76" spans="1:5" ht="15.5" thickBot="1" x14ac:dyDescent="0.9">
      <c r="B76" s="65" t="s">
        <v>756</v>
      </c>
      <c r="C76" s="65"/>
    </row>
    <row r="77" spans="1:5" ht="15.5" thickBot="1" x14ac:dyDescent="0.9">
      <c r="B77" s="124" t="s">
        <v>794</v>
      </c>
      <c r="C77" s="125" t="s">
        <v>757</v>
      </c>
      <c r="D77" s="92" t="s">
        <v>758</v>
      </c>
      <c r="E77" s="92" t="s">
        <v>94</v>
      </c>
    </row>
    <row r="78" spans="1:5" ht="30.25" thickBot="1" x14ac:dyDescent="0.9">
      <c r="B78" s="124" t="s">
        <v>795</v>
      </c>
      <c r="C78" s="116" t="s">
        <v>588</v>
      </c>
      <c r="D78" s="94" t="s">
        <v>759</v>
      </c>
      <c r="E78" s="94" t="s">
        <v>577</v>
      </c>
    </row>
    <row r="79" spans="1:5" ht="15.5" thickBot="1" x14ac:dyDescent="0.9">
      <c r="B79" s="124" t="s">
        <v>796</v>
      </c>
      <c r="C79" s="116" t="s">
        <v>760</v>
      </c>
      <c r="D79" s="94" t="s">
        <v>761</v>
      </c>
      <c r="E79" s="94" t="s">
        <v>94</v>
      </c>
    </row>
    <row r="80" spans="1:5" ht="30.25" thickBot="1" x14ac:dyDescent="0.9">
      <c r="B80" s="115" t="s">
        <v>797</v>
      </c>
      <c r="C80" s="116" t="s">
        <v>762</v>
      </c>
      <c r="D80" s="94"/>
      <c r="E80" s="94"/>
    </row>
    <row r="81" spans="1:5" ht="30.25" thickBot="1" x14ac:dyDescent="0.9">
      <c r="B81" s="115" t="s">
        <v>798</v>
      </c>
      <c r="C81" s="116" t="s">
        <v>763</v>
      </c>
      <c r="D81" s="94" t="s">
        <v>764</v>
      </c>
      <c r="E81" s="94" t="s">
        <v>577</v>
      </c>
    </row>
    <row r="82" spans="1:5" ht="30.25" thickBot="1" x14ac:dyDescent="0.9">
      <c r="B82" s="115" t="s">
        <v>799</v>
      </c>
      <c r="C82" s="116" t="s">
        <v>765</v>
      </c>
      <c r="D82" s="94"/>
      <c r="E82" s="94"/>
    </row>
    <row r="83" spans="1:5" ht="15.5" thickBot="1" x14ac:dyDescent="0.9">
      <c r="B83" s="115" t="s">
        <v>800</v>
      </c>
      <c r="C83" s="116" t="s">
        <v>766</v>
      </c>
      <c r="D83" s="94" t="s">
        <v>767</v>
      </c>
      <c r="E83" s="94" t="s">
        <v>94</v>
      </c>
    </row>
    <row r="84" spans="1:5" ht="15.5" thickBot="1" x14ac:dyDescent="0.9">
      <c r="B84" s="115" t="s">
        <v>801</v>
      </c>
      <c r="C84" s="116" t="s">
        <v>768</v>
      </c>
      <c r="D84" s="94" t="s">
        <v>769</v>
      </c>
      <c r="E84" s="94" t="s">
        <v>577</v>
      </c>
    </row>
    <row r="85" spans="1:5" ht="15.5" thickBot="1" x14ac:dyDescent="0.9">
      <c r="B85" s="115" t="s">
        <v>802</v>
      </c>
      <c r="C85" s="116" t="s">
        <v>770</v>
      </c>
      <c r="D85" s="94" t="s">
        <v>771</v>
      </c>
      <c r="E85" s="94"/>
    </row>
    <row r="86" spans="1:5" ht="15.5" thickBot="1" x14ac:dyDescent="0.9">
      <c r="A86" t="str">
        <f>B86&amp;" - "&amp;C86</f>
        <v>A.2.7 - Patient provided data</v>
      </c>
      <c r="B86" s="113" t="s">
        <v>803</v>
      </c>
      <c r="C86" s="114" t="s">
        <v>772</v>
      </c>
      <c r="D86" s="94"/>
      <c r="E86" s="94"/>
    </row>
    <row r="87" spans="1:5" ht="15.5" thickBot="1" x14ac:dyDescent="0.9">
      <c r="A87" t="str">
        <f>B87&amp;" "&amp;C87</f>
        <v>A.2.7.1 Travel history</v>
      </c>
      <c r="B87" s="113" t="s">
        <v>804</v>
      </c>
      <c r="C87" s="114" t="s">
        <v>773</v>
      </c>
      <c r="D87" s="94"/>
      <c r="E87" s="94"/>
    </row>
    <row r="88" spans="1:5" ht="15.5" thickBot="1" x14ac:dyDescent="0.9">
      <c r="A88" t="str">
        <f t="shared" ref="A88:A89" si="2">B88&amp;" "&amp;C88</f>
        <v>A.2.7.1.1 Country</v>
      </c>
      <c r="B88" s="115" t="s">
        <v>805</v>
      </c>
      <c r="C88" s="116" t="s">
        <v>276</v>
      </c>
      <c r="D88" s="94" t="s">
        <v>774</v>
      </c>
      <c r="E88" s="94" t="s">
        <v>279</v>
      </c>
    </row>
    <row r="89" spans="1:5" ht="15.5" thickBot="1" x14ac:dyDescent="0.9">
      <c r="A89" t="str">
        <f t="shared" si="2"/>
        <v>A.2.7.1.2 Period</v>
      </c>
      <c r="B89" s="115" t="s">
        <v>806</v>
      </c>
      <c r="C89" s="116" t="s">
        <v>775</v>
      </c>
      <c r="D89" s="94" t="s">
        <v>776</v>
      </c>
      <c r="E89" s="94" t="s">
        <v>94</v>
      </c>
    </row>
    <row r="90" spans="1:5" ht="15.5" thickBot="1" x14ac:dyDescent="0.9">
      <c r="A90" t="str">
        <f>B90&amp;" - "&amp;C90</f>
        <v>A.2.7.2 - Advance Directive</v>
      </c>
      <c r="B90" s="113" t="s">
        <v>807</v>
      </c>
      <c r="C90" s="114" t="s">
        <v>777</v>
      </c>
      <c r="D90" s="94"/>
      <c r="E90" s="94"/>
    </row>
    <row r="91" spans="1:5" ht="15.5" thickBot="1" x14ac:dyDescent="0.9">
      <c r="A91" t="str">
        <f>B91&amp;" "&amp;C91</f>
        <v>A.2.7.2.1 Documentation</v>
      </c>
      <c r="B91" s="115" t="s">
        <v>808</v>
      </c>
      <c r="C91" s="116" t="s">
        <v>778</v>
      </c>
      <c r="D91" s="94" t="s">
        <v>779</v>
      </c>
      <c r="E91" s="94" t="s">
        <v>577</v>
      </c>
    </row>
    <row r="92" spans="1:5" ht="15.5" thickBot="1" x14ac:dyDescent="0.9">
      <c r="A92" t="str">
        <f>B92&amp;" - "&amp;C92</f>
        <v>A.2.8 - Results</v>
      </c>
      <c r="B92" s="113" t="s">
        <v>809</v>
      </c>
      <c r="C92" s="114" t="s">
        <v>780</v>
      </c>
      <c r="D92" s="94"/>
      <c r="E92" s="94"/>
    </row>
    <row r="93" spans="1:5" ht="30.25" thickBot="1" x14ac:dyDescent="0.9">
      <c r="B93" s="115" t="s">
        <v>810</v>
      </c>
      <c r="C93" s="116" t="s">
        <v>821</v>
      </c>
      <c r="D93" s="94" t="s">
        <v>822</v>
      </c>
      <c r="E93" s="94"/>
    </row>
    <row r="94" spans="1:5" ht="15.5" thickBot="1" x14ac:dyDescent="0.9">
      <c r="B94" s="115" t="s">
        <v>811</v>
      </c>
      <c r="C94" s="116" t="s">
        <v>781</v>
      </c>
      <c r="D94" s="94" t="s">
        <v>100</v>
      </c>
      <c r="E94" s="94" t="s">
        <v>94</v>
      </c>
    </row>
    <row r="95" spans="1:5" ht="59.75" thickBot="1" x14ac:dyDescent="0.9">
      <c r="B95" s="115" t="s">
        <v>812</v>
      </c>
      <c r="C95" s="116" t="s">
        <v>782</v>
      </c>
      <c r="D95" s="94" t="s">
        <v>783</v>
      </c>
      <c r="E95" s="94"/>
    </row>
    <row r="96" spans="1:5" ht="15.5" thickBot="1" x14ac:dyDescent="0.9">
      <c r="B96" s="115" t="s">
        <v>813</v>
      </c>
      <c r="C96" s="116" t="s">
        <v>104</v>
      </c>
      <c r="D96" s="94" t="s">
        <v>820</v>
      </c>
      <c r="E96" s="94"/>
    </row>
    <row r="97" spans="1:5" ht="30.25" thickBot="1" x14ac:dyDescent="0.9">
      <c r="B97" s="115" t="s">
        <v>814</v>
      </c>
      <c r="C97" s="116" t="s">
        <v>784</v>
      </c>
      <c r="D97" s="94" t="s">
        <v>785</v>
      </c>
      <c r="E97" s="94" t="s">
        <v>786</v>
      </c>
    </row>
    <row r="98" spans="1:5" ht="59.75" thickBot="1" x14ac:dyDescent="0.9">
      <c r="B98" s="115" t="s">
        <v>815</v>
      </c>
      <c r="C98" s="116" t="s">
        <v>787</v>
      </c>
      <c r="D98" s="94" t="s">
        <v>788</v>
      </c>
      <c r="E98" s="94" t="s">
        <v>789</v>
      </c>
    </row>
    <row r="99" spans="1:5" ht="30.25" thickBot="1" x14ac:dyDescent="0.9">
      <c r="B99" s="115" t="s">
        <v>816</v>
      </c>
      <c r="C99" s="116" t="s">
        <v>101</v>
      </c>
      <c r="D99" s="94" t="s">
        <v>790</v>
      </c>
      <c r="E99" s="94"/>
    </row>
    <row r="100" spans="1:5" ht="15.5" thickBot="1" x14ac:dyDescent="0.9">
      <c r="B100" s="115" t="s">
        <v>817</v>
      </c>
      <c r="C100" s="116" t="s">
        <v>102</v>
      </c>
      <c r="D100" s="94" t="s">
        <v>103</v>
      </c>
      <c r="E100" s="94"/>
    </row>
    <row r="101" spans="1:5" ht="30.25" thickBot="1" x14ac:dyDescent="0.9">
      <c r="A101" t="str">
        <f>B101&amp;" - "&amp;C101</f>
        <v>A.2.9 - Plan of Care</v>
      </c>
      <c r="B101" s="113" t="s">
        <v>818</v>
      </c>
      <c r="C101" s="114" t="s">
        <v>791</v>
      </c>
      <c r="D101" s="94" t="s">
        <v>792</v>
      </c>
      <c r="E101" s="94"/>
    </row>
    <row r="102" spans="1:5" ht="45" thickBot="1" x14ac:dyDescent="0.9">
      <c r="A102" t="str">
        <f>B102&amp;" "&amp;C102</f>
        <v>A.2.9.1 Plan of care</v>
      </c>
      <c r="B102" s="115" t="s">
        <v>819</v>
      </c>
      <c r="C102" s="116" t="s">
        <v>793</v>
      </c>
      <c r="D102" s="94" t="s">
        <v>1002</v>
      </c>
      <c r="E102" s="94"/>
    </row>
  </sheetData>
  <mergeCells count="1">
    <mergeCell ref="B3:C3"/>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A2:H60"/>
  <sheetViews>
    <sheetView topLeftCell="A23" zoomScale="130" zoomScaleNormal="130" workbookViewId="0">
      <selection activeCell="D40" sqref="D40"/>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54" t="s">
        <v>39</v>
      </c>
      <c r="C3" s="155"/>
      <c r="D3" s="34" t="s">
        <v>40</v>
      </c>
      <c r="E3" s="34" t="s">
        <v>41</v>
      </c>
    </row>
    <row r="4" spans="2:5" ht="16.75" thickBot="1" x14ac:dyDescent="0.9">
      <c r="B4" s="156" t="s">
        <v>318</v>
      </c>
      <c r="C4" s="157"/>
      <c r="D4" s="157"/>
      <c r="E4" s="158"/>
    </row>
    <row r="5" spans="2:5" ht="16.75" thickBot="1" x14ac:dyDescent="0.9">
      <c r="B5" s="159" t="s">
        <v>117</v>
      </c>
      <c r="C5" s="160"/>
      <c r="D5" s="157"/>
      <c r="E5" s="158"/>
    </row>
    <row r="6" spans="2:5" ht="32.75" thickBot="1" x14ac:dyDescent="0.9">
      <c r="B6" s="127" t="s">
        <v>43</v>
      </c>
      <c r="C6" s="127" t="s">
        <v>319</v>
      </c>
      <c r="D6" t="s">
        <v>320</v>
      </c>
      <c r="E6" s="83"/>
    </row>
    <row r="7" spans="2:5" ht="48.75" thickBot="1" x14ac:dyDescent="0.9">
      <c r="B7" s="127" t="s">
        <v>45</v>
      </c>
      <c r="C7" s="128" t="s">
        <v>44</v>
      </c>
      <c r="D7" s="36" t="s">
        <v>110</v>
      </c>
      <c r="E7" s="37"/>
    </row>
    <row r="8" spans="2:5" ht="48.75" thickBot="1" x14ac:dyDescent="0.9">
      <c r="B8" s="127" t="s">
        <v>48</v>
      </c>
      <c r="C8" s="128" t="s">
        <v>46</v>
      </c>
      <c r="D8" s="36" t="s">
        <v>47</v>
      </c>
      <c r="E8" s="37"/>
    </row>
    <row r="9" spans="2:5" ht="48.75" thickBot="1" x14ac:dyDescent="0.9">
      <c r="B9" s="127" t="s">
        <v>52</v>
      </c>
      <c r="C9" s="128" t="s">
        <v>49</v>
      </c>
      <c r="D9" s="36" t="s">
        <v>50</v>
      </c>
      <c r="E9" s="38" t="s">
        <v>51</v>
      </c>
    </row>
    <row r="10" spans="2:5" ht="64.75" thickBot="1" x14ac:dyDescent="0.9">
      <c r="B10" s="129" t="s">
        <v>53</v>
      </c>
      <c r="C10" s="129" t="s">
        <v>54</v>
      </c>
      <c r="D10" s="85" t="s">
        <v>321</v>
      </c>
      <c r="E10" s="84" t="s">
        <v>55</v>
      </c>
    </row>
    <row r="11" spans="2:5" ht="32.75" thickBot="1" x14ac:dyDescent="0.9">
      <c r="B11" s="129" t="s">
        <v>53</v>
      </c>
      <c r="C11" s="129" t="s">
        <v>322</v>
      </c>
      <c r="D11" s="39" t="s">
        <v>323</v>
      </c>
      <c r="E11" s="84" t="s">
        <v>279</v>
      </c>
    </row>
    <row r="12" spans="2:5" ht="16.75" thickBot="1" x14ac:dyDescent="0.9">
      <c r="B12" s="150" t="s">
        <v>324</v>
      </c>
      <c r="C12" s="151"/>
      <c r="D12" s="152"/>
      <c r="E12" s="153"/>
    </row>
    <row r="13" spans="2:5" ht="16.75" thickBot="1" x14ac:dyDescent="0.9">
      <c r="B13" s="161" t="s">
        <v>325</v>
      </c>
      <c r="C13" s="162"/>
      <c r="D13" s="145"/>
      <c r="E13" s="163"/>
    </row>
    <row r="14" spans="2:5" ht="15.5" thickBot="1" x14ac:dyDescent="0.9">
      <c r="B14" s="130" t="s">
        <v>56</v>
      </c>
      <c r="C14" s="131" t="s">
        <v>326</v>
      </c>
      <c r="D14" s="74" t="s">
        <v>116</v>
      </c>
      <c r="E14" s="74"/>
    </row>
    <row r="15" spans="2:5" ht="15.5" thickBot="1" x14ac:dyDescent="0.9">
      <c r="B15" s="132" t="s">
        <v>327</v>
      </c>
      <c r="C15" s="133" t="s">
        <v>328</v>
      </c>
      <c r="D15" s="76" t="s">
        <v>329</v>
      </c>
      <c r="E15" s="76"/>
    </row>
    <row r="16" spans="2:5" ht="15.5" thickBot="1" x14ac:dyDescent="0.9">
      <c r="B16" s="132" t="s">
        <v>330</v>
      </c>
      <c r="C16" s="133" t="s">
        <v>331</v>
      </c>
      <c r="D16" s="76" t="s">
        <v>332</v>
      </c>
      <c r="E16" s="76"/>
    </row>
    <row r="17" spans="2:5" ht="15.5" thickBot="1" x14ac:dyDescent="0.9">
      <c r="B17" s="132" t="s">
        <v>333</v>
      </c>
      <c r="C17" s="133" t="s">
        <v>334</v>
      </c>
      <c r="D17" s="76" t="s">
        <v>335</v>
      </c>
      <c r="E17" s="76"/>
    </row>
    <row r="18" spans="2:5" ht="15.5" thickBot="1" x14ac:dyDescent="0.9">
      <c r="B18" s="132" t="s">
        <v>336</v>
      </c>
      <c r="C18" s="133" t="s">
        <v>337</v>
      </c>
      <c r="D18" s="76" t="s">
        <v>338</v>
      </c>
      <c r="E18" s="76"/>
    </row>
    <row r="19" spans="2:5" ht="15.5" thickBot="1" x14ac:dyDescent="0.9">
      <c r="B19" s="132" t="s">
        <v>339</v>
      </c>
      <c r="C19" s="133" t="s">
        <v>340</v>
      </c>
      <c r="D19" s="76" t="s">
        <v>341</v>
      </c>
      <c r="E19" s="76"/>
    </row>
    <row r="20" spans="2:5" ht="15.5" thickBot="1" x14ac:dyDescent="0.9">
      <c r="B20" s="132" t="s">
        <v>349</v>
      </c>
      <c r="C20" s="133" t="s">
        <v>276</v>
      </c>
      <c r="D20" s="76" t="s">
        <v>342</v>
      </c>
      <c r="E20" s="76" t="s">
        <v>279</v>
      </c>
    </row>
    <row r="21" spans="2:5" ht="15.5" thickBot="1" x14ac:dyDescent="0.9">
      <c r="B21" s="132" t="s">
        <v>343</v>
      </c>
      <c r="C21" s="133" t="s">
        <v>344</v>
      </c>
      <c r="D21" s="76" t="s">
        <v>345</v>
      </c>
      <c r="E21" s="76"/>
    </row>
    <row r="22" spans="2:5" ht="15.5" thickBot="1" x14ac:dyDescent="0.9">
      <c r="B22" s="132" t="s">
        <v>346</v>
      </c>
      <c r="C22" s="133" t="s">
        <v>347</v>
      </c>
      <c r="D22" s="76" t="s">
        <v>348</v>
      </c>
      <c r="E22" s="76"/>
    </row>
    <row r="23" spans="2:5" ht="42.75" customHeight="1" thickBot="1" x14ac:dyDescent="0.9">
      <c r="B23" s="150" t="s">
        <v>350</v>
      </c>
      <c r="C23" s="151"/>
      <c r="D23" s="152"/>
      <c r="E23" s="153"/>
    </row>
    <row r="24" spans="2:5" ht="30.25" thickBot="1" x14ac:dyDescent="0.9">
      <c r="B24" s="130" t="s">
        <v>351</v>
      </c>
      <c r="C24" s="131" t="s">
        <v>352</v>
      </c>
      <c r="D24" s="74" t="s">
        <v>353</v>
      </c>
      <c r="E24" s="74"/>
    </row>
    <row r="25" spans="2:5" ht="15.5" thickBot="1" x14ac:dyDescent="0.9">
      <c r="B25" s="132" t="s">
        <v>354</v>
      </c>
      <c r="C25" s="133" t="s">
        <v>355</v>
      </c>
      <c r="D25" s="76" t="s">
        <v>356</v>
      </c>
      <c r="E25" s="76"/>
    </row>
    <row r="26" spans="2:5" ht="15.5" thickBot="1" x14ac:dyDescent="0.9">
      <c r="B26" s="132" t="s">
        <v>357</v>
      </c>
      <c r="C26" s="133" t="s">
        <v>358</v>
      </c>
      <c r="D26" s="76" t="s">
        <v>359</v>
      </c>
      <c r="E26" s="76"/>
    </row>
    <row r="27" spans="2:5" ht="15.5" thickBot="1" x14ac:dyDescent="0.9">
      <c r="B27" s="132" t="s">
        <v>360</v>
      </c>
      <c r="C27" s="133" t="s">
        <v>344</v>
      </c>
      <c r="D27" s="76" t="s">
        <v>361</v>
      </c>
      <c r="E27" s="76"/>
    </row>
    <row r="28" spans="2:5" ht="15.5" thickBot="1" x14ac:dyDescent="0.9">
      <c r="B28" s="132" t="s">
        <v>362</v>
      </c>
      <c r="C28" s="133" t="s">
        <v>347</v>
      </c>
      <c r="D28" s="76" t="s">
        <v>363</v>
      </c>
      <c r="E28" s="76"/>
    </row>
    <row r="29" spans="2:5" ht="30.25" thickBot="1" x14ac:dyDescent="0.9">
      <c r="B29" s="132" t="s">
        <v>364</v>
      </c>
      <c r="C29" s="133" t="s">
        <v>365</v>
      </c>
      <c r="D29" s="76" t="s">
        <v>366</v>
      </c>
      <c r="E29" s="76"/>
    </row>
    <row r="30" spans="2:5" ht="30.25" thickBot="1" x14ac:dyDescent="0.9">
      <c r="B30" s="132" t="s">
        <v>367</v>
      </c>
      <c r="C30" s="133" t="s">
        <v>368</v>
      </c>
      <c r="D30" s="76" t="s">
        <v>369</v>
      </c>
      <c r="E30" s="76"/>
    </row>
    <row r="31" spans="2:5" ht="16.75" thickBot="1" x14ac:dyDescent="0.9">
      <c r="B31" s="150" t="s">
        <v>370</v>
      </c>
      <c r="C31" s="151"/>
      <c r="D31" s="152"/>
      <c r="E31" s="153"/>
    </row>
    <row r="32" spans="2:5" ht="30.25" thickBot="1" x14ac:dyDescent="0.9">
      <c r="B32" s="130" t="s">
        <v>371</v>
      </c>
      <c r="C32" s="131" t="s">
        <v>372</v>
      </c>
      <c r="D32" s="74" t="s">
        <v>373</v>
      </c>
      <c r="E32" s="74" t="s">
        <v>374</v>
      </c>
    </row>
    <row r="33" spans="1:8" ht="30.25" thickBot="1" x14ac:dyDescent="0.9">
      <c r="B33" s="132" t="s">
        <v>375</v>
      </c>
      <c r="C33" s="133" t="s">
        <v>376</v>
      </c>
      <c r="D33" s="76" t="s">
        <v>377</v>
      </c>
      <c r="E33" s="76"/>
    </row>
    <row r="34" spans="1:8" ht="30.25" thickBot="1" x14ac:dyDescent="0.9">
      <c r="B34" s="132" t="s">
        <v>378</v>
      </c>
      <c r="C34" s="133" t="s">
        <v>379</v>
      </c>
      <c r="D34" s="76" t="s">
        <v>380</v>
      </c>
      <c r="E34" s="76"/>
    </row>
    <row r="35" spans="1:8" x14ac:dyDescent="0.75">
      <c r="B35" s="146" t="s">
        <v>381</v>
      </c>
      <c r="C35" s="146" t="s">
        <v>44</v>
      </c>
      <c r="D35" s="40" t="s">
        <v>382</v>
      </c>
      <c r="E35" s="148"/>
    </row>
    <row r="36" spans="1:8" ht="15.5" thickBot="1" x14ac:dyDescent="0.9">
      <c r="B36" s="147"/>
      <c r="C36" s="147"/>
      <c r="D36" s="76" t="s">
        <v>383</v>
      </c>
      <c r="E36" s="149"/>
    </row>
    <row r="37" spans="1:8" ht="15.5" thickBot="1" x14ac:dyDescent="0.9">
      <c r="B37" s="132" t="s">
        <v>384</v>
      </c>
      <c r="C37" s="133" t="s">
        <v>344</v>
      </c>
      <c r="D37" s="76" t="s">
        <v>361</v>
      </c>
      <c r="E37" s="76"/>
    </row>
    <row r="38" spans="1:8" ht="15.5" thickBot="1" x14ac:dyDescent="0.9">
      <c r="B38" s="132" t="s">
        <v>385</v>
      </c>
      <c r="C38" s="133" t="s">
        <v>347</v>
      </c>
      <c r="D38" s="76" t="s">
        <v>386</v>
      </c>
      <c r="E38" s="76"/>
    </row>
    <row r="39" spans="1:8" ht="19.5" customHeight="1" x14ac:dyDescent="0.75">
      <c r="B39" s="144" t="s">
        <v>387</v>
      </c>
      <c r="C39" s="145"/>
      <c r="D39" s="145"/>
      <c r="E39" s="145"/>
    </row>
    <row r="40" spans="1:8" ht="15.5" thickBot="1" x14ac:dyDescent="0.9">
      <c r="A40" t="str">
        <f>B40&amp;" "&amp;C40</f>
        <v>A.1.3.1  Insurance number</v>
      </c>
      <c r="B40" s="75" t="s">
        <v>60</v>
      </c>
      <c r="C40" s="76" t="s">
        <v>388</v>
      </c>
      <c r="D40" s="76" t="s">
        <v>389</v>
      </c>
      <c r="E40" s="76"/>
    </row>
    <row r="41" spans="1:8" ht="15.5" thickBot="1" x14ac:dyDescent="0.9">
      <c r="B41" s="90"/>
      <c r="C41" s="90"/>
      <c r="D41" s="90"/>
      <c r="E41" s="90"/>
    </row>
    <row r="42" spans="1:8" ht="15.5" thickBot="1" x14ac:dyDescent="0.9">
      <c r="B42" s="134" t="s">
        <v>521</v>
      </c>
      <c r="C42" s="135" t="s">
        <v>522</v>
      </c>
      <c r="D42" s="92"/>
      <c r="E42" s="92"/>
      <c r="H42" t="str">
        <f>B42&amp;" "&amp;C42</f>
        <v>A.1.4 Document data</v>
      </c>
    </row>
    <row r="43" spans="1:8" ht="15.5" thickBot="1" x14ac:dyDescent="0.9">
      <c r="B43" s="136" t="s">
        <v>71</v>
      </c>
      <c r="C43" s="137" t="s">
        <v>523</v>
      </c>
      <c r="D43" s="94" t="s">
        <v>524</v>
      </c>
      <c r="E43" s="94" t="s">
        <v>94</v>
      </c>
    </row>
    <row r="44" spans="1:8" ht="30.25" thickBot="1" x14ac:dyDescent="0.9">
      <c r="B44" s="136" t="s">
        <v>73</v>
      </c>
      <c r="C44" s="137" t="s">
        <v>525</v>
      </c>
      <c r="D44" s="94" t="s">
        <v>526</v>
      </c>
      <c r="E44" s="94"/>
    </row>
    <row r="45" spans="1:8" ht="59.75" thickBot="1" x14ac:dyDescent="0.9">
      <c r="B45" s="136" t="s">
        <v>76</v>
      </c>
      <c r="C45" s="137" t="s">
        <v>527</v>
      </c>
      <c r="D45" s="94" t="s">
        <v>528</v>
      </c>
      <c r="E45" s="94"/>
    </row>
    <row r="46" spans="1:8" ht="15.5" thickBot="1" x14ac:dyDescent="0.9">
      <c r="B46" s="136"/>
      <c r="C46" s="137"/>
      <c r="D46" s="94"/>
      <c r="E46" s="94"/>
    </row>
    <row r="47" spans="1:8" ht="15.5" thickBot="1" x14ac:dyDescent="0.9">
      <c r="B47" s="136"/>
      <c r="C47" s="137"/>
      <c r="D47" s="94"/>
      <c r="E47" s="94"/>
    </row>
    <row r="48" spans="1:8" ht="15.5" thickBot="1" x14ac:dyDescent="0.9">
      <c r="B48" s="138" t="s">
        <v>529</v>
      </c>
      <c r="C48" s="139" t="s">
        <v>530</v>
      </c>
      <c r="D48" s="94"/>
      <c r="E48" s="94"/>
      <c r="H48" t="str">
        <f>B48&amp;" "&amp;C48</f>
        <v>A.1.5 Author and Organisation</v>
      </c>
    </row>
    <row r="49" spans="2:8" ht="89.25" thickBot="1" x14ac:dyDescent="0.9">
      <c r="B49" s="136" t="s">
        <v>79</v>
      </c>
      <c r="C49" s="137" t="s">
        <v>531</v>
      </c>
      <c r="D49" s="94" t="s">
        <v>532</v>
      </c>
      <c r="E49" s="94"/>
    </row>
    <row r="50" spans="2:8" ht="30.25" thickBot="1" x14ac:dyDescent="0.9">
      <c r="B50" s="136" t="s">
        <v>81</v>
      </c>
      <c r="C50" s="137" t="s">
        <v>533</v>
      </c>
      <c r="D50" s="94" t="s">
        <v>534</v>
      </c>
      <c r="E50" s="94"/>
    </row>
    <row r="51" spans="2:8" ht="15.5" thickBot="1" x14ac:dyDescent="0.9">
      <c r="B51" s="136"/>
      <c r="C51" s="137"/>
      <c r="D51" s="94"/>
      <c r="E51" s="94"/>
    </row>
    <row r="52" spans="2:8" ht="15.5" thickBot="1" x14ac:dyDescent="0.9">
      <c r="B52" s="136"/>
      <c r="C52" s="137"/>
      <c r="D52" s="94"/>
      <c r="E52" s="94"/>
    </row>
    <row r="53" spans="2:8" ht="30.25" thickBot="1" x14ac:dyDescent="0.9">
      <c r="B53" s="138" t="s">
        <v>535</v>
      </c>
      <c r="C53" s="139" t="s">
        <v>536</v>
      </c>
      <c r="D53" s="94"/>
      <c r="E53" s="94"/>
      <c r="H53" t="str">
        <f>B53&amp;" "&amp;C53</f>
        <v>A.1.6 Additional information / Knowledge resources</v>
      </c>
    </row>
    <row r="54" spans="2:8" ht="74.5" thickBot="1" x14ac:dyDescent="0.9">
      <c r="B54" s="136" t="s">
        <v>86</v>
      </c>
      <c r="C54" s="137" t="s">
        <v>537</v>
      </c>
      <c r="D54" s="94" t="s">
        <v>538</v>
      </c>
      <c r="E54" s="94"/>
    </row>
    <row r="55" spans="2:8" ht="59.75" thickBot="1" x14ac:dyDescent="0.9">
      <c r="B55" s="136" t="s">
        <v>88</v>
      </c>
      <c r="C55" s="137" t="s">
        <v>368</v>
      </c>
      <c r="D55" s="94" t="s">
        <v>539</v>
      </c>
      <c r="E55" s="94"/>
    </row>
    <row r="56" spans="2:8" x14ac:dyDescent="0.75">
      <c r="B56" s="90"/>
      <c r="C56" s="90"/>
      <c r="D56" s="90"/>
      <c r="E56" s="90"/>
    </row>
    <row r="57" spans="2:8" x14ac:dyDescent="0.75">
      <c r="B57" s="90"/>
      <c r="C57" s="90"/>
      <c r="D57" s="90"/>
      <c r="E57" s="90"/>
    </row>
    <row r="58" spans="2:8" x14ac:dyDescent="0.75">
      <c r="B58" s="90"/>
      <c r="C58" s="90"/>
      <c r="D58" s="90"/>
      <c r="E58" s="90"/>
    </row>
    <row r="59" spans="2:8" x14ac:dyDescent="0.75">
      <c r="B59" s="90"/>
      <c r="C59" s="90"/>
      <c r="D59" s="90"/>
      <c r="E59" s="90"/>
    </row>
    <row r="60" spans="2:8" x14ac:dyDescent="0.75">
      <c r="B60" s="90"/>
      <c r="C60" s="90"/>
      <c r="D60" s="90"/>
      <c r="E60" s="90"/>
    </row>
  </sheetData>
  <mergeCells count="11">
    <mergeCell ref="B3:C3"/>
    <mergeCell ref="B4:E4"/>
    <mergeCell ref="B5:E5"/>
    <mergeCell ref="B12:E12"/>
    <mergeCell ref="B13:E13"/>
    <mergeCell ref="B39:E39"/>
    <mergeCell ref="B35:B36"/>
    <mergeCell ref="C35:C36"/>
    <mergeCell ref="E35:E36"/>
    <mergeCell ref="B23:E23"/>
    <mergeCell ref="B31:E31"/>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72"/>
  <sheetViews>
    <sheetView topLeftCell="C43" zoomScaleNormal="100" workbookViewId="0">
      <selection activeCell="J13" sqref="J13:J57"/>
    </sheetView>
  </sheetViews>
  <sheetFormatPr defaultRowHeight="14.75" x14ac:dyDescent="0.75"/>
  <cols>
    <col min="1" max="1" width="16.54296875" customWidth="1"/>
    <col min="2" max="2" width="44.2265625" customWidth="1"/>
    <col min="3" max="3" width="31.90625" style="1"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77" t="s">
        <v>272</v>
      </c>
      <c r="B2" s="99" t="s">
        <v>540</v>
      </c>
      <c r="J2" s="32" t="s">
        <v>36</v>
      </c>
      <c r="L2" s="32" t="s">
        <v>180</v>
      </c>
    </row>
    <row r="3" spans="1:12" ht="15.5" thickBot="1" x14ac:dyDescent="0.9">
      <c r="J3" s="32" t="str">
        <f>J1</f>
        <v>// -------------------------------------------------------------------------------</v>
      </c>
      <c r="L3" s="32" t="str">
        <f>L1</f>
        <v>// -------------------------------------------------------------------------------</v>
      </c>
    </row>
    <row r="4" spans="1:12" x14ac:dyDescent="0.75">
      <c r="A4" s="6" t="s">
        <v>14</v>
      </c>
      <c r="B4" s="16" t="s">
        <v>559</v>
      </c>
      <c r="J4" s="24" t="str">
        <f>CONCATENATE("Logical: ",B4)</f>
        <v>Logical: PatientSummaryEhn</v>
      </c>
    </row>
    <row r="5" spans="1:12" x14ac:dyDescent="0.75">
      <c r="A5" s="17" t="s">
        <v>19</v>
      </c>
      <c r="B5" s="33" t="s">
        <v>560</v>
      </c>
      <c r="J5" s="24" t="str">
        <f>CONCATENATE("Id: ",B5)</f>
        <v>Id: PatientSummary</v>
      </c>
    </row>
    <row r="6" spans="1:12" x14ac:dyDescent="0.75">
      <c r="A6" s="17" t="s">
        <v>13</v>
      </c>
      <c r="B6" s="18" t="s">
        <v>458</v>
      </c>
      <c r="J6" s="25" t="str">
        <f>CONCATENATE("Title: ##34#",B6,"##34#")</f>
        <v>Title: ##34#A - Patient Summary##34#</v>
      </c>
    </row>
    <row r="7" spans="1:12" x14ac:dyDescent="0.75">
      <c r="A7" s="43" t="s">
        <v>5</v>
      </c>
      <c r="B7" s="44" t="s">
        <v>459</v>
      </c>
      <c r="C7" s="12" t="s">
        <v>6</v>
      </c>
      <c r="D7" s="2" t="s">
        <v>7</v>
      </c>
      <c r="E7" s="3" t="s">
        <v>8</v>
      </c>
      <c r="F7" s="3" t="s">
        <v>9</v>
      </c>
      <c r="G7" s="3" t="s">
        <v>10</v>
      </c>
      <c r="H7" s="56" t="s">
        <v>179</v>
      </c>
      <c r="J7" s="25" t="str">
        <f>CONCATENATE("Description: "," ##334#",B7,"##334#",)</f>
        <v>Description:  ##334#Patient Summary. eHN guideline model.##334#</v>
      </c>
    </row>
    <row r="8" spans="1:12" ht="29.5" x14ac:dyDescent="0.75">
      <c r="A8" s="9">
        <v>1</v>
      </c>
      <c r="B8" s="9" t="s">
        <v>105</v>
      </c>
      <c r="C8" s="14" t="s">
        <v>42</v>
      </c>
      <c r="D8" s="14" t="s">
        <v>42</v>
      </c>
      <c r="E8" s="9">
        <v>1</v>
      </c>
      <c r="F8" s="9">
        <v>1</v>
      </c>
      <c r="G8" s="9" t="s">
        <v>4</v>
      </c>
      <c r="H8" s="14"/>
      <c r="I8" s="42"/>
      <c r="J8" s="14" t="str">
        <f t="shared" ref="J8:J57"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106</v>
      </c>
      <c r="C9" s="14" t="s">
        <v>941</v>
      </c>
      <c r="D9" s="9" t="s">
        <v>119</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50" si="1">IF(H9="",IF(J9="*  ..  ##34###34# ##334###334#",J9,""),IF(J9="*  ..  ##34###34# ##334###334#",J9,CONCATENATE("* ",B9," ^comment = ##334#",H9,"##334#")))</f>
        <v/>
      </c>
    </row>
    <row r="10" spans="1:12" ht="29.5" x14ac:dyDescent="0.75">
      <c r="A10" s="9">
        <v>3</v>
      </c>
      <c r="B10" s="9" t="s">
        <v>561</v>
      </c>
      <c r="C10" s="14" t="s">
        <v>387</v>
      </c>
      <c r="D10" s="9" t="s">
        <v>387</v>
      </c>
      <c r="E10" s="9">
        <v>0</v>
      </c>
      <c r="F10" s="9">
        <v>1</v>
      </c>
      <c r="G10" s="100" t="s">
        <v>4</v>
      </c>
      <c r="H10" s="14"/>
      <c r="I10" s="42" t="s">
        <v>135</v>
      </c>
      <c r="J10" s="14" t="str">
        <f t="shared" si="0"/>
        <v>* header.insuranceInfo 0..1 BackboneElement ##34#A.1.3 Insurance information##34# ##334#A.1.3 Insurance information##334#</v>
      </c>
      <c r="L10" s="14" t="str">
        <f t="shared" si="1"/>
        <v/>
      </c>
    </row>
    <row r="11" spans="1:12" ht="29.5" x14ac:dyDescent="0.75">
      <c r="A11" s="9"/>
      <c r="B11" s="9" t="s">
        <v>1302</v>
      </c>
      <c r="C11" s="9" t="s">
        <v>1301</v>
      </c>
      <c r="D11" s="9" t="s">
        <v>389</v>
      </c>
      <c r="E11" s="9">
        <v>0</v>
      </c>
      <c r="F11" s="9" t="s">
        <v>11</v>
      </c>
      <c r="G11" s="100" t="s">
        <v>0</v>
      </c>
      <c r="H11" s="14"/>
      <c r="I11" s="42"/>
      <c r="J11" s="14" t="str">
        <f t="shared" si="0"/>
        <v>* header.insuranceInfo.insuranceNumber 0..* Identifier ##34#A.1.3.1  Insurance number##34# ##334#Example: QQ 12 34 56 A##334#</v>
      </c>
      <c r="L11" s="14"/>
    </row>
    <row r="12" spans="1:12" ht="29.5" x14ac:dyDescent="0.75">
      <c r="A12" s="9">
        <v>4</v>
      </c>
      <c r="B12" s="9" t="s">
        <v>562</v>
      </c>
      <c r="C12" s="14" t="s">
        <v>541</v>
      </c>
      <c r="D12" s="14" t="s">
        <v>541</v>
      </c>
      <c r="E12" s="9">
        <v>1</v>
      </c>
      <c r="F12" s="9">
        <v>1</v>
      </c>
      <c r="G12" s="100" t="s">
        <v>4</v>
      </c>
      <c r="H12" s="14"/>
      <c r="I12" s="9"/>
      <c r="J12" s="14" t="str">
        <f t="shared" si="0"/>
        <v>* header.documentData 1..1 BackboneElement ##34#A.1.4 Document data##34# ##334#A.1.4 Document data##334#</v>
      </c>
      <c r="L12" s="14" t="str">
        <f t="shared" si="1"/>
        <v/>
      </c>
    </row>
    <row r="13" spans="1:12" ht="29.5" x14ac:dyDescent="0.75">
      <c r="A13" s="9">
        <v>5</v>
      </c>
      <c r="B13" s="9" t="s">
        <v>563</v>
      </c>
      <c r="C13" s="14" t="s">
        <v>544</v>
      </c>
      <c r="D13" s="14" t="s">
        <v>551</v>
      </c>
      <c r="E13" s="9">
        <v>1</v>
      </c>
      <c r="F13" s="9">
        <v>1</v>
      </c>
      <c r="G13" s="9" t="s">
        <v>2</v>
      </c>
      <c r="H13" s="14"/>
      <c r="I13" s="9"/>
      <c r="J13" s="14" t="str">
        <f t="shared" si="0"/>
        <v>* header.documentData.created 1..1 dateTime ##34#A.1.4.1 Date created##34# ##334#A.1.4.1 Date created - Date on which PS was generated##334#</v>
      </c>
      <c r="L13" s="14" t="str">
        <f t="shared" si="1"/>
        <v/>
      </c>
    </row>
    <row r="14" spans="1:12" ht="44.25" x14ac:dyDescent="0.75">
      <c r="A14" s="9">
        <v>6</v>
      </c>
      <c r="B14" s="9" t="s">
        <v>564</v>
      </c>
      <c r="C14" s="14" t="s">
        <v>545</v>
      </c>
      <c r="D14" s="14" t="s">
        <v>558</v>
      </c>
      <c r="E14" s="9">
        <v>0</v>
      </c>
      <c r="F14" s="9">
        <v>1</v>
      </c>
      <c r="G14" s="9" t="s">
        <v>2</v>
      </c>
      <c r="H14" s="14"/>
      <c r="I14" s="9"/>
      <c r="J14" s="14" t="str">
        <f t="shared" si="0"/>
        <v>* header.documentData.lastUpdate 0..1 dateTime ##34#A.1.4.2 Date of last update##34# ##334#A.1.4.2 Date of last update - Date on which PS was updated (date of most recent version)
Preferred system: ISO 8601##334#</v>
      </c>
      <c r="L14" s="14" t="str">
        <f t="shared" si="1"/>
        <v/>
      </c>
    </row>
    <row r="15" spans="1:12" ht="59" x14ac:dyDescent="0.75">
      <c r="A15" s="9">
        <v>7</v>
      </c>
      <c r="B15" s="9" t="s">
        <v>565</v>
      </c>
      <c r="C15" s="14" t="s">
        <v>546</v>
      </c>
      <c r="D15" s="14" t="s">
        <v>552</v>
      </c>
      <c r="E15" s="9">
        <v>1</v>
      </c>
      <c r="F15" s="9">
        <v>1</v>
      </c>
      <c r="G15" s="9" t="s">
        <v>4</v>
      </c>
      <c r="H15" s="14"/>
      <c r="I15" s="46"/>
      <c r="J15"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5" s="14" t="str">
        <f t="shared" si="1"/>
        <v/>
      </c>
    </row>
    <row r="16" spans="1:12" ht="44.25" x14ac:dyDescent="0.75">
      <c r="A16" s="9">
        <v>8</v>
      </c>
      <c r="B16" s="9" t="s">
        <v>566</v>
      </c>
      <c r="C16" s="14" t="s">
        <v>542</v>
      </c>
      <c r="D16" s="9" t="s">
        <v>542</v>
      </c>
      <c r="E16" s="9">
        <v>1</v>
      </c>
      <c r="F16" s="9" t="s">
        <v>11</v>
      </c>
      <c r="G16" s="9" t="s">
        <v>4</v>
      </c>
      <c r="H16" s="14"/>
      <c r="I16" s="42"/>
      <c r="J16" s="14" t="str">
        <f t="shared" si="0"/>
        <v>* header.participant 1..* BackboneElement ##34#A.1.5 Author and Organisation##34# ##334#A.1.5 Author and Organisation##334#</v>
      </c>
      <c r="L16" s="14" t="str">
        <f t="shared" si="1"/>
        <v/>
      </c>
    </row>
    <row r="17" spans="1:13" ht="44.25" x14ac:dyDescent="0.75">
      <c r="A17" s="9">
        <v>9</v>
      </c>
      <c r="B17" s="9" t="s">
        <v>567</v>
      </c>
      <c r="C17" s="14" t="s">
        <v>547</v>
      </c>
      <c r="D17" s="9" t="s">
        <v>553</v>
      </c>
      <c r="E17" s="9">
        <v>1</v>
      </c>
      <c r="F17" s="9" t="s">
        <v>11</v>
      </c>
      <c r="G17" s="9" t="s">
        <v>0</v>
      </c>
      <c r="H17" s="14"/>
      <c r="I17" s="42"/>
      <c r="J17"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7" s="14" t="str">
        <f t="shared" si="1"/>
        <v/>
      </c>
    </row>
    <row r="18" spans="1:13" ht="44.25" x14ac:dyDescent="0.75">
      <c r="A18" s="9">
        <v>10</v>
      </c>
      <c r="B18" s="9" t="s">
        <v>568</v>
      </c>
      <c r="C18" s="14" t="s">
        <v>548</v>
      </c>
      <c r="D18" s="14" t="s">
        <v>554</v>
      </c>
      <c r="E18" s="9">
        <v>0</v>
      </c>
      <c r="F18" s="9" t="s">
        <v>11</v>
      </c>
      <c r="G18" s="9" t="s">
        <v>1</v>
      </c>
      <c r="H18" s="14"/>
      <c r="I18" s="42"/>
      <c r="J18" s="14" t="str">
        <f t="shared" si="0"/>
        <v>* header.participant.legalAuth 0..* CodeableConcept ##34#A.1.5.2 Legal authenticator##34# ##334#A.1.5.2 Legal authenticator - Legal entity (Health Professional or Health Care Provider) who authenticated the Patient Summary##334#</v>
      </c>
      <c r="L18" s="14" t="str">
        <f t="shared" si="1"/>
        <v/>
      </c>
    </row>
    <row r="19" spans="1:13" ht="44.25" x14ac:dyDescent="0.75">
      <c r="A19" s="9">
        <v>11</v>
      </c>
      <c r="B19" s="9" t="s">
        <v>823</v>
      </c>
      <c r="C19" s="14" t="s">
        <v>543</v>
      </c>
      <c r="D19" s="14" t="s">
        <v>555</v>
      </c>
      <c r="E19" s="9">
        <v>0</v>
      </c>
      <c r="F19" s="9" t="s">
        <v>11</v>
      </c>
      <c r="G19" s="9" t="s">
        <v>4</v>
      </c>
      <c r="H19" s="14"/>
      <c r="I19" s="42"/>
      <c r="J19" s="14" t="str">
        <f t="shared" si="0"/>
        <v>* header.additionalInfo 0..* BackboneElement ##34#A.1.6 Additional information / Knowledge resources##34# ##334#A.1.6 Additional information / Knowledge resources - ##334#</v>
      </c>
      <c r="K19" s="15"/>
      <c r="L19" s="14" t="str">
        <f t="shared" si="1"/>
        <v/>
      </c>
      <c r="M19" s="9"/>
    </row>
    <row r="20" spans="1:13" ht="59" x14ac:dyDescent="0.75">
      <c r="A20" s="9">
        <v>12</v>
      </c>
      <c r="B20" s="9" t="s">
        <v>824</v>
      </c>
      <c r="C20" s="14" t="s">
        <v>549</v>
      </c>
      <c r="D20" s="14" t="s">
        <v>556</v>
      </c>
      <c r="E20" s="9">
        <v>0</v>
      </c>
      <c r="F20" s="9" t="s">
        <v>11</v>
      </c>
      <c r="G20" s="9" t="s">
        <v>478</v>
      </c>
      <c r="H20" s="14"/>
      <c r="J20"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20" s="14" t="str">
        <f t="shared" si="1"/>
        <v/>
      </c>
    </row>
    <row r="21" spans="1:13" ht="59" x14ac:dyDescent="0.75">
      <c r="A21" s="9">
        <v>13</v>
      </c>
      <c r="B21" s="9" t="s">
        <v>825</v>
      </c>
      <c r="C21" s="14" t="s">
        <v>550</v>
      </c>
      <c r="D21" s="14" t="s">
        <v>557</v>
      </c>
      <c r="E21" s="9">
        <v>0</v>
      </c>
      <c r="F21" s="9" t="s">
        <v>11</v>
      </c>
      <c r="G21" s="9" t="s">
        <v>478</v>
      </c>
      <c r="H21" s="14"/>
      <c r="J21"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1" s="14" t="str">
        <f t="shared" si="1"/>
        <v/>
      </c>
    </row>
    <row r="22" spans="1:13" ht="44.25" x14ac:dyDescent="0.75">
      <c r="A22" s="9">
        <v>14</v>
      </c>
      <c r="B22" s="9" t="s">
        <v>826</v>
      </c>
      <c r="C22" s="14" t="s">
        <v>942</v>
      </c>
      <c r="D22" s="14" t="s">
        <v>827</v>
      </c>
      <c r="E22" s="9">
        <v>1</v>
      </c>
      <c r="F22" s="9">
        <v>1</v>
      </c>
      <c r="G22" s="9" t="s">
        <v>4</v>
      </c>
      <c r="H22" s="14"/>
      <c r="J22" s="14" t="str">
        <f t="shared" si="0"/>
        <v>* body 1..1 BackboneElement ##34#A.2 Patient summary body data elements##34# ##334#A.2 - Patient summary body data elements##334#</v>
      </c>
      <c r="L22" s="14" t="str">
        <f t="shared" si="1"/>
        <v/>
      </c>
    </row>
    <row r="23" spans="1:13" ht="44.25" x14ac:dyDescent="0.75">
      <c r="A23" s="9">
        <v>15</v>
      </c>
      <c r="B23" s="9" t="s">
        <v>868</v>
      </c>
      <c r="C23" s="14" t="s">
        <v>943</v>
      </c>
      <c r="D23" s="9" t="s">
        <v>828</v>
      </c>
      <c r="E23" s="9">
        <v>1</v>
      </c>
      <c r="F23" s="9">
        <v>1</v>
      </c>
      <c r="G23" s="9" t="s">
        <v>4</v>
      </c>
      <c r="H23" s="14"/>
      <c r="J23" s="14" t="str">
        <f t="shared" si="0"/>
        <v>* body.alerts 1..1 BackboneElement ##34#A.2.1 Alerts##34# ##334#A.2.1 - Alerts##334#</v>
      </c>
      <c r="L23" s="14" t="str">
        <f t="shared" si="1"/>
        <v/>
      </c>
    </row>
    <row r="24" spans="1:13" ht="29.5" customHeight="1" x14ac:dyDescent="0.75">
      <c r="A24" s="9">
        <v>16</v>
      </c>
      <c r="B24" s="46" t="s">
        <v>875</v>
      </c>
      <c r="C24" s="14" t="s">
        <v>944</v>
      </c>
      <c r="D24" s="9" t="s">
        <v>829</v>
      </c>
      <c r="E24" s="9">
        <v>0</v>
      </c>
      <c r="F24" s="46" t="s">
        <v>11</v>
      </c>
      <c r="G24" s="9" t="str">
        <f>$B$2&amp;"/StructureDefinition/"&amp;I24</f>
        <v>http://hl7.eu/fhir/ig/xpandh/ps/StructureDefinition/Allergy</v>
      </c>
      <c r="H24" s="14"/>
      <c r="I24" t="s">
        <v>572</v>
      </c>
      <c r="J24" s="14" t="str">
        <f t="shared" si="0"/>
        <v>* body.alerts.allergy 0..* http://hl7.eu/fhir/ig/xpandh/ps/StructureDefinition/Allergy ##34#A.2.1.1 Allergy##34# ##334#A.2.1.1 - Allergy##334#</v>
      </c>
      <c r="L24" s="14" t="str">
        <f t="shared" si="1"/>
        <v/>
      </c>
    </row>
    <row r="25" spans="1:13" ht="44.25" x14ac:dyDescent="0.75">
      <c r="A25" s="9">
        <v>17</v>
      </c>
      <c r="B25" s="9" t="s">
        <v>876</v>
      </c>
      <c r="C25" s="14" t="s">
        <v>945</v>
      </c>
      <c r="D25" s="9" t="s">
        <v>830</v>
      </c>
      <c r="E25" s="9">
        <v>0</v>
      </c>
      <c r="F25" s="9" t="s">
        <v>11</v>
      </c>
      <c r="G25" s="9" t="s">
        <v>4</v>
      </c>
      <c r="H25" s="14"/>
      <c r="J25" s="14" t="str">
        <f t="shared" si="0"/>
        <v>* body.alerts.alert 0..* BackboneElement ##34#A.2.1.2 Medical alert information (other alerts not included in allergies)##34# ##334#A.2.1.2 - Medical alert information (other alerts not included in allergies)##334#</v>
      </c>
      <c r="L25" s="14" t="str">
        <f t="shared" si="1"/>
        <v/>
      </c>
    </row>
    <row r="26" spans="1:13" ht="221.25" x14ac:dyDescent="0.75">
      <c r="A26" s="9"/>
      <c r="B26" s="9" t="s">
        <v>959</v>
      </c>
      <c r="C26" s="1" t="s">
        <v>940</v>
      </c>
      <c r="D26" s="1" t="s">
        <v>1001</v>
      </c>
      <c r="E26" s="9">
        <v>0</v>
      </c>
      <c r="F26" s="9" t="s">
        <v>11</v>
      </c>
      <c r="G26" s="9" t="s">
        <v>3</v>
      </c>
      <c r="H26" s="14"/>
      <c r="J26"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6" s="14" t="str">
        <f t="shared" si="1"/>
        <v/>
      </c>
    </row>
    <row r="27" spans="1:13" ht="44.25" x14ac:dyDescent="0.75">
      <c r="A27" s="9">
        <v>18</v>
      </c>
      <c r="B27" s="9" t="s">
        <v>869</v>
      </c>
      <c r="C27" s="14" t="s">
        <v>705</v>
      </c>
      <c r="D27" s="9" t="s">
        <v>833</v>
      </c>
      <c r="E27" s="9">
        <v>1</v>
      </c>
      <c r="F27" s="9">
        <v>1</v>
      </c>
      <c r="G27" s="9" t="s">
        <v>4</v>
      </c>
      <c r="H27" s="14"/>
      <c r="J27" s="14" t="str">
        <f t="shared" si="0"/>
        <v>* body.medicalHistory 1..1 BackboneElement ##34#A.2.2 Medical history##34# ##334#A.2.2 - Medical history##334#</v>
      </c>
      <c r="L27" s="14" t="str">
        <f t="shared" si="1"/>
        <v/>
      </c>
    </row>
    <row r="28" spans="1:13" ht="44.25" x14ac:dyDescent="0.75">
      <c r="A28" s="9">
        <v>19</v>
      </c>
      <c r="B28" s="9" t="s">
        <v>877</v>
      </c>
      <c r="C28" s="14" t="s">
        <v>946</v>
      </c>
      <c r="D28" s="9" t="s">
        <v>834</v>
      </c>
      <c r="E28" s="9">
        <v>0</v>
      </c>
      <c r="F28" s="9" t="s">
        <v>11</v>
      </c>
      <c r="G28" s="9" t="str">
        <f>$B$2&amp;"/StructureDefinition/"&amp;I28</f>
        <v>http://hl7.eu/fhir/ig/xpandh/ps/StructureDefinition/Vaccination</v>
      </c>
      <c r="H28" s="14"/>
      <c r="I28" t="s">
        <v>964</v>
      </c>
      <c r="J28" s="14" t="str">
        <f t="shared" si="0"/>
        <v>* body.medicalHistory.vaccination 0..* http://hl7.eu/fhir/ig/xpandh/ps/StructureDefinition/Vaccination ##34#A.2.2.1 Vaccination/ prophylaxis information##34# ##334#A.2.2.1 - Vaccination/ prophylaxis information##334#</v>
      </c>
      <c r="L28" s="14" t="str">
        <f t="shared" si="1"/>
        <v/>
      </c>
    </row>
    <row r="29" spans="1:13" ht="44.25" x14ac:dyDescent="0.75">
      <c r="A29" s="9">
        <v>20</v>
      </c>
      <c r="B29" s="9" t="s">
        <v>878</v>
      </c>
      <c r="C29" s="14" t="s">
        <v>947</v>
      </c>
      <c r="D29" s="9" t="s">
        <v>835</v>
      </c>
      <c r="E29" s="9">
        <v>0</v>
      </c>
      <c r="F29" s="9" t="s">
        <v>11</v>
      </c>
      <c r="G29" s="9" t="str">
        <f>$B$2&amp;"/StructureDefinition/"&amp;I29</f>
        <v>http://hl7.eu/fhir/ig/xpandh/ps/StructureDefinition/ClosedProblem</v>
      </c>
      <c r="H29" s="14"/>
      <c r="I29" s="33" t="s">
        <v>1134</v>
      </c>
      <c r="J29" s="14" t="str">
        <f t="shared" si="0"/>
        <v>* body.medicalHistory.inactiveProblem 0..* http://hl7.eu/fhir/ig/xpandh/ps/StructureDefinition/ClosedProblem ##34#A.2.2.2 Resolved, closed or inactive problems##34# ##334#A.2.2.2 - Resolved, closed or inactive problems##334#</v>
      </c>
      <c r="L29" s="14" t="str">
        <f t="shared" si="1"/>
        <v/>
      </c>
    </row>
    <row r="30" spans="1:13" ht="44.25" x14ac:dyDescent="0.75">
      <c r="A30" s="9">
        <v>21</v>
      </c>
      <c r="B30" s="9" t="s">
        <v>879</v>
      </c>
      <c r="C30" s="14" t="s">
        <v>948</v>
      </c>
      <c r="D30" s="9" t="s">
        <v>836</v>
      </c>
      <c r="E30" s="9">
        <v>0</v>
      </c>
      <c r="F30" s="9">
        <v>1</v>
      </c>
      <c r="G30" s="9" t="s">
        <v>4</v>
      </c>
      <c r="H30" s="14"/>
      <c r="J30" s="14" t="str">
        <f t="shared" si="0"/>
        <v>* body.medicalHistory.anamnesis 0..1 BackboneElement ##34#A.2.2.3 Medical history##34# ##334#A.2.2.3 - Medical history##334#</v>
      </c>
      <c r="L30" s="14" t="str">
        <f t="shared" si="1"/>
        <v/>
      </c>
    </row>
    <row r="31" spans="1:13" ht="59.75" thickBot="1" x14ac:dyDescent="0.9">
      <c r="A31" s="9"/>
      <c r="B31" s="9" t="s">
        <v>1160</v>
      </c>
      <c r="C31" s="1" t="s">
        <v>1159</v>
      </c>
      <c r="D31" s="94" t="s">
        <v>645</v>
      </c>
      <c r="E31" s="9">
        <v>0</v>
      </c>
      <c r="F31" s="9">
        <v>1</v>
      </c>
      <c r="G31" s="9" t="s">
        <v>160</v>
      </c>
      <c r="J31" s="14" t="str">
        <f t="shared" si="0"/>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c r="L31" s="14"/>
    </row>
    <row r="32" spans="1:13" ht="44.25" x14ac:dyDescent="0.75">
      <c r="A32" s="9">
        <v>22</v>
      </c>
      <c r="B32" s="9" t="s">
        <v>1147</v>
      </c>
      <c r="C32" s="1" t="s">
        <v>1146</v>
      </c>
      <c r="D32" s="1" t="s">
        <v>1146</v>
      </c>
      <c r="E32" s="9">
        <v>0</v>
      </c>
      <c r="F32" s="9">
        <v>1</v>
      </c>
      <c r="G32" s="9" t="s">
        <v>4</v>
      </c>
      <c r="J32" s="14" t="str">
        <f t="shared" si="0"/>
        <v>* body.medicalProblems 0..1 BackboneElement ##34#A.2.3 Medical problems##34# ##334#A.2.3 Medical problems##334#</v>
      </c>
      <c r="L32" s="14"/>
    </row>
    <row r="33" spans="1:14" ht="44.25" x14ac:dyDescent="0.75">
      <c r="A33" s="9">
        <v>23</v>
      </c>
      <c r="B33" s="9" t="s">
        <v>1151</v>
      </c>
      <c r="C33" s="1" t="s">
        <v>1135</v>
      </c>
      <c r="D33" s="1" t="s">
        <v>1135</v>
      </c>
      <c r="E33" s="9">
        <v>0</v>
      </c>
      <c r="F33" s="9">
        <v>1</v>
      </c>
      <c r="G33" s="9" t="str">
        <f>$B$2&amp;"/StructureDefinition/"&amp;I33</f>
        <v>http://hl7.eu/fhir/ig/xpandh/ps/StructureDefinition/Problem</v>
      </c>
      <c r="I33" t="s">
        <v>1143</v>
      </c>
      <c r="J33" s="14" t="str">
        <f t="shared" si="0"/>
        <v>* body.medicalProblems.problems 0..1 http://hl7.eu/fhir/ig/xpandh/ps/StructureDefinition/Problem ##34#A.2.3.1 Current problems##34# ##334#A.2.3.1 Current problems##334#</v>
      </c>
      <c r="L33" s="14"/>
    </row>
    <row r="34" spans="1:14" ht="44.25" x14ac:dyDescent="0.75">
      <c r="A34" s="9">
        <v>22</v>
      </c>
      <c r="B34" s="100" t="s">
        <v>1148</v>
      </c>
      <c r="C34" s="1" t="s">
        <v>949</v>
      </c>
      <c r="D34" s="14" t="s">
        <v>838</v>
      </c>
      <c r="E34" s="9">
        <v>1</v>
      </c>
      <c r="F34" s="9">
        <v>1</v>
      </c>
      <c r="G34" s="9" t="s">
        <v>4</v>
      </c>
      <c r="J34" s="14" t="str">
        <f t="shared" si="0"/>
        <v>* body.medicalProblems.medicalDevices 1..1 BackboneElement ##34#A.2.3.2 Medical devices and implants##34# ##334#A.2.3.2 - Medical devices and implants##334#</v>
      </c>
      <c r="L34" s="14" t="str">
        <f>IF(H34="",IF(J34="*  ..  ##34###34# ##334###334#",J34,""),IF(J34="*  ..  ##34###34# ##334###334#",J34,CONCATENATE("* ",B34," ^comment = ##334#",H34,"##334#")))</f>
        <v/>
      </c>
    </row>
    <row r="35" spans="1:14" ht="44.25" x14ac:dyDescent="0.75">
      <c r="A35" s="9">
        <v>23</v>
      </c>
      <c r="B35" s="100" t="s">
        <v>1149</v>
      </c>
      <c r="C35" s="1" t="s">
        <v>950</v>
      </c>
      <c r="D35" s="14" t="s">
        <v>839</v>
      </c>
      <c r="E35" s="9">
        <v>1</v>
      </c>
      <c r="F35" s="9">
        <v>1</v>
      </c>
      <c r="G35" s="9" t="s">
        <v>4</v>
      </c>
      <c r="J35" s="14" t="str">
        <f t="shared" si="0"/>
        <v>* body.medicalProblems.procedures 1..1 BackboneElement ##34#A.2.3.3 Procedures##34# ##334#A.2.3.3 - Procedures##334#</v>
      </c>
      <c r="L35" s="14" t="str">
        <f t="shared" si="1"/>
        <v/>
      </c>
    </row>
    <row r="36" spans="1:14" ht="44.25" x14ac:dyDescent="0.75">
      <c r="A36" s="9">
        <v>24</v>
      </c>
      <c r="B36" s="100" t="s">
        <v>1150</v>
      </c>
      <c r="C36" s="1" t="s">
        <v>951</v>
      </c>
      <c r="D36" s="14" t="s">
        <v>840</v>
      </c>
      <c r="E36" s="9">
        <v>0</v>
      </c>
      <c r="F36" s="9">
        <v>1</v>
      </c>
      <c r="G36" s="9" t="s">
        <v>4</v>
      </c>
      <c r="J36" s="14" t="str">
        <f t="shared" si="0"/>
        <v>* body.medicalProblems.functionalStatus 0..1 BackboneElement ##34#A.2.3.4 Functional status##34# ##334#A.2.3.4 - Functional status##334#</v>
      </c>
      <c r="L36" s="14" t="str">
        <f t="shared" si="1"/>
        <v/>
      </c>
    </row>
    <row r="37" spans="1:14" ht="44.25" x14ac:dyDescent="0.75">
      <c r="A37" s="9">
        <v>25</v>
      </c>
      <c r="B37" s="9" t="s">
        <v>870</v>
      </c>
      <c r="C37" s="1" t="s">
        <v>952</v>
      </c>
      <c r="D37" s="9" t="s">
        <v>842</v>
      </c>
      <c r="E37" s="9">
        <v>1</v>
      </c>
      <c r="F37" s="9">
        <v>1</v>
      </c>
      <c r="G37" s="9" t="s">
        <v>4</v>
      </c>
      <c r="H37" s="14"/>
      <c r="J37" s="14" t="str">
        <f t="shared" si="0"/>
        <v>* body.medicationSummary 1..1 BackboneElement ##34#A.2.4 Medication summary##34# ##334#A.2.4 - Medication summary##334#</v>
      </c>
      <c r="L37" s="14" t="str">
        <f t="shared" si="1"/>
        <v/>
      </c>
    </row>
    <row r="38" spans="1:14" ht="44.25" x14ac:dyDescent="0.75">
      <c r="A38" s="9">
        <v>26</v>
      </c>
      <c r="B38" s="9" t="s">
        <v>1057</v>
      </c>
      <c r="C38" s="14" t="s">
        <v>1025</v>
      </c>
      <c r="D38" s="104" t="s">
        <v>1050</v>
      </c>
      <c r="E38" s="9">
        <v>1</v>
      </c>
      <c r="F38" s="9" t="s">
        <v>11</v>
      </c>
      <c r="G38" s="9" t="str">
        <f>$B$2&amp;"/StructureDefinition/"&amp;I38</f>
        <v>http://hl7.eu/fhir/ig/xpandh/ps/StructureDefinition/Medicine</v>
      </c>
      <c r="H38" s="14"/>
      <c r="I38" t="s">
        <v>1052</v>
      </c>
      <c r="J38"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8" s="14"/>
    </row>
    <row r="39" spans="1:14" ht="44.25" x14ac:dyDescent="0.75">
      <c r="A39" s="9">
        <v>27</v>
      </c>
      <c r="B39" s="9" t="s">
        <v>871</v>
      </c>
      <c r="C39" s="122" t="s">
        <v>953</v>
      </c>
      <c r="D39" s="9" t="s">
        <v>841</v>
      </c>
      <c r="E39" s="9">
        <v>0</v>
      </c>
      <c r="F39" s="9">
        <v>1</v>
      </c>
      <c r="G39" s="9" t="s">
        <v>4</v>
      </c>
      <c r="H39" s="14"/>
      <c r="J39" s="14" t="str">
        <f t="shared" si="0"/>
        <v>* body.socialHistory 0..1 BackboneElement ##34#A.2.5 Social history##34# ##334#A.2.5 - Social history##334#</v>
      </c>
      <c r="L39" s="14" t="str">
        <f t="shared" si="1"/>
        <v/>
      </c>
    </row>
    <row r="40" spans="1:14" ht="45" thickBot="1" x14ac:dyDescent="0.9">
      <c r="A40" s="9" t="str">
        <f>$B$39&amp;"."&amp;B40</f>
        <v>body.socialHistory.body.socialHistory.observation</v>
      </c>
      <c r="B40" s="9" t="s">
        <v>1240</v>
      </c>
      <c r="C40" s="122" t="s">
        <v>1236</v>
      </c>
      <c r="D40" s="94" t="s">
        <v>1238</v>
      </c>
      <c r="E40" s="9">
        <v>0</v>
      </c>
      <c r="F40" s="9" t="s">
        <v>11</v>
      </c>
      <c r="G40" s="9" t="s">
        <v>4</v>
      </c>
      <c r="H40" s="14"/>
      <c r="J40" s="14" t="str">
        <f t="shared" si="0"/>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c r="L40" s="14"/>
    </row>
    <row r="41" spans="1:14" ht="45" thickBot="1" x14ac:dyDescent="0.9">
      <c r="A41" s="9" t="str">
        <f>$B$39&amp;"."&amp;B41</f>
        <v>body.socialHistory.body.socialHistory.referenceRange</v>
      </c>
      <c r="B41" s="9" t="s">
        <v>1241</v>
      </c>
      <c r="C41" s="122" t="s">
        <v>1237</v>
      </c>
      <c r="D41" s="94" t="s">
        <v>704</v>
      </c>
      <c r="E41" s="9">
        <v>0</v>
      </c>
      <c r="F41" s="9" t="s">
        <v>11</v>
      </c>
      <c r="G41" s="9" t="s">
        <v>1239</v>
      </c>
      <c r="H41" s="14"/>
      <c r="J41" s="14" t="str">
        <f t="shared" si="0"/>
        <v>* body.socialHistory.referenceRange 0..* Range ##34#A.2.5.2 Reference date range##34# ##334#Example: from 1974 to 2004##334#</v>
      </c>
      <c r="L41" s="14"/>
    </row>
    <row r="42" spans="1:14" ht="44.25" x14ac:dyDescent="0.75">
      <c r="A42" s="9">
        <v>28</v>
      </c>
      <c r="B42" s="9" t="s">
        <v>872</v>
      </c>
      <c r="C42" s="122" t="s">
        <v>755</v>
      </c>
      <c r="D42" s="9" t="s">
        <v>755</v>
      </c>
      <c r="E42" s="9">
        <v>0</v>
      </c>
      <c r="F42" s="9">
        <v>1</v>
      </c>
      <c r="G42" s="9" t="s">
        <v>4</v>
      </c>
      <c r="H42" s="14"/>
      <c r="J42" s="14" t="str">
        <f t="shared" si="0"/>
        <v>* body.pregnancyHistory 0..1 BackboneElement ##34#A.2.6 Pregnancy history##34# ##334#A.2.6 Pregnancy history##334#</v>
      </c>
      <c r="L42" s="14" t="str">
        <f t="shared" si="1"/>
        <v/>
      </c>
    </row>
    <row r="43" spans="1:14" ht="44.25" x14ac:dyDescent="0.75">
      <c r="A43" s="9">
        <v>29</v>
      </c>
      <c r="B43" s="9" t="s">
        <v>880</v>
      </c>
      <c r="C43" s="122" t="s">
        <v>954</v>
      </c>
      <c r="D43" s="22" t="s">
        <v>865</v>
      </c>
      <c r="E43" s="9">
        <v>0</v>
      </c>
      <c r="F43" s="9">
        <v>1</v>
      </c>
      <c r="G43" s="9" t="s">
        <v>4</v>
      </c>
      <c r="H43" s="14"/>
      <c r="J43" s="14" t="str">
        <f t="shared" si="0"/>
        <v>* body.patientData 0..1 BackboneElement ##34#A.2.7 Patient provided data##34# ##334#A.2.7 - Patient provided data##334#</v>
      </c>
      <c r="L43" s="14"/>
    </row>
    <row r="44" spans="1:14" ht="44.25" x14ac:dyDescent="0.75">
      <c r="A44" s="9">
        <v>30</v>
      </c>
      <c r="B44" s="9" t="s">
        <v>881</v>
      </c>
      <c r="C44" s="122" t="s">
        <v>955</v>
      </c>
      <c r="D44" s="22" t="s">
        <v>866</v>
      </c>
      <c r="E44" s="9">
        <v>0</v>
      </c>
      <c r="F44" s="9">
        <v>1</v>
      </c>
      <c r="G44" s="9" t="s">
        <v>4</v>
      </c>
      <c r="H44" s="14"/>
      <c r="J44" s="14" t="str">
        <f t="shared" si="0"/>
        <v>* body.patientData.travelHistory 0..1 BackboneElement ##34#A.2.7.1 Travel history##34# ##334#A.2.7.1 - Travel history##334#</v>
      </c>
      <c r="L44" s="14"/>
    </row>
    <row r="45" spans="1:14" ht="44.25" x14ac:dyDescent="0.75">
      <c r="A45" s="9" t="str">
        <f>$B$44&amp;"."&amp;B45</f>
        <v>body.patientData.travelHistory.body.patientData.travelHistory.country</v>
      </c>
      <c r="B45" s="100" t="s">
        <v>1292</v>
      </c>
      <c r="C45" s="1" t="s">
        <v>1288</v>
      </c>
      <c r="D45" t="s">
        <v>1290</v>
      </c>
      <c r="E45" s="9">
        <v>0</v>
      </c>
      <c r="F45" s="9" t="s">
        <v>11</v>
      </c>
      <c r="G45" s="9" t="s">
        <v>1</v>
      </c>
      <c r="J45" s="14" t="str">
        <f t="shared" si="0"/>
        <v>* body.patientData.travelHistory.country 0..* CodeableConcept ##34#A.2.7.1.1 Country##34# ##334#A.1.4.1 Country(s) visited - Preferred System: ISO 3166##334#</v>
      </c>
      <c r="L45" s="1"/>
    </row>
    <row r="46" spans="1:14" ht="44.25" x14ac:dyDescent="0.75">
      <c r="A46" s="9" t="str">
        <f>$B$44&amp;"."&amp;B46</f>
        <v>body.patientData.travelHistory.body.patientData.travelHistory.period</v>
      </c>
      <c r="B46" s="100" t="s">
        <v>1293</v>
      </c>
      <c r="C46" s="1" t="s">
        <v>1289</v>
      </c>
      <c r="D46" t="s">
        <v>1291</v>
      </c>
      <c r="E46" s="9">
        <v>0</v>
      </c>
      <c r="F46" s="9" t="s">
        <v>11</v>
      </c>
      <c r="G46" s="9" t="s">
        <v>2</v>
      </c>
      <c r="J46" s="14" t="str">
        <f t="shared" si="0"/>
        <v>* body.patientData.travelHistory.period 0..* dateTime ##34#A.2.7.1.2 Period##34# ##334#A.1.4.2 Date of entry and departure - Preferred System: ISO 8601##334#</v>
      </c>
      <c r="L46" s="1"/>
    </row>
    <row r="47" spans="1:14" ht="29.5" x14ac:dyDescent="0.75">
      <c r="A47" s="9">
        <v>31</v>
      </c>
      <c r="B47" s="100" t="s">
        <v>882</v>
      </c>
      <c r="C47" s="1" t="s">
        <v>956</v>
      </c>
      <c r="D47" t="s">
        <v>867</v>
      </c>
      <c r="E47" s="9">
        <v>0</v>
      </c>
      <c r="F47" s="9">
        <v>1</v>
      </c>
      <c r="G47" s="9" t="s">
        <v>4</v>
      </c>
      <c r="H47"/>
      <c r="J47" s="14" t="str">
        <f t="shared" si="0"/>
        <v>* body.patientData.advanceDirective 0..1 BackboneElement ##34#A.2.7.2 Advance Directive##34# ##334#A.2.7.2 - Advance Directive##334#</v>
      </c>
      <c r="N47"/>
    </row>
    <row r="48" spans="1:14" ht="59.75" thickBot="1" x14ac:dyDescent="0.9">
      <c r="A48" s="9">
        <v>32</v>
      </c>
      <c r="B48" s="100" t="s">
        <v>1111</v>
      </c>
      <c r="C48" s="1" t="s">
        <v>1109</v>
      </c>
      <c r="D48" s="94" t="s">
        <v>1110</v>
      </c>
      <c r="E48" s="94">
        <v>0</v>
      </c>
      <c r="F48" s="9" t="s">
        <v>11</v>
      </c>
      <c r="G48" s="46" t="s">
        <v>4</v>
      </c>
      <c r="H48"/>
      <c r="J48" s="14" t="str">
        <f t="shared" si="0"/>
        <v>* body.patientData.advanceDirective.documentation 0..* BackboneElement ##34#A.2.7.2.1 Documentation##34# ##334#Existence of documentation on living will.
Preferred system: SNOMED CT GPS##334#</v>
      </c>
      <c r="N48"/>
    </row>
    <row r="49" spans="1:12" ht="29.5" x14ac:dyDescent="0.75">
      <c r="A49" s="9">
        <v>33</v>
      </c>
      <c r="B49" s="9" t="s">
        <v>873</v>
      </c>
      <c r="C49" s="122" t="s">
        <v>957</v>
      </c>
      <c r="D49" s="9" t="s">
        <v>843</v>
      </c>
      <c r="E49" s="9">
        <v>0</v>
      </c>
      <c r="F49" s="9">
        <v>1</v>
      </c>
      <c r="G49" s="9" t="str">
        <f>$B$2&amp;"/StructureDefinition/"&amp;I49</f>
        <v>http://hl7.eu/fhir/ig/xpandh/ps/StructureDefinition/Result</v>
      </c>
      <c r="H49" s="14"/>
      <c r="I49" t="s">
        <v>157</v>
      </c>
      <c r="J49" s="14" t="str">
        <f t="shared" si="0"/>
        <v>* body.results 0..1 http://hl7.eu/fhir/ig/xpandh/ps/StructureDefinition/Result ##34#A.2.8 Results##34# ##334#A.2.8 - Results##334#</v>
      </c>
      <c r="L49" s="14" t="str">
        <f t="shared" si="1"/>
        <v/>
      </c>
    </row>
    <row r="50" spans="1:12" ht="45" thickBot="1" x14ac:dyDescent="0.9">
      <c r="A50" s="9">
        <v>34</v>
      </c>
      <c r="B50" s="9" t="s">
        <v>874</v>
      </c>
      <c r="C50" s="122" t="s">
        <v>958</v>
      </c>
      <c r="D50" s="94" t="s">
        <v>792</v>
      </c>
      <c r="E50" s="9">
        <v>0</v>
      </c>
      <c r="F50" s="9">
        <v>1</v>
      </c>
      <c r="G50" s="9" t="s">
        <v>4</v>
      </c>
      <c r="H50" s="14"/>
      <c r="J50" s="14" t="str">
        <f t="shared" si="0"/>
        <v>* body.planOfCare 0..1 BackboneElement ##34#A.2.9 Plan of Care##34# ##334#(Therapeutic recommendations that do not include pharmacologic treatments, such as diet, physical exercise, planned surgeries)##334#</v>
      </c>
      <c r="L50" s="14" t="str">
        <f t="shared" si="1"/>
        <v/>
      </c>
    </row>
    <row r="51" spans="1:12" ht="74.5" thickBot="1" x14ac:dyDescent="0.9">
      <c r="A51" s="9">
        <v>35</v>
      </c>
      <c r="B51" s="9" t="s">
        <v>1079</v>
      </c>
      <c r="C51" s="14" t="s">
        <v>1078</v>
      </c>
      <c r="D51" s="94" t="s">
        <v>1002</v>
      </c>
      <c r="E51" s="9">
        <v>0</v>
      </c>
      <c r="F51" s="9" t="s">
        <v>11</v>
      </c>
      <c r="G51" s="9" t="s">
        <v>3</v>
      </c>
      <c r="H51" s="14"/>
      <c r="J51" s="14" t="str">
        <f t="shared" si="0"/>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c r="L51" s="14"/>
    </row>
    <row r="52" spans="1:12" x14ac:dyDescent="0.75">
      <c r="A52" s="9"/>
      <c r="B52" s="9"/>
      <c r="C52" s="14"/>
      <c r="D52" s="14"/>
      <c r="E52" s="9"/>
      <c r="F52" s="9"/>
      <c r="G52" s="9"/>
      <c r="H52" s="14"/>
      <c r="J52" s="14" t="str">
        <f t="shared" si="0"/>
        <v>*  ..  ##34###34# ##334###334#</v>
      </c>
      <c r="L52" s="14"/>
    </row>
    <row r="53" spans="1:12" x14ac:dyDescent="0.75">
      <c r="A53" s="9"/>
      <c r="B53" s="9"/>
      <c r="C53" s="14"/>
      <c r="D53" s="14"/>
      <c r="E53" s="9"/>
      <c r="F53" s="9"/>
      <c r="G53" s="9"/>
      <c r="H53" s="14"/>
      <c r="J53" s="14" t="str">
        <f t="shared" si="0"/>
        <v>*  ..  ##34###34# ##334###334#</v>
      </c>
      <c r="L53" s="14"/>
    </row>
    <row r="54" spans="1:12" x14ac:dyDescent="0.75">
      <c r="A54" s="9"/>
      <c r="B54" s="9"/>
      <c r="C54" s="14"/>
      <c r="D54" s="14"/>
      <c r="E54" s="9"/>
      <c r="F54" s="9"/>
      <c r="G54" s="9"/>
      <c r="H54" s="14"/>
      <c r="J54" s="14" t="str">
        <f t="shared" si="0"/>
        <v>*  ..  ##34###34# ##334###334#</v>
      </c>
      <c r="L54" s="14"/>
    </row>
    <row r="55" spans="1:12" x14ac:dyDescent="0.75">
      <c r="A55" s="9"/>
      <c r="B55" s="9"/>
      <c r="C55" s="14"/>
      <c r="D55" s="14"/>
      <c r="E55" s="9"/>
      <c r="F55" s="9"/>
      <c r="G55" s="9"/>
      <c r="H55" s="14"/>
      <c r="J55" s="14" t="str">
        <f t="shared" si="0"/>
        <v>*  ..  ##34###34# ##334###334#</v>
      </c>
      <c r="L55" s="14"/>
    </row>
    <row r="56" spans="1:12" x14ac:dyDescent="0.75">
      <c r="A56" s="9"/>
      <c r="B56" s="9"/>
      <c r="C56" s="14"/>
      <c r="D56" s="14"/>
      <c r="E56" s="9"/>
      <c r="F56" s="9"/>
      <c r="G56" s="9"/>
      <c r="H56" s="14"/>
      <c r="J56" s="14" t="str">
        <f t="shared" si="0"/>
        <v>*  ..  ##34###34# ##334###334#</v>
      </c>
      <c r="L56" s="14"/>
    </row>
    <row r="57" spans="1:12" x14ac:dyDescent="0.75">
      <c r="A57" s="9"/>
      <c r="B57" s="9"/>
      <c r="C57" s="14"/>
      <c r="D57" s="14"/>
      <c r="E57" s="9"/>
      <c r="F57" s="9"/>
      <c r="G57" s="9"/>
      <c r="H57" s="14"/>
      <c r="J57" s="14" t="str">
        <f t="shared" si="0"/>
        <v>*  ..  ##34###34# ##334###334#</v>
      </c>
      <c r="L57" s="14"/>
    </row>
    <row r="58" spans="1:12" x14ac:dyDescent="0.75">
      <c r="A58" s="9"/>
      <c r="B58" s="9"/>
      <c r="C58" s="14"/>
      <c r="D58" s="14"/>
      <c r="E58" s="9"/>
      <c r="F58" s="9"/>
      <c r="G58" s="9"/>
      <c r="H58" s="14"/>
      <c r="J58" s="14"/>
      <c r="L58" s="14"/>
    </row>
    <row r="59" spans="1:12" x14ac:dyDescent="0.75">
      <c r="A59" s="9"/>
      <c r="B59" s="9"/>
      <c r="C59" s="14"/>
      <c r="D59" s="14"/>
      <c r="E59" s="9"/>
      <c r="F59" s="9"/>
      <c r="G59" s="9"/>
      <c r="H59" s="14"/>
      <c r="J59" s="14"/>
      <c r="L59" s="14"/>
    </row>
    <row r="60" spans="1:12" x14ac:dyDescent="0.75">
      <c r="A60" s="9"/>
      <c r="B60" s="9"/>
      <c r="C60" s="14"/>
      <c r="D60" s="14"/>
      <c r="E60" s="9"/>
      <c r="F60" s="9"/>
      <c r="G60" s="9"/>
      <c r="H60" s="14"/>
      <c r="J60" s="14"/>
      <c r="L60" s="14"/>
    </row>
    <row r="62" spans="1:12" ht="15.5" thickBot="1" x14ac:dyDescent="0.9"/>
    <row r="63" spans="1:12" ht="15.5" thickBot="1" x14ac:dyDescent="0.9">
      <c r="B63" t="str">
        <f>C63&amp;" "&amp;D63</f>
        <v>A.1.4 Document data</v>
      </c>
      <c r="C63" s="95" t="s">
        <v>521</v>
      </c>
      <c r="D63" s="96" t="s">
        <v>522</v>
      </c>
      <c r="E63" s="92"/>
      <c r="F63" s="92"/>
    </row>
    <row r="64" spans="1:12" ht="15.5" thickBot="1" x14ac:dyDescent="0.9">
      <c r="B64" t="str">
        <f t="shared" ref="B64:B72" si="2">C64&amp;" "&amp;D64</f>
        <v>A.1.4.1 Country(s) visited</v>
      </c>
      <c r="C64" s="93" t="s">
        <v>71</v>
      </c>
      <c r="D64" s="94" t="s">
        <v>774</v>
      </c>
      <c r="E64" s="94" t="s">
        <v>279</v>
      </c>
      <c r="F64" s="94" t="s">
        <v>94</v>
      </c>
      <c r="G64" t="str">
        <f>B64&amp;" - Preferred System: "&amp;E64</f>
        <v>A.1.4.1 Country(s) visited - Preferred System: ISO 3166</v>
      </c>
    </row>
    <row r="65" spans="2:7" ht="15.5" thickBot="1" x14ac:dyDescent="0.9">
      <c r="B65" t="str">
        <f t="shared" si="2"/>
        <v>A.1.4.2 Date of entry and departure</v>
      </c>
      <c r="C65" s="93" t="s">
        <v>73</v>
      </c>
      <c r="D65" s="94" t="s">
        <v>776</v>
      </c>
      <c r="E65" s="94" t="s">
        <v>94</v>
      </c>
      <c r="F65" s="94"/>
      <c r="G65" t="str">
        <f>B65&amp;" - Preferred System: "&amp;E65</f>
        <v>A.1.4.2 Date of entry and departure - Preferred System: ISO 8601</v>
      </c>
    </row>
    <row r="66" spans="2:7" ht="354.75" thickBot="1" x14ac:dyDescent="0.9">
      <c r="B66" t="str">
        <f t="shared" si="2"/>
        <v>A.1.4.3 Nature of the PS</v>
      </c>
      <c r="C66" s="93" t="s">
        <v>76</v>
      </c>
      <c r="D66" s="94" t="s">
        <v>527</v>
      </c>
      <c r="E66" s="94" t="s">
        <v>528</v>
      </c>
      <c r="F66" s="94"/>
      <c r="G66" t="str">
        <f t="shared" ref="G66:G72" si="3">B66&amp;" - "&amp;E66</f>
        <v>A.1.4.3 Nature of the PS - Defines the context in which it was generated. Distinguishes between three methodological approaches for generating the PS: direct human intervention by an HP, automatically generated approach and mixed approach</v>
      </c>
    </row>
    <row r="67" spans="2:7" ht="15.5" thickBot="1" x14ac:dyDescent="0.9">
      <c r="B67" t="str">
        <f t="shared" si="2"/>
        <v>A.1.5 Author and Organisation</v>
      </c>
      <c r="C67" s="97" t="s">
        <v>529</v>
      </c>
      <c r="D67" s="98" t="s">
        <v>530</v>
      </c>
      <c r="E67" s="94"/>
      <c r="F67" s="94"/>
      <c r="G67" t="str">
        <f t="shared" si="3"/>
        <v xml:space="preserve">A.1.5 Author and Organisation - </v>
      </c>
    </row>
    <row r="68" spans="2:7" ht="409.6" thickBot="1" x14ac:dyDescent="0.9">
      <c r="B68" t="str">
        <f t="shared" si="2"/>
        <v>A.1.5.1 Author organization</v>
      </c>
      <c r="C68" s="93" t="s">
        <v>79</v>
      </c>
      <c r="D68" s="94" t="s">
        <v>531</v>
      </c>
      <c r="E68" s="94" t="s">
        <v>532</v>
      </c>
      <c r="F68" s="94"/>
      <c r="G68"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9" spans="2:7" ht="192.5" thickBot="1" x14ac:dyDescent="0.9">
      <c r="B69" t="str">
        <f t="shared" si="2"/>
        <v>A.1.5.2 Legal authenticator</v>
      </c>
      <c r="C69" s="93" t="s">
        <v>81</v>
      </c>
      <c r="D69" s="94" t="s">
        <v>533</v>
      </c>
      <c r="E69" s="94" t="s">
        <v>534</v>
      </c>
      <c r="F69" s="94"/>
      <c r="G69" t="str">
        <f t="shared" si="3"/>
        <v>A.1.5.2 Legal authenticator - Legal entity (Health Professional or Health Care Provider) who authenticated the Patient Summary</v>
      </c>
    </row>
    <row r="70" spans="2:7" ht="15.5" thickBot="1" x14ac:dyDescent="0.9">
      <c r="B70" t="str">
        <f t="shared" si="2"/>
        <v>A.1.6 Additional information / Knowledge resources</v>
      </c>
      <c r="C70" s="97" t="s">
        <v>535</v>
      </c>
      <c r="D70" s="98" t="s">
        <v>536</v>
      </c>
      <c r="E70" s="94"/>
      <c r="F70" s="94"/>
      <c r="G70" t="str">
        <f t="shared" si="3"/>
        <v xml:space="preserve">A.1.6 Additional information / Knowledge resources - </v>
      </c>
    </row>
    <row r="71" spans="2:7" ht="409.6" thickBot="1" x14ac:dyDescent="0.9">
      <c r="B71" t="str">
        <f t="shared" si="2"/>
        <v>A.1.6.1 External reference</v>
      </c>
      <c r="C71" s="93" t="s">
        <v>86</v>
      </c>
      <c r="D71" s="94" t="s">
        <v>537</v>
      </c>
      <c r="E71" s="94" t="s">
        <v>538</v>
      </c>
      <c r="F71" s="94"/>
      <c r="G71"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72" spans="2:7" ht="409.6" thickBot="1" x14ac:dyDescent="0.9">
      <c r="B72" t="str">
        <f t="shared" si="2"/>
        <v>A.1.6.2 Related with</v>
      </c>
      <c r="C72" s="93" t="s">
        <v>88</v>
      </c>
      <c r="D72" s="94" t="s">
        <v>368</v>
      </c>
      <c r="E72" s="94" t="s">
        <v>539</v>
      </c>
      <c r="F72" s="94"/>
      <c r="G72"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6"/>
  <sheetViews>
    <sheetView workbookViewId="0">
      <selection activeCell="C8" sqref="C8:C56"/>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48" t="s">
        <v>569</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ht="29.5"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ht="29.5" x14ac:dyDescent="0.75">
      <c r="C10" s="14" t="str">
        <f>IF(PS!J10="*  ..  ##34###34# ##334###334#","//--- END",PS!J10)</f>
        <v>* header.insuranceInfo 0..1 BackboneElement ##34#A.1.3 Insurance information##34# ##334#A.1.3 Insurance information##334#</v>
      </c>
    </row>
    <row r="11" spans="3:7" ht="29.5" x14ac:dyDescent="0.75">
      <c r="C11" s="14" t="str">
        <f>IF(PS!J11="*  ..  ##34###34# ##334###334#","//--- END",PS!J11)</f>
        <v>* header.insuranceInfo.insuranceNumber 0..* Identifier ##34#A.1.3.1  Insurance number##34# ##334#Example: QQ 12 34 56 A##334#</v>
      </c>
    </row>
    <row r="12" spans="3:7" x14ac:dyDescent="0.75">
      <c r="C12" s="14" t="str">
        <f>IF(PS!J12="*  ..  ##34###34# ##334###334#","//--- END",PS!J12)</f>
        <v>* header.documentData 1..1 BackboneElement ##34#A.1.4 Document data##34# ##334#A.1.4 Document data##334#</v>
      </c>
    </row>
    <row r="13" spans="3:7" ht="29.5" x14ac:dyDescent="0.75">
      <c r="C13" s="14" t="str">
        <f>IF(PS!J13="*  ..  ##34###34# ##334###334#","//--- END",PS!J13)</f>
        <v>* header.documentData.created 1..1 dateTime ##34#A.1.4.1 Date created##34# ##334#A.1.4.1 Date created - Date on which PS was generated##334#</v>
      </c>
    </row>
    <row r="14" spans="3:7" ht="44.25" x14ac:dyDescent="0.75">
      <c r="C14" s="14" t="str">
        <f>IF(PS!J14="*  ..  ##34###34# ##334###334#","//--- END",PS!J14)</f>
        <v>* header.documentData.lastUpdate 0..1 dateTime ##34#A.1.4.2 Date of last update##34# ##334#A.1.4.2 Date of last update - Date on which PS was updated (date of most recent version)
Preferred system: ISO 8601##334#</v>
      </c>
    </row>
    <row r="15" spans="3:7" ht="44.25" x14ac:dyDescent="0.75">
      <c r="C15" s="14" t="str">
        <f>IF(PS!J15="*  ..  ##34###34# ##334###334#","//--- END",PS!J15)</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6" spans="3:7" ht="29.5" x14ac:dyDescent="0.75">
      <c r="C16" s="14" t="str">
        <f>IF(PS!J16="*  ..  ##34###34# ##334###334#","//--- END",PS!J16)</f>
        <v>* header.participant 1..* BackboneElement ##34#A.1.5 Author and Organisation##34# ##334#A.1.5 Author and Organisation##334#</v>
      </c>
    </row>
    <row r="17" spans="3:3" ht="59" x14ac:dyDescent="0.75">
      <c r="C17" s="14" t="str">
        <f>IF(PS!J17="*  ..  ##34###34# ##334###334#","//--- END",PS!J17)</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8" spans="3:3" ht="29.5" x14ac:dyDescent="0.75">
      <c r="C18" s="14" t="str">
        <f>IF(PS!J18="*  ..  ##34###34# ##334###334#","//--- END",PS!J18)</f>
        <v>* header.participant.legalAuth 0..* CodeableConcept ##34#A.1.5.2 Legal authenticator##34# ##334#A.1.5.2 Legal authenticator - Legal entity (Health Professional or Health Care Provider) who authenticated the Patient Summary##334#</v>
      </c>
    </row>
    <row r="19" spans="3:3" ht="29.5" x14ac:dyDescent="0.75">
      <c r="C19" s="14" t="str">
        <f>IF(PS!J19="*  ..  ##34###34# ##334###334#","//--- END",PS!J19)</f>
        <v>* header.additionalInfo 0..* BackboneElement ##34#A.1.6 Additional information / Knowledge resources##34# ##334#A.1.6 Additional information / Knowledge resources - ##334#</v>
      </c>
    </row>
    <row r="20" spans="3:3" ht="59" x14ac:dyDescent="0.75">
      <c r="C20" s="14" t="str">
        <f>IF(PS!J20="*  ..  ##34###34# ##334###334#","//--- END",PS!J20)</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1" spans="3:3" ht="44.25" x14ac:dyDescent="0.75">
      <c r="C21" s="14" t="str">
        <f>IF(PS!J21="*  ..  ##34###34# ##334###334#","//--- END",PS!J21)</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2" spans="3:3" ht="29.5" x14ac:dyDescent="0.75">
      <c r="C22" s="14" t="str">
        <f>IF(PS!J22="*  ..  ##34###34# ##334###334#","//--- END",PS!J22)</f>
        <v>* body 1..1 BackboneElement ##34#A.2 Patient summary body data elements##34# ##334#A.2 - Patient summary body data elements##334#</v>
      </c>
    </row>
    <row r="23" spans="3:3" x14ac:dyDescent="0.75">
      <c r="C23" s="14" t="str">
        <f>IF(PS!J23="*  ..  ##34###34# ##334###334#","//--- END",PS!J23)</f>
        <v>* body.alerts 1..1 BackboneElement ##34#A.2.1 Alerts##34# ##334#A.2.1 - Alerts##334#</v>
      </c>
    </row>
    <row r="24" spans="3:3" ht="29.5" x14ac:dyDescent="0.75">
      <c r="C24" s="14" t="str">
        <f>IF(PS!J24="*  ..  ##34###34# ##334###334#","//--- END",PS!J24)</f>
        <v>* body.alerts.allergy 0..* http://hl7.eu/fhir/ig/xpandh/ps/StructureDefinition/Allergy ##34#A.2.1.1 Allergy##34# ##334#A.2.1.1 - Allergy##334#</v>
      </c>
    </row>
    <row r="25" spans="3:3" ht="29.5" x14ac:dyDescent="0.75">
      <c r="C25" s="14" t="str">
        <f>IF(PS!J25="*  ..  ##34###34# ##334###334#","//--- END",PS!J25)</f>
        <v>* body.alerts.alert 0..* BackboneElement ##34#A.2.1.2 Medical alert information (other alerts not included in allergies)##34# ##334#A.2.1.2 - Medical alert information (other alerts not included in allergies)##334#</v>
      </c>
    </row>
    <row r="26" spans="3:3" ht="177" x14ac:dyDescent="0.75">
      <c r="C26" s="14" t="str">
        <f>IF(PS!J26="*  ..  ##34###34# ##334###334#","//--- END",PS!J26)</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7" spans="3:3" x14ac:dyDescent="0.75">
      <c r="C27" s="14" t="str">
        <f>IF(PS!J27="*  ..  ##34###34# ##334###334#","//--- END",PS!J27)</f>
        <v>* body.medicalHistory 1..1 BackboneElement ##34#A.2.2 Medical history##34# ##334#A.2.2 - Medical history##334#</v>
      </c>
    </row>
    <row r="28" spans="3:3" ht="29.5" x14ac:dyDescent="0.75">
      <c r="C28" s="14" t="str">
        <f>IF(PS!J28="*  ..  ##34###34# ##334###334#","//--- END",PS!J28)</f>
        <v>* body.medicalHistory.vaccination 0..* http://hl7.eu/fhir/ig/xpandh/ps/StructureDefinition/Vaccination ##34#A.2.2.1 Vaccination/ prophylaxis information##34# ##334#A.2.2.1 - Vaccination/ prophylaxis information##334#</v>
      </c>
    </row>
    <row r="29" spans="3:3" ht="29.5" x14ac:dyDescent="0.75">
      <c r="C29" s="14" t="str">
        <f>IF(PS!J29="*  ..  ##34###34# ##334###334#","//--- END",PS!J29)</f>
        <v>* body.medicalHistory.inactiveProblem 0..* http://hl7.eu/fhir/ig/xpandh/ps/StructureDefinition/ClosedProblem ##34#A.2.2.2 Resolved, closed or inactive problems##34# ##334#A.2.2.2 - Resolved, closed or inactive problems##334#</v>
      </c>
    </row>
    <row r="30" spans="3:3" ht="29.5" x14ac:dyDescent="0.75">
      <c r="C30" s="14" t="str">
        <f>IF(PS!J30="*  ..  ##34###34# ##334###334#","//--- END",PS!J30)</f>
        <v>* body.medicalHistory.anamnesis 0..1 BackboneElement ##34#A.2.2.3 Medical history##34# ##334#A.2.2.3 - Medical history##334#</v>
      </c>
    </row>
    <row r="31" spans="3:3" ht="59" x14ac:dyDescent="0.75">
      <c r="C31" s="14" t="str">
        <f>IF(PS!J31="*  ..  ##34###34# ##334###334#","//--- END",PS!J31)</f>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row>
    <row r="32" spans="3:3" x14ac:dyDescent="0.75">
      <c r="C32" s="14" t="str">
        <f>IF(PS!J32="*  ..  ##34###34# ##334###334#","//--- END",PS!J32)</f>
        <v>* body.medicalProblems 0..1 BackboneElement ##34#A.2.3 Medical problems##34# ##334#A.2.3 Medical problems##334#</v>
      </c>
    </row>
    <row r="33" spans="3:3" ht="29.5" x14ac:dyDescent="0.75">
      <c r="C33" s="14" t="str">
        <f>IF(PS!J33="*  ..  ##34###34# ##334###334#","//--- END",PS!J33)</f>
        <v>* body.medicalProblems.problems 0..1 http://hl7.eu/fhir/ig/xpandh/ps/StructureDefinition/Problem ##34#A.2.3.1 Current problems##34# ##334#A.2.3.1 Current problems##334#</v>
      </c>
    </row>
    <row r="34" spans="3:3" ht="29.5" x14ac:dyDescent="0.75">
      <c r="C34" s="14" t="str">
        <f>IF(PS!J34="*  ..  ##34###34# ##334###334#","//--- END",PS!J34)</f>
        <v>* body.medicalProblems.medicalDevices 1..1 BackboneElement ##34#A.2.3.2 Medical devices and implants##34# ##334#A.2.3.2 - Medical devices and implants##334#</v>
      </c>
    </row>
    <row r="35" spans="3:3" x14ac:dyDescent="0.75">
      <c r="C35" s="14" t="str">
        <f>IF(PS!J35="*  ..  ##34###34# ##334###334#","//--- END",PS!J35)</f>
        <v>* body.medicalProblems.procedures 1..1 BackboneElement ##34#A.2.3.3 Procedures##34# ##334#A.2.3.3 - Procedures##334#</v>
      </c>
    </row>
    <row r="36" spans="3:3" ht="29.5" x14ac:dyDescent="0.75">
      <c r="C36" s="14" t="str">
        <f>IF(PS!J36="*  ..  ##34###34# ##334###334#","//--- END",PS!J36)</f>
        <v>* body.medicalProblems.functionalStatus 0..1 BackboneElement ##34#A.2.3.4 Functional status##34# ##334#A.2.3.4 - Functional status##334#</v>
      </c>
    </row>
    <row r="37" spans="3:3" ht="29.5" x14ac:dyDescent="0.75">
      <c r="C37" s="14" t="str">
        <f>IF(PS!J37="*  ..  ##34###34# ##334###334#","//--- END",PS!J37)</f>
        <v>* body.medicationSummary 1..1 BackboneElement ##34#A.2.4 Medication summary##34# ##334#A.2.4 - Medication summary##334#</v>
      </c>
    </row>
    <row r="38" spans="3:3" ht="59" x14ac:dyDescent="0.75">
      <c r="C38" s="14" t="str">
        <f>IF(PS!J38="*  ..  ##34###34# ##334###334#","//--- END",PS!J38)</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9" spans="3:3" x14ac:dyDescent="0.75">
      <c r="C39" s="14" t="str">
        <f>IF(PS!J39="*  ..  ##34###34# ##334###334#","//--- END",PS!J39)</f>
        <v>* body.socialHistory 0..1 BackboneElement ##34#A.2.5 Social history##34# ##334#A.2.5 - Social history##334#</v>
      </c>
    </row>
    <row r="40" spans="3:3" ht="44.25" x14ac:dyDescent="0.75">
      <c r="C40" s="14" t="str">
        <f>IF(PS!J40="*  ..  ##34###34# ##334###334#","//--- END",PS!J40)</f>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row>
    <row r="41" spans="3:3" ht="29.5" x14ac:dyDescent="0.75">
      <c r="C41" s="14" t="str">
        <f>IF(PS!J41="*  ..  ##34###34# ##334###334#","//--- END",PS!J41)</f>
        <v>* body.socialHistory.referenceRange 0..* Range ##34#A.2.5.2 Reference date range##34# ##334#Example: from 1974 to 2004##334#</v>
      </c>
    </row>
    <row r="42" spans="3:3" x14ac:dyDescent="0.75">
      <c r="C42" s="14" t="str">
        <f>IF(PS!J42="*  ..  ##34###34# ##334###334#","//--- END",PS!J42)</f>
        <v>* body.pregnancyHistory 0..1 BackboneElement ##34#A.2.6 Pregnancy history##34# ##334#A.2.6 Pregnancy history##334#</v>
      </c>
    </row>
    <row r="43" spans="3:3" x14ac:dyDescent="0.75">
      <c r="C43" s="14" t="str">
        <f>IF(PS!J43="*  ..  ##34###34# ##334###334#","//--- END",PS!J43)</f>
        <v>* body.patientData 0..1 BackboneElement ##34#A.2.7 Patient provided data##34# ##334#A.2.7 - Patient provided data##334#</v>
      </c>
    </row>
    <row r="44" spans="3:3" x14ac:dyDescent="0.75">
      <c r="C44" s="14" t="str">
        <f>IF(PS!J44="*  ..  ##34###34# ##334###334#","//--- END",PS!J44)</f>
        <v>* body.patientData.travelHistory 0..1 BackboneElement ##34#A.2.7.1 Travel history##34# ##334#A.2.7.1 - Travel history##334#</v>
      </c>
    </row>
    <row r="45" spans="3:3" ht="29.5" x14ac:dyDescent="0.75">
      <c r="C45" s="14" t="str">
        <f>IF(PS!J45="*  ..  ##34###34# ##334###334#","//--- END",PS!J45)</f>
        <v>* body.patientData.travelHistory.country 0..* CodeableConcept ##34#A.2.7.1.1 Country##34# ##334#A.1.4.1 Country(s) visited - Preferred System: ISO 3166##334#</v>
      </c>
    </row>
    <row r="46" spans="3:3" ht="29.5" x14ac:dyDescent="0.75">
      <c r="C46" s="14" t="str">
        <f>IF(PS!J46="*  ..  ##34###34# ##334###334#","//--- END",PS!J46)</f>
        <v>* body.patientData.travelHistory.period 0..* dateTime ##34#A.2.7.1.2 Period##34# ##334#A.1.4.2 Date of entry and departure - Preferred System: ISO 8601##334#</v>
      </c>
    </row>
    <row r="47" spans="3:3" ht="29.5" x14ac:dyDescent="0.75">
      <c r="C47" s="14" t="str">
        <f>IF(PS!J47="*  ..  ##34###34# ##334###334#","//--- END",PS!J47)</f>
        <v>* body.patientData.advanceDirective 0..1 BackboneElement ##34#A.2.7.2 Advance Directive##34# ##334#A.2.7.2 - Advance Directive##334#</v>
      </c>
    </row>
    <row r="48" spans="3:3" ht="44.25" x14ac:dyDescent="0.75">
      <c r="C48" s="14" t="str">
        <f>IF(PS!J48="*  ..  ##34###34# ##334###334#","//--- END",PS!J48)</f>
        <v>* body.patientData.advanceDirective.documentation 0..* BackboneElement ##34#A.2.7.2.1 Documentation##34# ##334#Existence of documentation on living will.
Preferred system: SNOMED CT GPS##334#</v>
      </c>
    </row>
    <row r="49" spans="3:3" ht="29.5" x14ac:dyDescent="0.75">
      <c r="C49" s="14" t="str">
        <f>IF(PS!J49="*  ..  ##34###34# ##334###334#","//--- END",PS!J49)</f>
        <v>* body.results 0..1 http://hl7.eu/fhir/ig/xpandh/ps/StructureDefinition/Result ##34#A.2.8 Results##34# ##334#A.2.8 - Results##334#</v>
      </c>
    </row>
    <row r="50" spans="3:3" ht="29.5" x14ac:dyDescent="0.75">
      <c r="C50" s="14" t="str">
        <f>IF(PS!J50="*  ..  ##34###34# ##334###334#","//--- END",PS!J50)</f>
        <v>* body.planOfCare 0..1 BackboneElement ##34#A.2.9 Plan of Care##34# ##334#(Therapeutic recommendations that do not include pharmacologic treatments, such as diet, physical exercise, planned surgeries)##334#</v>
      </c>
    </row>
    <row r="51" spans="3:3" ht="44.25" x14ac:dyDescent="0.75">
      <c r="C51" s="14" t="str">
        <f>IF(PS!J51="*  ..  ##34###34# ##334###334#","//--- END",PS!J51)</f>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row>
    <row r="52" spans="3:3" x14ac:dyDescent="0.75">
      <c r="C52" s="14" t="str">
        <f>IF(PS!J52="*  ..  ##34###34# ##334###334#","//--- END",PS!J52)</f>
        <v>//--- END</v>
      </c>
    </row>
    <row r="53" spans="3:3" x14ac:dyDescent="0.75">
      <c r="C53" s="14" t="str">
        <f>IF(PS!J53="*  ..  ##34###34# ##334###334#","//--- END",PS!J53)</f>
        <v>//--- END</v>
      </c>
    </row>
    <row r="54" spans="3:3" x14ac:dyDescent="0.75">
      <c r="C54" s="14" t="str">
        <f>IF(PS!J54="*  ..  ##34###34# ##334###334#","//--- END",PS!J54)</f>
        <v>//--- END</v>
      </c>
    </row>
    <row r="55" spans="3:3" x14ac:dyDescent="0.75">
      <c r="C55" s="14" t="str">
        <f>IF(PS!J55="*  ..  ##34###34# ##334###334#","//--- END",PS!J55)</f>
        <v>//--- END</v>
      </c>
    </row>
    <row r="56" spans="3:3" x14ac:dyDescent="0.75">
      <c r="C56" s="14" t="str">
        <f>IF(PS!J56="*  ..  ##34###34# ##334###334#","//--- END",PS!J56)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96</xdr:row>
                    <xdr:rowOff>171450</xdr:rowOff>
                  </from>
                  <to>
                    <xdr:col>2</xdr:col>
                    <xdr:colOff>1117600</xdr:colOff>
                    <xdr:row>98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372"/>
  <sheetViews>
    <sheetView topLeftCell="A48" zoomScale="80" zoomScaleNormal="80" workbookViewId="0">
      <selection activeCell="D39" sqref="D39"/>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844</v>
      </c>
      <c r="D3" s="61" t="s">
        <v>208</v>
      </c>
      <c r="E3" t="s">
        <v>900</v>
      </c>
    </row>
    <row r="4" spans="1:19" x14ac:dyDescent="0.75">
      <c r="B4" s="61" t="s">
        <v>19</v>
      </c>
      <c r="C4" s="47" t="s">
        <v>848</v>
      </c>
      <c r="D4" s="61" t="s">
        <v>209</v>
      </c>
      <c r="E4" s="72" t="s">
        <v>901</v>
      </c>
    </row>
    <row r="5" spans="1:19" x14ac:dyDescent="0.75">
      <c r="B5" s="61" t="s">
        <v>13</v>
      </c>
      <c r="C5" s="21" t="s">
        <v>850</v>
      </c>
      <c r="D5" s="61"/>
      <c r="E5" s="10"/>
    </row>
    <row r="6" spans="1:19" ht="29.5" x14ac:dyDescent="0.75">
      <c r="B6" s="61" t="s">
        <v>35</v>
      </c>
      <c r="C6" s="105" t="s">
        <v>900</v>
      </c>
      <c r="D6" s="61" t="s">
        <v>206</v>
      </c>
      <c r="E6" s="164" t="s">
        <v>900</v>
      </c>
      <c r="F6" s="164"/>
      <c r="G6" s="164"/>
    </row>
    <row r="7" spans="1:19" x14ac:dyDescent="0.75">
      <c r="B7" s="61" t="s">
        <v>18</v>
      </c>
      <c r="C7" s="106" t="s">
        <v>540</v>
      </c>
      <c r="D7" s="61" t="s">
        <v>207</v>
      </c>
      <c r="E7" s="165" t="s">
        <v>1223</v>
      </c>
      <c r="F7" s="164"/>
      <c r="G7" s="164"/>
    </row>
    <row r="8" spans="1:19" ht="44.25" x14ac:dyDescent="0.75">
      <c r="B8" s="61" t="s">
        <v>204</v>
      </c>
      <c r="C8" s="21" t="s">
        <v>850</v>
      </c>
      <c r="D8" s="61"/>
      <c r="E8" s="10"/>
      <c r="I8" s="14" t="s">
        <v>181</v>
      </c>
      <c r="J8" s="14" t="s">
        <v>182</v>
      </c>
      <c r="K8" s="14" t="s">
        <v>183</v>
      </c>
      <c r="L8" s="14" t="s">
        <v>184</v>
      </c>
      <c r="M8" s="9" t="s">
        <v>185</v>
      </c>
      <c r="P8" s="57" t="s">
        <v>186</v>
      </c>
      <c r="Q8" s="57">
        <v>6</v>
      </c>
    </row>
    <row r="9" spans="1:19" ht="29.5" x14ac:dyDescent="0.75">
      <c r="B9" s="61" t="s">
        <v>205</v>
      </c>
      <c r="C9" s="1" t="s">
        <v>460</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
        <v>560</v>
      </c>
      <c r="C14" s="14"/>
      <c r="D14" s="4" t="s">
        <v>107</v>
      </c>
      <c r="E14" s="8"/>
      <c r="F14" s="9"/>
      <c r="G14" s="9"/>
      <c r="I14" s="14"/>
      <c r="J14" s="9"/>
      <c r="K14" s="9"/>
      <c r="L14" s="9"/>
      <c r="M14" s="59"/>
      <c r="N14" s="62"/>
    </row>
    <row r="15" spans="1:19" ht="44.25" x14ac:dyDescent="0.75">
      <c r="A15" s="22"/>
      <c r="B15" s="9" t="str">
        <f>PS!B8</f>
        <v>header</v>
      </c>
      <c r="C15" s="9" t="str">
        <f>PS!C8</f>
        <v>A.1 Report header data elements</v>
      </c>
      <c r="D15" s="14"/>
      <c r="E15" s="9"/>
      <c r="F15" s="63" t="s">
        <v>193</v>
      </c>
      <c r="G15" s="63"/>
      <c r="H15" s="64"/>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INDEX('PS-ConceptMap-1'!$I$15:$N$286,Q15+1,R15)</f>
        <v>* group[=].element[+].code = #PatientSummary.header</v>
      </c>
    </row>
    <row r="16" spans="1:19" ht="44.25" x14ac:dyDescent="0.75">
      <c r="A16" s="22"/>
      <c r="B16" s="9" t="str">
        <f>PS!B9</f>
        <v>header.subject</v>
      </c>
      <c r="C16" s="9" t="str">
        <f>PS!C9</f>
        <v>A.1.1 A1.2 Patient/subject</v>
      </c>
      <c r="D16" s="14" t="s">
        <v>201</v>
      </c>
      <c r="E16" s="9"/>
      <c r="F16" s="63" t="s">
        <v>193</v>
      </c>
      <c r="G16" s="63"/>
      <c r="H16" s="64"/>
      <c r="I16" s="14" t="str">
        <f t="shared" ref="I16:I62" si="4">"* group[=].element[+].code = #"&amp;$B$14&amp;"."&amp;B16</f>
        <v>* group[=].element[+].code = #PatientSummary.header.subject</v>
      </c>
      <c r="J16" s="14" t="str">
        <f t="shared" ref="J16:J62" si="5">"* group[=].element[=].display = ##34#"&amp;C16&amp;"##34#"</f>
        <v>* group[=].element[=].display = ##34#A.1.1 A1.2 Patient/subject##34#</v>
      </c>
      <c r="K16" s="14" t="str">
        <f t="shared" ref="K16:K62" si="6">IF(F16="unmatched","//-- unmatched",IF(D16="","* group[=].element[=].target.code = #"&amp;$D$14,"* group[=].element[=].target.code = #"&amp;$D$14&amp;"."&amp;D16))</f>
        <v>* group[=].element[=].target.code = #Composition.subject</v>
      </c>
      <c r="L16" s="14" t="str">
        <f t="shared" ref="L16:L62" si="7">IF(F16="unmatched","//-- unmatched","* group[=].element[=].target.display = ##34#"&amp;E16&amp;"##34#")</f>
        <v>* group[=].element[=].target.display = ##34###34#</v>
      </c>
      <c r="M16" s="14" t="str">
        <f t="shared" ref="M16:M62" si="8">"* group[=].element[=].target.equivalence = #"&amp;F16</f>
        <v>* group[=].element[=].target.equivalence = #relatedto</v>
      </c>
      <c r="N16" s="14" t="str">
        <f t="shared" ref="N16:N62" si="9">IF(G16&lt;&gt;"",CONCATENATE("* group[=].element[=].target.comment = ","##34#",G16,"##34#"),"")</f>
        <v/>
      </c>
      <c r="P16" s="9">
        <v>2</v>
      </c>
      <c r="Q16" s="9">
        <f t="shared" ref="Q16:Q79" si="10">IF(MOD(P16,$Q$8)=0,P16/$Q$8-1,INT(P16/$Q$8))</f>
        <v>0</v>
      </c>
      <c r="R16" s="9">
        <f t="shared" ref="R16:R79" si="11">IF(MOD(P16,$Q$8)=0,$Q$8,MOD(P16,$Q$8))</f>
        <v>2</v>
      </c>
      <c r="S16" s="14" t="str" cm="1">
        <f t="array" ref="S16">INDEX('PS-ConceptMap-1'!$I$15:$N$286,Q16+1,R16)</f>
        <v>* group[=].element[=].display = ##34#A.1 Report header data elements##34#</v>
      </c>
    </row>
    <row r="17" spans="1:19" ht="44.25" x14ac:dyDescent="0.75">
      <c r="A17" s="22"/>
      <c r="B17" s="9" t="str">
        <f>PS!B10</f>
        <v>header.insuranceInfo</v>
      </c>
      <c r="C17" s="9" t="str">
        <f>PS!C10</f>
        <v>A.1.3 Insurance information</v>
      </c>
      <c r="D17" s="14" t="s">
        <v>201</v>
      </c>
      <c r="E17" s="9"/>
      <c r="F17" s="63" t="s">
        <v>193</v>
      </c>
      <c r="G17" s="63"/>
      <c r="H17" s="64"/>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c>
      <c r="P17" s="9">
        <v>3</v>
      </c>
      <c r="Q17" s="9">
        <f t="shared" si="10"/>
        <v>0</v>
      </c>
      <c r="R17" s="9">
        <f t="shared" si="11"/>
        <v>3</v>
      </c>
      <c r="S17" s="14" t="str" cm="1">
        <f t="array" ref="S17">INDEX('PS-ConceptMap-1'!$I$15:$N$286,Q17+1,R17)</f>
        <v>* group[=].element[=].target.code = #Composition</v>
      </c>
    </row>
    <row r="18" spans="1:19" ht="162.25" x14ac:dyDescent="0.75">
      <c r="A18" s="22"/>
      <c r="B18" s="9" t="str">
        <f>PS!B11</f>
        <v>header.insuranceInfo.insuranceNumber</v>
      </c>
      <c r="C18" s="9" t="str">
        <f>PS!C11</f>
        <v>A.1.3.1  Insurance number</v>
      </c>
      <c r="D18" s="14" t="s">
        <v>1304</v>
      </c>
      <c r="E18" s="9"/>
      <c r="F18" s="63" t="s">
        <v>193</v>
      </c>
      <c r="G18" s="79" t="s">
        <v>1303</v>
      </c>
      <c r="H18" s="64"/>
      <c r="I18" s="14" t="str">
        <f t="shared" si="4"/>
        <v>* group[=].element[+].code = #PatientSummary.header.insuranceInfo.insuranceNumber</v>
      </c>
      <c r="J18" s="14" t="str">
        <f t="shared" si="5"/>
        <v>* group[=].element[=].display = ##34#A.1.3.1  Insurance number##34#</v>
      </c>
      <c r="K18" s="14" t="str">
        <f t="shared" si="6"/>
        <v>* group[=].element[=].target.code = #Composition.subject.identifier</v>
      </c>
      <c r="L18" s="14" t="str">
        <f t="shared" si="7"/>
        <v>* group[=].element[=].target.display = ##34###34#</v>
      </c>
      <c r="M18" s="14" t="str">
        <f t="shared" si="8"/>
        <v>* group[=].element[=].target.equivalence = #relatedto</v>
      </c>
      <c r="N18" s="14" t="str">
        <f t="shared" si="9"/>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c r="P18" s="9">
        <v>4</v>
      </c>
      <c r="Q18" s="9">
        <f t="shared" si="10"/>
        <v>0</v>
      </c>
      <c r="R18" s="9">
        <f t="shared" si="11"/>
        <v>4</v>
      </c>
      <c r="S18" s="14" t="str" cm="1">
        <f t="array" ref="S18">INDEX('PS-ConceptMap-1'!$I$15:$N$286,Q18+1,R18)</f>
        <v>* group[=].element[=].target.display = ##34###34#</v>
      </c>
    </row>
    <row r="19" spans="1:19" ht="44.25" x14ac:dyDescent="0.75">
      <c r="A19" s="22"/>
      <c r="B19" s="9" t="str">
        <f>PS!B12</f>
        <v>header.documentData</v>
      </c>
      <c r="C19" s="9" t="str">
        <f>PS!C12</f>
        <v>A.1.4 Document data</v>
      </c>
      <c r="D19" s="14"/>
      <c r="E19" s="9"/>
      <c r="F19" s="63" t="s">
        <v>193</v>
      </c>
      <c r="G19" s="63"/>
      <c r="H19" s="64"/>
      <c r="I19" s="14" t="str">
        <f t="shared" si="4"/>
        <v>* group[=].element[+].code = #PatientSummary.header.documentData</v>
      </c>
      <c r="J19" s="14" t="str">
        <f t="shared" si="5"/>
        <v>* group[=].element[=].display = ##34#A.1.4 Document data##34#</v>
      </c>
      <c r="K19" s="14" t="str">
        <f t="shared" si="6"/>
        <v>* group[=].element[=].target.code = #Composition</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INDEX('PS-ConceptMap-1'!$I$15:$N$286,Q19+1,R19)</f>
        <v>* group[=].element[=].target.equivalence = #relatedto</v>
      </c>
    </row>
    <row r="20" spans="1:19" ht="44.25" x14ac:dyDescent="0.75">
      <c r="A20" s="22"/>
      <c r="B20" s="9" t="str">
        <f>PS!B13</f>
        <v>header.documentData.created</v>
      </c>
      <c r="C20" s="9" t="str">
        <f>PS!C13</f>
        <v>A.1.4.1 Date created</v>
      </c>
      <c r="D20" s="14" t="s">
        <v>211</v>
      </c>
      <c r="E20" s="9"/>
      <c r="F20" s="63" t="s">
        <v>193</v>
      </c>
      <c r="G20" s="63"/>
      <c r="H20" s="64"/>
      <c r="I20" s="14" t="str">
        <f t="shared" si="4"/>
        <v>* group[=].element[+].code = #PatientSummary.header.documentData.created</v>
      </c>
      <c r="J20" s="14" t="str">
        <f t="shared" si="5"/>
        <v>* group[=].element[=].display = ##34#A.1.4.1 Date created##34#</v>
      </c>
      <c r="K20" s="14" t="str">
        <f t="shared" si="6"/>
        <v>* group[=].element[=].target.code = #Composition.date</v>
      </c>
      <c r="L20" s="14" t="str">
        <f t="shared" si="7"/>
        <v>* group[=].element[=].target.display = ##34###34#</v>
      </c>
      <c r="M20" s="14" t="str">
        <f t="shared" si="8"/>
        <v>* group[=].element[=].target.equivalence = #relatedto</v>
      </c>
      <c r="N20" s="14" t="str">
        <f t="shared" si="9"/>
        <v/>
      </c>
      <c r="P20" s="9">
        <v>6</v>
      </c>
      <c r="Q20" s="9">
        <f t="shared" si="10"/>
        <v>0</v>
      </c>
      <c r="R20" s="9">
        <f t="shared" si="11"/>
        <v>6</v>
      </c>
      <c r="S20" s="14" t="str" cm="1">
        <f t="array" ref="S20">INDEX('PS-ConceptMap-1'!$I$15:$N$286,Q20+1,R20)</f>
        <v/>
      </c>
    </row>
    <row r="21" spans="1:19" ht="73.75" x14ac:dyDescent="0.75">
      <c r="A21" s="22"/>
      <c r="B21" s="9" t="str">
        <f>PS!B14</f>
        <v>header.documentData.lastUpdate</v>
      </c>
      <c r="C21" s="9" t="str">
        <f>PS!C14</f>
        <v>A.1.4.2 Date of last update</v>
      </c>
      <c r="D21" s="14" t="s">
        <v>851</v>
      </c>
      <c r="E21" s="9"/>
      <c r="F21" s="63" t="s">
        <v>193</v>
      </c>
      <c r="G21" s="4" t="s">
        <v>1312</v>
      </c>
      <c r="H21" s="64"/>
      <c r="I21" s="14" t="str">
        <f t="shared" si="4"/>
        <v>* group[=].element[+].code = #PatientSummary.header.documentData.lastUpdate</v>
      </c>
      <c r="J21" s="14" t="str">
        <f t="shared" si="5"/>
        <v>* group[=].element[=].display = ##34#A.1.4.2 Date of last update##34#</v>
      </c>
      <c r="K21" s="14" t="str">
        <f t="shared" si="6"/>
        <v>* group[=].element[=].target.code = #Composition.event:careProvisioningEvent.period.end</v>
      </c>
      <c r="L21" s="14" t="str">
        <f t="shared" si="7"/>
        <v>* group[=].element[=].target.display = ##34###34#</v>
      </c>
      <c r="M21" s="14" t="str">
        <f t="shared" si="8"/>
        <v>* group[=].element[=].target.equivalence = #relatedto</v>
      </c>
      <c r="N21" s="14" t="str">
        <f t="shared" si="9"/>
        <v>* group[=].element[=].target.comment = ##34#If it represents the period of time this Patient Summary is covering##34#</v>
      </c>
      <c r="P21" s="9">
        <v>7</v>
      </c>
      <c r="Q21" s="9">
        <f t="shared" si="10"/>
        <v>1</v>
      </c>
      <c r="R21" s="9">
        <f t="shared" si="11"/>
        <v>1</v>
      </c>
      <c r="S21" s="14" t="str" cm="1">
        <f t="array" ref="S21">INDEX('PS-ConceptMap-1'!$I$15:$N$286,Q21+1,R21)</f>
        <v>* group[=].element[+].code = #PatientSummary.header.subject</v>
      </c>
    </row>
    <row r="22" spans="1:19" ht="73.75" x14ac:dyDescent="0.75">
      <c r="A22" s="22"/>
      <c r="B22" s="9" t="str">
        <f>PS!B14</f>
        <v>header.documentData.lastUpdate</v>
      </c>
      <c r="C22" s="9" t="str">
        <f>PS!C14</f>
        <v>A.1.4.2 Date of last update</v>
      </c>
      <c r="D22" s="14" t="s">
        <v>1311</v>
      </c>
      <c r="E22" s="9"/>
      <c r="F22" s="63" t="s">
        <v>193</v>
      </c>
      <c r="G22" s="4" t="s">
        <v>1313</v>
      </c>
      <c r="H22" s="64"/>
      <c r="I22" s="14" t="str">
        <f t="shared" si="4"/>
        <v>* group[=].element[+].code = #PatientSummary.header.documentData.lastUpdate</v>
      </c>
      <c r="J22" s="14" t="str">
        <f t="shared" si="5"/>
        <v>* group[=].element[=].display = ##34#A.1.4.2 Date of last update##34#</v>
      </c>
      <c r="K22" s="14" t="str">
        <f t="shared" si="6"/>
        <v>* group[=].element[=].target.code = #Composition.meta.lastUpdated</v>
      </c>
      <c r="L22" s="14" t="str">
        <f t="shared" si="7"/>
        <v>* group[=].element[=].target.display = ##34###34#</v>
      </c>
      <c r="M22" s="14" t="str">
        <f t="shared" si="8"/>
        <v>* group[=].element[=].target.equivalence = #relatedto</v>
      </c>
      <c r="N22" s="14" t="str">
        <f t="shared" si="9"/>
        <v>* group[=].element[=].target.comment = ##34#If it represents the last update of this FHIR resource##34#</v>
      </c>
      <c r="P22" s="9">
        <v>8</v>
      </c>
      <c r="Q22" s="9">
        <f t="shared" si="10"/>
        <v>1</v>
      </c>
      <c r="R22" s="9">
        <f t="shared" si="11"/>
        <v>2</v>
      </c>
      <c r="S22" s="14" t="str" cm="1">
        <f t="array" ref="S22">INDEX('PS-ConceptMap-1'!$I$15:$N$286,Q22+1,R22)</f>
        <v>* group[=].element[=].display = ##34#A.1.1 A1.2 Patient/subject##34#</v>
      </c>
    </row>
    <row r="23" spans="1:19" ht="118" x14ac:dyDescent="0.75">
      <c r="A23" s="22"/>
      <c r="B23" s="9" t="str">
        <f>PS!B15</f>
        <v>header.documentData.natureOfIPS</v>
      </c>
      <c r="C23" s="9" t="str">
        <f>PS!C15</f>
        <v>A.1.4.3 Nature of the PS</v>
      </c>
      <c r="D23" s="14" t="s">
        <v>249</v>
      </c>
      <c r="E23" s="9"/>
      <c r="F23" s="63" t="s">
        <v>193</v>
      </c>
      <c r="G23" s="79" t="s">
        <v>852</v>
      </c>
      <c r="H23" s="64"/>
      <c r="I23" s="14" t="str">
        <f t="shared" si="4"/>
        <v>* group[=].element[+].code = #PatientSummary.header.documentData.natureOfIPS</v>
      </c>
      <c r="J23" s="14" t="str">
        <f t="shared" si="5"/>
        <v>* group[=].element[=].display = ##34#A.1.4.3 Nature of the PS##34#</v>
      </c>
      <c r="K23" s="14" t="str">
        <f t="shared" si="6"/>
        <v>* group[=].element[=].target.code = #Composition.author</v>
      </c>
      <c r="L23" s="14" t="str">
        <f t="shared" si="7"/>
        <v>* group[=].element[=].target.display = ##34###34#</v>
      </c>
      <c r="M23" s="14" t="str">
        <f t="shared" si="8"/>
        <v>* group[=].element[=].target.equivalence = #relatedto</v>
      </c>
      <c r="N23" s="14" t="str">
        <f t="shared" si="9"/>
        <v>* group[=].element[=].target.comment = ##34#the nature of a PS is determined as a comobination of type if author and legal authenticator. Future versions may cosndier to use Provenance data for this scope##34#</v>
      </c>
      <c r="P23" s="9">
        <v>9</v>
      </c>
      <c r="Q23" s="9">
        <f t="shared" si="10"/>
        <v>1</v>
      </c>
      <c r="R23" s="9">
        <f t="shared" si="11"/>
        <v>3</v>
      </c>
      <c r="S23" s="14" t="str" cm="1">
        <f t="array" ref="S23">INDEX('PS-ConceptMap-1'!$I$15:$N$286,Q23+1,R23)</f>
        <v>* group[=].element[=].target.code = #Composition.subject</v>
      </c>
    </row>
    <row r="24" spans="1:19" ht="44.25" x14ac:dyDescent="0.75">
      <c r="A24" s="22"/>
      <c r="B24" s="9" t="str">
        <f>PS!B16</f>
        <v>header.participant</v>
      </c>
      <c r="C24" s="9" t="str">
        <f>PS!C16</f>
        <v>A.1.5 Author and Organisation</v>
      </c>
      <c r="D24" s="14"/>
      <c r="E24" s="9"/>
      <c r="F24" s="63" t="s">
        <v>193</v>
      </c>
      <c r="G24" s="63"/>
      <c r="H24" s="64"/>
      <c r="I24" s="14" t="str">
        <f t="shared" si="4"/>
        <v>* group[=].element[+].code = #PatientSummary.header.participant</v>
      </c>
      <c r="J24" s="14" t="str">
        <f t="shared" si="5"/>
        <v>* group[=].element[=].display = ##34#A.1.5 Author and Organisation##34#</v>
      </c>
      <c r="K24" s="14" t="str">
        <f t="shared" si="6"/>
        <v>* group[=].element[=].target.code = #Composition</v>
      </c>
      <c r="L24" s="14" t="str">
        <f t="shared" si="7"/>
        <v>* group[=].element[=].target.display = ##34###34#</v>
      </c>
      <c r="M24" s="14" t="str">
        <f t="shared" si="8"/>
        <v>* group[=].element[=].target.equivalence = #relatedto</v>
      </c>
      <c r="N24" s="14" t="str">
        <f t="shared" si="9"/>
        <v/>
      </c>
      <c r="P24" s="9">
        <v>10</v>
      </c>
      <c r="Q24" s="9">
        <f t="shared" si="10"/>
        <v>1</v>
      </c>
      <c r="R24" s="9">
        <f t="shared" si="11"/>
        <v>4</v>
      </c>
      <c r="S24" s="14" t="str" cm="1">
        <f t="array" ref="S24">INDEX('PS-ConceptMap-1'!$I$15:$N$286,Q24+1,R24)</f>
        <v>* group[=].element[=].target.display = ##34###34#</v>
      </c>
    </row>
    <row r="25" spans="1:19" ht="73.75" x14ac:dyDescent="0.75">
      <c r="A25" s="22"/>
      <c r="B25" s="9" t="str">
        <f>PS!B17</f>
        <v>header.participant.author</v>
      </c>
      <c r="C25" s="9" t="str">
        <f>PS!C17</f>
        <v>A.1.5.1 Author organization</v>
      </c>
      <c r="D25" s="14" t="s">
        <v>249</v>
      </c>
      <c r="E25" s="9"/>
      <c r="F25" s="63" t="s">
        <v>192</v>
      </c>
      <c r="G25" s="82" t="s">
        <v>853</v>
      </c>
      <c r="H25" s="64"/>
      <c r="I25" s="14" t="str">
        <f t="shared" si="4"/>
        <v>* group[=].element[+].code = #PatientSummary.header.participant.author</v>
      </c>
      <c r="J25" s="14" t="str">
        <f t="shared" si="5"/>
        <v>* group[=].element[=].display = ##34#A.1.5.1 Author organization##34#</v>
      </c>
      <c r="K25" s="14" t="str">
        <f t="shared" si="6"/>
        <v>* group[=].element[=].target.code = #Composition.author</v>
      </c>
      <c r="L25" s="14" t="str">
        <f t="shared" si="7"/>
        <v>* group[=].element[=].target.display = ##34###34#</v>
      </c>
      <c r="M25" s="14" t="str">
        <f t="shared" si="8"/>
        <v>* group[=].element[=].target.equivalence = #equivalent</v>
      </c>
      <c r="N25" s="14" t="str">
        <f t="shared" si="9"/>
        <v>* group[=].element[=].target.comment = ##34#author can be of type Organziation, Pracitctioner or PractictionerRole##34#</v>
      </c>
      <c r="P25" s="9">
        <v>11</v>
      </c>
      <c r="Q25" s="9">
        <f t="shared" si="10"/>
        <v>1</v>
      </c>
      <c r="R25" s="9">
        <f t="shared" si="11"/>
        <v>5</v>
      </c>
      <c r="S25" s="14" t="str" cm="1">
        <f t="array" ref="S25">INDEX('PS-ConceptMap-1'!$I$15:$N$286,Q25+1,R25)</f>
        <v>* group[=].element[=].target.equivalence = #relatedto</v>
      </c>
    </row>
    <row r="26" spans="1:19" ht="59" x14ac:dyDescent="0.75">
      <c r="A26" s="22"/>
      <c r="B26" s="9" t="str">
        <f>PS!B18</f>
        <v>header.participant.legalAuth</v>
      </c>
      <c r="C26" s="9" t="str">
        <f>PS!C18</f>
        <v>A.1.5.2 Legal authenticator</v>
      </c>
      <c r="D26" s="14" t="s">
        <v>854</v>
      </c>
      <c r="E26" s="14"/>
      <c r="F26" s="63" t="s">
        <v>193</v>
      </c>
      <c r="G26" s="70" t="s">
        <v>855</v>
      </c>
      <c r="H26" s="64"/>
      <c r="I26" s="14" t="str">
        <f t="shared" si="4"/>
        <v>* group[=].element[+].code = #PatientSummary.header.participant.legalAuth</v>
      </c>
      <c r="J26" s="14" t="str">
        <f t="shared" si="5"/>
        <v>* group[=].element[=].display = ##34#A.1.5.2 Legal authenticator##34#</v>
      </c>
      <c r="K26" s="14" t="str">
        <f t="shared" si="6"/>
        <v>* group[=].element[=].target.code = #Composition.attester</v>
      </c>
      <c r="L26" s="14" t="str">
        <f t="shared" si="7"/>
        <v>* group[=].element[=].target.display = ##34###34#</v>
      </c>
      <c r="M26" s="14" t="str">
        <f t="shared" si="8"/>
        <v>* group[=].element[=].target.equivalence = #relatedto</v>
      </c>
      <c r="N26" s="14" t="str">
        <f t="shared" si="9"/>
        <v>* group[=].element[=].target.comment = ##34#attester.mode = 'legal'##34#</v>
      </c>
      <c r="P26" s="9">
        <v>12</v>
      </c>
      <c r="Q26" s="9">
        <f t="shared" si="10"/>
        <v>1</v>
      </c>
      <c r="R26" s="9">
        <f t="shared" si="11"/>
        <v>6</v>
      </c>
      <c r="S26" s="14" t="str" cm="1">
        <f t="array" ref="S26">INDEX('PS-ConceptMap-1'!$I$15:$N$286,Q26+1,R26)</f>
        <v/>
      </c>
    </row>
    <row r="27" spans="1:19" ht="59" x14ac:dyDescent="0.75">
      <c r="A27" s="22"/>
      <c r="B27" s="9" t="str">
        <f>PS!B19</f>
        <v>header.additionalInfo</v>
      </c>
      <c r="C27" s="9" t="str">
        <f>PS!C19</f>
        <v>A.1.6 Additional information / Knowledge resources</v>
      </c>
      <c r="D27" s="14"/>
      <c r="E27" s="14"/>
      <c r="F27" s="63" t="s">
        <v>194</v>
      </c>
      <c r="G27" s="91" t="s">
        <v>856</v>
      </c>
      <c r="H27" s="64"/>
      <c r="I27" s="14" t="str">
        <f t="shared" si="4"/>
        <v>* group[=].element[+].code = #PatientSummary.header.additionalInfo</v>
      </c>
      <c r="J27" s="14" t="str">
        <f t="shared" si="5"/>
        <v>* group[=].element[=].display = ##34#A.1.6 Additional information / Knowledge resources##34#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INDEX('PS-ConceptMap-1'!$I$15:$N$286,Q27+1,R27)</f>
        <v>* group[=].element[+].code = #PatientSummary.header.insuranceInfo</v>
      </c>
    </row>
    <row r="28" spans="1:19" ht="59" x14ac:dyDescent="0.75">
      <c r="B28" s="9" t="str">
        <f>PS!B20</f>
        <v>header.additionalInfo.reference</v>
      </c>
      <c r="C28" s="9" t="str">
        <f>PS!C20</f>
        <v>A.1.6.1 External reference</v>
      </c>
      <c r="D28" s="14"/>
      <c r="E28" s="14"/>
      <c r="F28" s="63" t="s">
        <v>194</v>
      </c>
      <c r="G28" s="91" t="s">
        <v>856</v>
      </c>
      <c r="H28" s="64"/>
      <c r="I28" s="14" t="str">
        <f t="shared" si="4"/>
        <v>* group[=].element[+].code = #PatientSummary.header.additionalInfo.reference</v>
      </c>
      <c r="J28" s="14" t="str">
        <f t="shared" si="5"/>
        <v>* group[=].element[=].display = ##34#A.1.6.1 External reference##34#</v>
      </c>
      <c r="K28" s="14" t="str">
        <f t="shared" si="6"/>
        <v>//-- unmatched</v>
      </c>
      <c r="L28" s="14" t="str">
        <f t="shared" si="7"/>
        <v>//-- unmatched</v>
      </c>
      <c r="M28" s="14" t="str">
        <f t="shared" si="8"/>
        <v>* group[=].element[=].target.equivalence = #unmatched</v>
      </c>
      <c r="N28" s="14" t="str">
        <f t="shared" si="9"/>
        <v>* group[=].element[=].target.comment = ##34#Covered by other resources##34#</v>
      </c>
      <c r="P28" s="9">
        <v>14</v>
      </c>
      <c r="Q28" s="9">
        <f t="shared" si="10"/>
        <v>2</v>
      </c>
      <c r="R28" s="9">
        <f t="shared" si="11"/>
        <v>2</v>
      </c>
      <c r="S28" s="14" t="str" cm="1">
        <f t="array" ref="S28">INDEX('PS-ConceptMap-1'!$I$15:$N$286,Q28+1,R28)</f>
        <v>* group[=].element[=].display = ##34#A.1.3 Insurance information##34#</v>
      </c>
    </row>
    <row r="29" spans="1:19" ht="59" x14ac:dyDescent="0.75">
      <c r="B29" s="9" t="str">
        <f>PS!B21</f>
        <v>header.additionalInfo.relatedWith</v>
      </c>
      <c r="C29" s="9" t="str">
        <f>PS!C21</f>
        <v>A.1.6.2 Related with</v>
      </c>
      <c r="D29" s="14"/>
      <c r="E29" s="14"/>
      <c r="F29" s="63" t="s">
        <v>194</v>
      </c>
      <c r="G29" s="91" t="s">
        <v>856</v>
      </c>
      <c r="H29" s="64"/>
      <c r="I29" s="14" t="str">
        <f t="shared" si="4"/>
        <v>* group[=].element[+].code = #PatientSummary.header.additionalInfo.relatedWith</v>
      </c>
      <c r="J29" s="14" t="str">
        <f t="shared" si="5"/>
        <v>* group[=].element[=].display = ##34#A.1.6.2 Related with##34#</v>
      </c>
      <c r="K29" s="14" t="str">
        <f t="shared" si="6"/>
        <v>//-- unmatched</v>
      </c>
      <c r="L29" s="14" t="str">
        <f t="shared" si="7"/>
        <v>//-- unmatched</v>
      </c>
      <c r="M29" s="14" t="str">
        <f t="shared" si="8"/>
        <v>* group[=].element[=].target.equivalence = #unmatched</v>
      </c>
      <c r="N29" s="14" t="str">
        <f t="shared" si="9"/>
        <v>* group[=].element[=].target.comment = ##34#Covered by other resources##34#</v>
      </c>
      <c r="P29" s="9">
        <v>15</v>
      </c>
      <c r="Q29" s="9">
        <f t="shared" si="10"/>
        <v>2</v>
      </c>
      <c r="R29" s="9">
        <f t="shared" si="11"/>
        <v>3</v>
      </c>
      <c r="S29" s="14" t="str" cm="1">
        <f t="array" ref="S29">INDEX('PS-ConceptMap-1'!$I$15:$N$286,Q29+1,R29)</f>
        <v>* group[=].element[=].target.code = #Composition.subject</v>
      </c>
    </row>
    <row r="30" spans="1:19" ht="44.25" x14ac:dyDescent="0.75">
      <c r="B30" s="9" t="str">
        <f>PS!B22</f>
        <v>body</v>
      </c>
      <c r="C30" s="9" t="str">
        <f>PS!C22</f>
        <v>A.2 Patient summary body data elements</v>
      </c>
      <c r="D30" s="14" t="s">
        <v>857</v>
      </c>
      <c r="E30" s="14"/>
      <c r="F30" s="63" t="s">
        <v>193</v>
      </c>
      <c r="G30" s="63"/>
      <c r="H30" s="64"/>
      <c r="I30" s="14" t="str">
        <f t="shared" si="4"/>
        <v>* group[=].element[+].code = #PatientSummary.body</v>
      </c>
      <c r="J30" s="14" t="str">
        <f t="shared" si="5"/>
        <v>* group[=].element[=].display = ##34#A.2 Patient summary body data elements##34#</v>
      </c>
      <c r="K30" s="14" t="str">
        <f t="shared" si="6"/>
        <v>* group[=].element[=].target.code = #Composition.section</v>
      </c>
      <c r="L30" s="14" t="str">
        <f t="shared" si="7"/>
        <v>* group[=].element[=].target.display = ##34###34#</v>
      </c>
      <c r="M30" s="14" t="str">
        <f t="shared" si="8"/>
        <v>* group[=].element[=].target.equivalence = #relatedto</v>
      </c>
      <c r="N30" s="14" t="str">
        <f t="shared" si="9"/>
        <v/>
      </c>
      <c r="P30" s="9">
        <v>16</v>
      </c>
      <c r="Q30" s="9">
        <f t="shared" si="10"/>
        <v>2</v>
      </c>
      <c r="R30" s="9">
        <f t="shared" si="11"/>
        <v>4</v>
      </c>
      <c r="S30" s="14" t="str" cm="1">
        <f t="array" ref="S30">INDEX('PS-ConceptMap-1'!$I$15:$N$286,Q30+1,R30)</f>
        <v>* group[=].element[=].target.display = ##34###34#</v>
      </c>
    </row>
    <row r="31" spans="1:19" ht="44.25" x14ac:dyDescent="0.75">
      <c r="B31" s="9" t="str">
        <f>PS!B23</f>
        <v>body.alerts</v>
      </c>
      <c r="C31" s="9" t="str">
        <f>PS!C23</f>
        <v>A.2.1 Alerts</v>
      </c>
      <c r="D31" s="14" t="s">
        <v>857</v>
      </c>
      <c r="E31" s="14"/>
      <c r="F31" s="63" t="s">
        <v>193</v>
      </c>
      <c r="G31" s="63"/>
      <c r="H31" s="64"/>
      <c r="I31" s="14" t="str">
        <f t="shared" si="4"/>
        <v>* group[=].element[+].code = #PatientSummary.body.alerts</v>
      </c>
      <c r="J31" s="14" t="str">
        <f t="shared" si="5"/>
        <v>* group[=].element[=].display = ##34#A.2.1 Alerts##34#</v>
      </c>
      <c r="K31" s="14" t="str">
        <f t="shared" si="6"/>
        <v>* group[=].element[=].target.code = #Composition.section</v>
      </c>
      <c r="L31" s="14" t="str">
        <f t="shared" si="7"/>
        <v>* group[=].element[=].target.display = ##34###34#</v>
      </c>
      <c r="M31" s="14" t="str">
        <f t="shared" si="8"/>
        <v>* group[=].element[=].target.equivalence = #relatedto</v>
      </c>
      <c r="N31" s="14" t="str">
        <f t="shared" si="9"/>
        <v/>
      </c>
      <c r="P31" s="9">
        <v>17</v>
      </c>
      <c r="Q31" s="9">
        <f t="shared" si="10"/>
        <v>2</v>
      </c>
      <c r="R31" s="9">
        <f t="shared" si="11"/>
        <v>5</v>
      </c>
      <c r="S31" s="14" t="str" cm="1">
        <f t="array" ref="S31">INDEX('PS-ConceptMap-1'!$I$15:$N$286,Q31+1,R31)</f>
        <v>* group[=].element[=].target.equivalence = #relatedto</v>
      </c>
    </row>
    <row r="32" spans="1:19" ht="59" customHeight="1" x14ac:dyDescent="0.75">
      <c r="B32" s="9" t="str">
        <f>PS!B24</f>
        <v>body.alerts.allergy</v>
      </c>
      <c r="C32" s="9" t="str">
        <f>PS!C24</f>
        <v>A.2.1.1 Allergy</v>
      </c>
      <c r="D32" s="14" t="s">
        <v>1329</v>
      </c>
      <c r="E32" s="14"/>
      <c r="F32" s="63" t="s">
        <v>193</v>
      </c>
      <c r="G32" s="63"/>
      <c r="H32" s="64"/>
      <c r="I32" s="14" t="str">
        <f t="shared" si="4"/>
        <v>* group[=].element[+].code = #PatientSummary.body.alerts.allergy</v>
      </c>
      <c r="J32" s="14" t="str">
        <f t="shared" si="5"/>
        <v>* group[=].element[=].display = ##34#A.2.1.1 Allergy##34#</v>
      </c>
      <c r="K32" s="14" t="str">
        <f t="shared" si="6"/>
        <v>* group[=].element[=].target.code = #Composition.section:sectionAllergies</v>
      </c>
      <c r="L32" s="14" t="str">
        <f t="shared" si="7"/>
        <v>* group[=].element[=].target.display = ##34###34#</v>
      </c>
      <c r="M32" s="14" t="str">
        <f t="shared" si="8"/>
        <v>* group[=].element[=].target.equivalence = #relatedto</v>
      </c>
      <c r="N32" s="14" t="str">
        <f t="shared" si="9"/>
        <v/>
      </c>
      <c r="P32" s="9">
        <v>18</v>
      </c>
      <c r="Q32" s="9">
        <f t="shared" si="10"/>
        <v>2</v>
      </c>
      <c r="R32" s="9">
        <f t="shared" si="11"/>
        <v>6</v>
      </c>
      <c r="S32" s="14" t="str" cm="1">
        <f t="array" ref="S32">INDEX('PS-ConceptMap-1'!$I$15:$N$286,Q32+1,R32)</f>
        <v/>
      </c>
    </row>
    <row r="33" spans="1:19" ht="73.75" x14ac:dyDescent="0.75">
      <c r="B33" s="9" t="str">
        <f>PS!B25</f>
        <v>body.alerts.alert</v>
      </c>
      <c r="C33" s="9" t="str">
        <f>PS!C25</f>
        <v>A.2.1.2 Medical alert information (other alerts not included in allergies)</v>
      </c>
      <c r="D33" s="14" t="s">
        <v>960</v>
      </c>
      <c r="E33" s="14"/>
      <c r="F33" s="63" t="s">
        <v>193</v>
      </c>
      <c r="G33" s="63"/>
      <c r="H33" s="64"/>
      <c r="I33" s="14" t="str">
        <f t="shared" si="4"/>
        <v>* group[=].element[+].code = #PatientSummary.body.alerts.alert</v>
      </c>
      <c r="J33" s="14" t="str">
        <f t="shared" si="5"/>
        <v>* group[=].element[=].display = ##34#A.2.1.2 Medical alert information (other alerts not included in allergies)##34#</v>
      </c>
      <c r="K33" s="14" t="str">
        <f t="shared" si="6"/>
        <v>* group[=].element[=].target.code = #Composition.section:sectionAlert</v>
      </c>
      <c r="L33" s="14" t="str">
        <f t="shared" si="7"/>
        <v>* group[=].element[=].target.display = ##34###34#</v>
      </c>
      <c r="M33" s="14" t="str">
        <f t="shared" si="8"/>
        <v>* group[=].element[=].target.equivalence = #relatedto</v>
      </c>
      <c r="N33" s="14" t="str">
        <f t="shared" si="9"/>
        <v/>
      </c>
      <c r="P33" s="9">
        <v>19</v>
      </c>
      <c r="Q33" s="9">
        <f t="shared" si="10"/>
        <v>3</v>
      </c>
      <c r="R33" s="9">
        <f t="shared" si="11"/>
        <v>1</v>
      </c>
      <c r="S33" s="14" t="str" cm="1">
        <f t="array" ref="S33">INDEX('PS-ConceptMap-1'!$I$15:$N$286,Q33+1,R33)</f>
        <v>* group[=].element[+].code = #PatientSummary.header.insuranceInfo.insuranceNumber</v>
      </c>
    </row>
    <row r="34" spans="1:19" ht="73.75" x14ac:dyDescent="0.75">
      <c r="B34" s="9" t="str">
        <f>PS!B26</f>
        <v>body.alerts.alert.description</v>
      </c>
      <c r="C34" s="9" t="str">
        <f>PS!C26</f>
        <v>A.2.1.2.1 Healthcare alert description</v>
      </c>
      <c r="D34" s="14" t="s">
        <v>961</v>
      </c>
      <c r="E34" s="14"/>
      <c r="F34" s="63" t="s">
        <v>193</v>
      </c>
      <c r="G34" s="63" t="s">
        <v>1330</v>
      </c>
      <c r="H34" s="64"/>
      <c r="I34" s="14" t="str">
        <f t="shared" si="4"/>
        <v>* group[=].element[+].code = #PatientSummary.body.alerts.alert.description</v>
      </c>
      <c r="J34" s="14" t="str">
        <f t="shared" si="5"/>
        <v>* group[=].element[=].display = ##34#A.2.1.2.1 Healthcare alert description##34#</v>
      </c>
      <c r="K34" s="14" t="str">
        <f t="shared" si="6"/>
        <v>* group[=].element[=].target.code = #Composition.section:sectionAlert.text</v>
      </c>
      <c r="L34" s="14" t="str">
        <f t="shared" si="7"/>
        <v>* group[=].element[=].target.display = ##34###34#</v>
      </c>
      <c r="M34" s="14" t="str">
        <f t="shared" si="8"/>
        <v>* group[=].element[=].target.equivalence = #relatedto</v>
      </c>
      <c r="N34" s="14" t="str">
        <f t="shared" si="9"/>
        <v>* group[=].element[=].target.comment = ##34#Common textual descirption##34#</v>
      </c>
      <c r="P34" s="9">
        <v>20</v>
      </c>
      <c r="Q34" s="9">
        <f t="shared" si="10"/>
        <v>3</v>
      </c>
      <c r="R34" s="9">
        <f t="shared" si="11"/>
        <v>2</v>
      </c>
      <c r="S34" s="14" t="str" cm="1">
        <f t="array" ref="S34">INDEX('PS-ConceptMap-1'!$I$15:$N$286,Q34+1,R34)</f>
        <v>* group[=].element[=].display = ##34#A.1.3.1  Insurance number##34#</v>
      </c>
    </row>
    <row r="35" spans="1:19" ht="73.75" x14ac:dyDescent="0.75">
      <c r="B35" s="107" t="str">
        <f>PS!B26</f>
        <v>body.alerts.alert.description</v>
      </c>
      <c r="C35" s="107" t="str">
        <f>PS!C26</f>
        <v>A.2.1.2.1 Healthcare alert description</v>
      </c>
      <c r="D35" s="14" t="s">
        <v>962</v>
      </c>
      <c r="E35" s="14"/>
      <c r="F35" s="63" t="s">
        <v>193</v>
      </c>
      <c r="G35" s="63" t="s">
        <v>1331</v>
      </c>
      <c r="H35" s="64"/>
      <c r="I35" s="14" t="str">
        <f t="shared" si="4"/>
        <v>* group[=].element[+].code = #PatientSummary.body.alerts.alert.description</v>
      </c>
      <c r="J35" s="14" t="str">
        <f t="shared" si="5"/>
        <v>* group[=].element[=].display = ##34#A.2.1.2.1 Healthcare alert description##34#</v>
      </c>
      <c r="K35" s="14" t="str">
        <f t="shared" si="6"/>
        <v>* group[=].element[=].target.code = #Composition.section:sectionAlert.entry.code.text</v>
      </c>
      <c r="L35" s="14" t="str">
        <f t="shared" si="7"/>
        <v>* group[=].element[=].target.display = ##34###34#</v>
      </c>
      <c r="M35" s="14" t="str">
        <f t="shared" si="8"/>
        <v>* group[=].element[=].target.equivalence = #relatedto</v>
      </c>
      <c r="N35" s="14" t="str">
        <f t="shared" si="9"/>
        <v>* group[=].element[=].target.comment = ##34#entry level description##34#</v>
      </c>
      <c r="P35" s="9">
        <v>21</v>
      </c>
      <c r="Q35" s="9">
        <f t="shared" si="10"/>
        <v>3</v>
      </c>
      <c r="R35" s="9">
        <f t="shared" si="11"/>
        <v>3</v>
      </c>
      <c r="S35" s="14" t="str" cm="1">
        <f t="array" ref="S35">INDEX('PS-ConceptMap-1'!$I$15:$N$286,Q35+1,R35)</f>
        <v>* group[=].element[=].target.code = #Composition.subject.identifier</v>
      </c>
    </row>
    <row r="36" spans="1:19" ht="44.25" x14ac:dyDescent="0.75">
      <c r="B36" s="9" t="str">
        <f>PS!B27</f>
        <v>body.medicalHistory</v>
      </c>
      <c r="C36" s="9" t="str">
        <f>PS!C27</f>
        <v>A.2.2 Medical history</v>
      </c>
      <c r="D36" s="14" t="s">
        <v>857</v>
      </c>
      <c r="E36" s="14"/>
      <c r="F36" s="63" t="s">
        <v>193</v>
      </c>
      <c r="G36" s="63"/>
      <c r="H36" s="64"/>
      <c r="I36" s="14" t="str">
        <f t="shared" si="4"/>
        <v>* group[=].element[+].code = #PatientSummary.body.medicalHistory</v>
      </c>
      <c r="J36" s="14" t="str">
        <f t="shared" si="5"/>
        <v>* group[=].element[=].display = ##34#A.2.2 Medical history##34#</v>
      </c>
      <c r="K36" s="14" t="str">
        <f t="shared" si="6"/>
        <v>* group[=].element[=].target.code = #Composition.section</v>
      </c>
      <c r="L36" s="14" t="str">
        <f t="shared" si="7"/>
        <v>* group[=].element[=].target.display = ##34###34#</v>
      </c>
      <c r="M36" s="14" t="str">
        <f t="shared" si="8"/>
        <v>* group[=].element[=].target.equivalence = #relatedto</v>
      </c>
      <c r="N36" s="14" t="str">
        <f t="shared" si="9"/>
        <v/>
      </c>
      <c r="P36" s="9">
        <v>22</v>
      </c>
      <c r="Q36" s="9">
        <f t="shared" si="10"/>
        <v>3</v>
      </c>
      <c r="R36" s="9">
        <f t="shared" si="11"/>
        <v>4</v>
      </c>
      <c r="S36" s="14" t="str" cm="1">
        <f t="array" ref="S36">INDEX('PS-ConceptMap-1'!$I$15:$N$286,Q36+1,R36)</f>
        <v>* group[=].element[=].target.display = ##34###34#</v>
      </c>
    </row>
    <row r="37" spans="1:19" ht="73.75" x14ac:dyDescent="0.75">
      <c r="B37" s="9" t="str">
        <f>PS!B28</f>
        <v>body.medicalHistory.vaccination</v>
      </c>
      <c r="C37" s="9" t="str">
        <f>PS!C28</f>
        <v>A.2.2.1 Vaccination/ prophylaxis information</v>
      </c>
      <c r="D37" s="14" t="s">
        <v>1332</v>
      </c>
      <c r="E37" s="14"/>
      <c r="F37" s="63" t="s">
        <v>192</v>
      </c>
      <c r="G37" s="70"/>
      <c r="H37" s="64"/>
      <c r="I37" s="14" t="str">
        <f t="shared" si="4"/>
        <v>* group[=].element[+].code = #PatientSummary.body.medicalHistory.vaccination</v>
      </c>
      <c r="J37" s="14" t="str">
        <f t="shared" si="5"/>
        <v>* group[=].element[=].display = ##34#A.2.2.1 Vaccination/ prophylaxis information##34#</v>
      </c>
      <c r="K37" s="14" t="str">
        <f t="shared" si="6"/>
        <v>* group[=].element[=].target.code = #Composition.section:sectionImmunizations</v>
      </c>
      <c r="L37" s="14" t="str">
        <f t="shared" si="7"/>
        <v>* group[=].element[=].target.display = ##34###34#</v>
      </c>
      <c r="M37" s="14" t="str">
        <f t="shared" si="8"/>
        <v>* group[=].element[=].target.equivalence = #equivalent</v>
      </c>
      <c r="N37" s="14" t="str">
        <f t="shared" si="9"/>
        <v/>
      </c>
      <c r="P37" s="9">
        <v>23</v>
      </c>
      <c r="Q37" s="9">
        <f t="shared" si="10"/>
        <v>3</v>
      </c>
      <c r="R37" s="9">
        <f t="shared" si="11"/>
        <v>5</v>
      </c>
      <c r="S37" s="14" t="str" cm="1">
        <f t="array" ref="S37">INDEX('PS-ConceptMap-1'!$I$15:$N$286,Q37+1,R37)</f>
        <v>* group[=].element[=].target.equivalence = #relatedto</v>
      </c>
    </row>
    <row r="38" spans="1:19" ht="73.75" customHeight="1" x14ac:dyDescent="0.75">
      <c r="B38" s="9" t="str">
        <f>PS!B29</f>
        <v>body.medicalHistory.inactiveProblem</v>
      </c>
      <c r="C38" s="9" t="str">
        <f>PS!C29</f>
        <v>A.2.2.2 Resolved, closed or inactive problems</v>
      </c>
      <c r="D38" s="14" t="s">
        <v>1333</v>
      </c>
      <c r="E38" s="14"/>
      <c r="F38" s="63" t="s">
        <v>192</v>
      </c>
      <c r="G38" s="63"/>
      <c r="H38" s="64"/>
      <c r="I38" s="14" t="str">
        <f t="shared" si="4"/>
        <v>* group[=].element[+].code = #PatientSummary.body.medicalHistory.inactiveProblem</v>
      </c>
      <c r="J38" s="14" t="str">
        <f t="shared" si="5"/>
        <v>* group[=].element[=].display = ##34#A.2.2.2 Resolved, closed or inactive problems##34#</v>
      </c>
      <c r="K38" s="14" t="str">
        <f t="shared" si="6"/>
        <v>* group[=].element[=].target.code = #Composition.section:sectionPastIllnessHx</v>
      </c>
      <c r="L38" s="14" t="str">
        <f t="shared" si="7"/>
        <v>* group[=].element[=].target.display = ##34###34#</v>
      </c>
      <c r="M38" s="14" t="str">
        <f t="shared" si="8"/>
        <v>* group[=].element[=].target.equivalence = #equivalent</v>
      </c>
      <c r="N38" s="14" t="str">
        <f t="shared" si="9"/>
        <v/>
      </c>
      <c r="P38" s="9">
        <v>24</v>
      </c>
      <c r="Q38" s="9">
        <f t="shared" si="10"/>
        <v>3</v>
      </c>
      <c r="R38" s="9">
        <f t="shared" si="11"/>
        <v>6</v>
      </c>
      <c r="S38" s="14" t="str" cm="1">
        <f t="array" ref="S38">INDEX('PS-ConceptMap-1'!$I$15:$N$286,Q38+1,R38)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39" spans="1:19" ht="44.25" x14ac:dyDescent="0.75">
      <c r="B39" s="9" t="str">
        <f>PS!B30</f>
        <v>body.medicalHistory.anamnesis</v>
      </c>
      <c r="C39" s="9" t="str">
        <f>PS!C30</f>
        <v>A.2.2.3 Medical history</v>
      </c>
      <c r="D39" s="14" t="s">
        <v>857</v>
      </c>
      <c r="E39" s="14"/>
      <c r="F39" s="63" t="s">
        <v>193</v>
      </c>
      <c r="G39" s="63"/>
      <c r="H39" s="64"/>
      <c r="I39" s="14" t="str">
        <f t="shared" si="4"/>
        <v>* group[=].element[+].code = #PatientSummary.body.medicalHistory.anamnesis</v>
      </c>
      <c r="J39" s="14" t="str">
        <f t="shared" si="5"/>
        <v>* group[=].element[=].display = ##34#A.2.2.3 Medical history##34#</v>
      </c>
      <c r="K39" s="14" t="str">
        <f t="shared" si="6"/>
        <v>* group[=].element[=].target.code = #Composition.section</v>
      </c>
      <c r="L39" s="14" t="str">
        <f t="shared" si="7"/>
        <v>* group[=].element[=].target.display = ##34###34#</v>
      </c>
      <c r="M39" s="14" t="str">
        <f t="shared" si="8"/>
        <v>* group[=].element[=].target.equivalence = #relatedto</v>
      </c>
      <c r="N39" s="14" t="str">
        <f t="shared" si="9"/>
        <v/>
      </c>
      <c r="P39" s="9">
        <v>25</v>
      </c>
      <c r="Q39" s="9">
        <f t="shared" si="10"/>
        <v>4</v>
      </c>
      <c r="R39" s="9">
        <f t="shared" si="11"/>
        <v>1</v>
      </c>
      <c r="S39" s="14" t="str" cm="1">
        <f t="array" ref="S39">INDEX('PS-ConceptMap-1'!$I$15:$N$286,Q39+1,R39)</f>
        <v>* group[=].element[+].code = #PatientSummary.header.documentData</v>
      </c>
    </row>
    <row r="40" spans="1:19" ht="73.75" x14ac:dyDescent="0.75">
      <c r="B40" s="9" t="str">
        <f>PS!B31</f>
        <v>body.medicalHistory.anamnesis.details</v>
      </c>
      <c r="C40" s="9" t="str">
        <f>PS!C31</f>
        <v>A.2.2.3.1 Medical history</v>
      </c>
      <c r="D40" s="14" t="s">
        <v>1161</v>
      </c>
      <c r="E40" s="14"/>
      <c r="F40" s="63" t="s">
        <v>193</v>
      </c>
      <c r="G40" s="63"/>
      <c r="H40" s="64"/>
      <c r="I40" s="14" t="str">
        <f t="shared" si="4"/>
        <v>* group[=].element[+].code = #PatientSummary.body.medicalHistory.anamnesis.details</v>
      </c>
      <c r="J40" s="14" t="str">
        <f t="shared" si="5"/>
        <v>* group[=].element[=].display = ##34#A.2.2.3.1 Medical history##34#</v>
      </c>
      <c r="K40" s="14" t="str">
        <f t="shared" si="6"/>
        <v>* group[=].element[=].target.code = #Composition.section:section:sectionPatientHx</v>
      </c>
      <c r="L40" s="14" t="str">
        <f t="shared" si="7"/>
        <v>* group[=].element[=].target.display = ##34###34#</v>
      </c>
      <c r="M40" s="14" t="str">
        <f t="shared" si="8"/>
        <v>* group[=].element[=].target.equivalence = #relatedto</v>
      </c>
      <c r="N40" s="14" t="str">
        <f t="shared" si="9"/>
        <v/>
      </c>
      <c r="P40" s="9">
        <v>26</v>
      </c>
      <c r="Q40" s="9">
        <f t="shared" si="10"/>
        <v>4</v>
      </c>
      <c r="R40" s="9">
        <f t="shared" si="11"/>
        <v>2</v>
      </c>
      <c r="S40" s="14" t="str" cm="1">
        <f t="array" ref="S40">INDEX('PS-ConceptMap-1'!$I$15:$N$286,Q40+1,R40)</f>
        <v>* group[=].element[=].display = ##34#A.1.4 Document data##34#</v>
      </c>
    </row>
    <row r="41" spans="1:19" ht="44.25" x14ac:dyDescent="0.75">
      <c r="B41" s="9" t="str">
        <f>PS!B32</f>
        <v>body.medicalProblems</v>
      </c>
      <c r="C41" s="9" t="str">
        <f>PS!C32</f>
        <v>A.2.3 Medical problems</v>
      </c>
      <c r="D41" s="14" t="s">
        <v>857</v>
      </c>
      <c r="E41" s="14"/>
      <c r="F41" s="63" t="s">
        <v>193</v>
      </c>
      <c r="G41" s="63"/>
      <c r="H41" s="64"/>
      <c r="I41" s="14" t="str">
        <f t="shared" si="4"/>
        <v>* group[=].element[+].code = #PatientSummary.body.medicalProblems</v>
      </c>
      <c r="J41" s="14" t="str">
        <f t="shared" si="5"/>
        <v>* group[=].element[=].display = ##34#A.2.3 Medical problems##34#</v>
      </c>
      <c r="K41" s="14" t="str">
        <f t="shared" si="6"/>
        <v>* group[=].element[=].target.code = #Composition.section</v>
      </c>
      <c r="L41" s="14" t="str">
        <f t="shared" si="7"/>
        <v>* group[=].element[=].target.display = ##34###34#</v>
      </c>
      <c r="M41" s="14" t="str">
        <f t="shared" si="8"/>
        <v>* group[=].element[=].target.equivalence = #relatedto</v>
      </c>
      <c r="N41" s="14" t="str">
        <f t="shared" si="9"/>
        <v/>
      </c>
      <c r="P41" s="9">
        <v>27</v>
      </c>
      <c r="Q41" s="9">
        <f t="shared" si="10"/>
        <v>4</v>
      </c>
      <c r="R41" s="9">
        <f t="shared" si="11"/>
        <v>3</v>
      </c>
      <c r="S41" s="14" t="str" cm="1">
        <f t="array" ref="S41">INDEX('PS-ConceptMap-1'!$I$15:$N$286,Q41+1,R41)</f>
        <v>* group[=].element[=].target.code = #Composition</v>
      </c>
    </row>
    <row r="42" spans="1:19" ht="73.75" x14ac:dyDescent="0.75">
      <c r="B42" s="9" t="str">
        <f>PS!B33</f>
        <v>body.medicalProblems.problems</v>
      </c>
      <c r="C42" s="9" t="str">
        <f>PS!C33</f>
        <v>A.2.3.1 Current problems</v>
      </c>
      <c r="D42" s="14" t="s">
        <v>1152</v>
      </c>
      <c r="E42" s="14"/>
      <c r="F42" s="63" t="s">
        <v>192</v>
      </c>
      <c r="G42" s="63"/>
      <c r="H42" s="64"/>
      <c r="I42" s="14" t="str">
        <f t="shared" si="4"/>
        <v>* group[=].element[+].code = #PatientSummary.body.medicalProblems.problems</v>
      </c>
      <c r="J42" s="14" t="str">
        <f t="shared" si="5"/>
        <v>* group[=].element[=].display = ##34#A.2.3.1 Current problems##34#</v>
      </c>
      <c r="K42" s="14" t="str">
        <f t="shared" si="6"/>
        <v>* group[=].element[=].target.code = #Composition.section:section:sectionProblems</v>
      </c>
      <c r="L42" s="14" t="str">
        <f t="shared" si="7"/>
        <v>* group[=].element[=].target.display = ##34###34#</v>
      </c>
      <c r="M42" s="14" t="str">
        <f t="shared" si="8"/>
        <v>* group[=].element[=].target.equivalence = #equivalent</v>
      </c>
      <c r="N42" s="14" t="str">
        <f t="shared" si="9"/>
        <v/>
      </c>
      <c r="P42" s="9">
        <v>28</v>
      </c>
      <c r="Q42" s="9">
        <f t="shared" si="10"/>
        <v>4</v>
      </c>
      <c r="R42" s="9">
        <f t="shared" si="11"/>
        <v>4</v>
      </c>
      <c r="S42" s="14" t="str" cm="1">
        <f t="array" ref="S42">INDEX('PS-ConceptMap-1'!$I$15:$N$286,Q42+1,R42)</f>
        <v>* group[=].element[=].target.display = ##34###34#</v>
      </c>
    </row>
    <row r="43" spans="1:19" ht="73.75" customHeight="1" x14ac:dyDescent="0.75">
      <c r="B43" s="9" t="str">
        <f>PS!B34</f>
        <v>body.medicalProblems.medicalDevices</v>
      </c>
      <c r="C43" s="9" t="str">
        <f>PS!C34</f>
        <v>A.2.3.2 Medical devices and implants</v>
      </c>
      <c r="D43" s="14" t="s">
        <v>1314</v>
      </c>
      <c r="E43" s="14"/>
      <c r="F43" s="63" t="s">
        <v>192</v>
      </c>
      <c r="G43" s="63"/>
      <c r="H43" s="64"/>
      <c r="I43" s="14" t="str">
        <f t="shared" si="4"/>
        <v>* group[=].element[+].code = #PatientSummary.body.medicalProblems.medicalDevices</v>
      </c>
      <c r="J43" s="14" t="str">
        <f t="shared" si="5"/>
        <v>* group[=].element[=].display = ##34#A.2.3.2 Medical devices and implants##34#</v>
      </c>
      <c r="K43" s="14" t="str">
        <f t="shared" si="6"/>
        <v>* group[=].element[=].target.code = #Composition.section:sectionMedicalDevices</v>
      </c>
      <c r="L43" s="14" t="str">
        <f t="shared" si="7"/>
        <v>* group[=].element[=].target.display = ##34###34#</v>
      </c>
      <c r="M43" s="14" t="str">
        <f t="shared" si="8"/>
        <v>* group[=].element[=].target.equivalence = #equivalent</v>
      </c>
      <c r="N43" s="14" t="str">
        <f t="shared" si="9"/>
        <v/>
      </c>
      <c r="P43" s="9">
        <v>29</v>
      </c>
      <c r="Q43" s="9">
        <f t="shared" si="10"/>
        <v>4</v>
      </c>
      <c r="R43" s="9">
        <f t="shared" si="11"/>
        <v>5</v>
      </c>
      <c r="S43" s="14" t="str" cm="1">
        <f t="array" ref="S43">INDEX('PS-ConceptMap-1'!$I$15:$N$286,Q43+1,R43)</f>
        <v>* group[=].element[=].target.equivalence = #relatedto</v>
      </c>
    </row>
    <row r="44" spans="1:19" ht="73.75" customHeight="1" x14ac:dyDescent="0.75">
      <c r="B44" s="9" t="str">
        <f>PS!B35</f>
        <v>body.medicalProblems.procedures</v>
      </c>
      <c r="C44" s="9" t="str">
        <f>PS!C35</f>
        <v>A.2.3.3 Procedures</v>
      </c>
      <c r="D44" s="14" t="s">
        <v>860</v>
      </c>
      <c r="E44" s="14"/>
      <c r="F44" s="63" t="s">
        <v>192</v>
      </c>
      <c r="G44" s="14"/>
      <c r="H44" s="64"/>
      <c r="I44" s="14" t="str">
        <f t="shared" si="4"/>
        <v>* group[=].element[+].code = #PatientSummary.body.medicalProblems.procedures</v>
      </c>
      <c r="J44" s="14" t="str">
        <f t="shared" si="5"/>
        <v>* group[=].element[=].display = ##34#A.2.3.3 Procedures##34#</v>
      </c>
      <c r="K44" s="14" t="str">
        <f t="shared" si="6"/>
        <v>* group[=].element[=].target.code = #Composition.section:sectionProceduresHx</v>
      </c>
      <c r="L44" s="14" t="str">
        <f t="shared" si="7"/>
        <v>* group[=].element[=].target.display = ##34###34#</v>
      </c>
      <c r="M44" s="14" t="str">
        <f t="shared" si="8"/>
        <v>* group[=].element[=].target.equivalence = #equivalent</v>
      </c>
      <c r="N44" s="14" t="str">
        <f t="shared" si="9"/>
        <v/>
      </c>
      <c r="P44" s="9">
        <v>30</v>
      </c>
      <c r="Q44" s="9">
        <f t="shared" si="10"/>
        <v>4</v>
      </c>
      <c r="R44" s="9">
        <f t="shared" si="11"/>
        <v>6</v>
      </c>
      <c r="S44" s="14" t="str" cm="1">
        <f t="array" ref="S44">INDEX('PS-ConceptMap-1'!$I$15:$N$286,Q44+1,R44)</f>
        <v/>
      </c>
    </row>
    <row r="45" spans="1:19" s="1" customFormat="1" ht="73.75" x14ac:dyDescent="0.75">
      <c r="A45"/>
      <c r="B45" s="9" t="str">
        <f>PS!B36</f>
        <v>body.medicalProblems.functionalStatus</v>
      </c>
      <c r="C45" s="9" t="str">
        <f>PS!C36</f>
        <v>A.2.3.4 Functional status</v>
      </c>
      <c r="D45" s="14" t="s">
        <v>859</v>
      </c>
      <c r="E45" s="14"/>
      <c r="F45" s="63" t="s">
        <v>192</v>
      </c>
      <c r="G45" s="63"/>
      <c r="H45" s="64"/>
      <c r="I45" s="14" t="str">
        <f t="shared" si="4"/>
        <v>* group[=].element[+].code = #PatientSummary.body.medicalProblems.functionalStatus</v>
      </c>
      <c r="J45" s="14" t="str">
        <f t="shared" si="5"/>
        <v>* group[=].element[=].display = ##34#A.2.3.4 Functional status##34#</v>
      </c>
      <c r="K45" s="14" t="str">
        <f t="shared" si="6"/>
        <v>* group[=].element[=].target.code = #Composition.section:sectionFunctionalStatus</v>
      </c>
      <c r="L45" s="14" t="str">
        <f t="shared" si="7"/>
        <v>* group[=].element[=].target.display = ##34###34#</v>
      </c>
      <c r="M45" s="14" t="str">
        <f t="shared" si="8"/>
        <v>* group[=].element[=].target.equivalence = #equivalent</v>
      </c>
      <c r="N45" s="14" t="str">
        <f t="shared" si="9"/>
        <v/>
      </c>
      <c r="P45" s="9">
        <v>31</v>
      </c>
      <c r="Q45" s="9">
        <f t="shared" si="10"/>
        <v>5</v>
      </c>
      <c r="R45" s="9">
        <f t="shared" si="11"/>
        <v>1</v>
      </c>
      <c r="S45" s="14" t="str" cm="1">
        <f t="array" ref="S45">INDEX('PS-ConceptMap-1'!$I$15:$N$286,Q45+1,R45)</f>
        <v>* group[=].element[+].code = #PatientSummary.header.documentData.created</v>
      </c>
    </row>
    <row r="46" spans="1:19" s="1" customFormat="1" ht="73.75" x14ac:dyDescent="0.75">
      <c r="A46"/>
      <c r="B46" s="9" t="str">
        <f>PS!B37</f>
        <v>body.medicationSummary</v>
      </c>
      <c r="C46" s="9" t="str">
        <f>PS!C37</f>
        <v>A.2.4 Medication summary</v>
      </c>
      <c r="D46" s="14" t="s">
        <v>861</v>
      </c>
      <c r="E46" s="14"/>
      <c r="F46" s="63" t="s">
        <v>192</v>
      </c>
      <c r="G46" s="63"/>
      <c r="H46" s="64"/>
      <c r="I46" s="14" t="str">
        <f t="shared" si="4"/>
        <v>* group[=].element[+].code = #PatientSummary.body.medicationSummary</v>
      </c>
      <c r="J46" s="14" t="str">
        <f t="shared" si="5"/>
        <v>* group[=].element[=].display = ##34#A.2.4 Medication summary##34#</v>
      </c>
      <c r="K46" s="14" t="str">
        <f t="shared" si="6"/>
        <v>* group[=].element[=].target.code = #Composition.section:sectionMedications</v>
      </c>
      <c r="L46" s="14" t="str">
        <f t="shared" si="7"/>
        <v>* group[=].element[=].target.display = ##34###34#</v>
      </c>
      <c r="M46" s="14" t="str">
        <f t="shared" si="8"/>
        <v>* group[=].element[=].target.equivalence = #equivalent</v>
      </c>
      <c r="N46" s="14" t="str">
        <f t="shared" si="9"/>
        <v/>
      </c>
      <c r="P46" s="9">
        <v>32</v>
      </c>
      <c r="Q46" s="9">
        <f t="shared" si="10"/>
        <v>5</v>
      </c>
      <c r="R46" s="9">
        <f t="shared" si="11"/>
        <v>2</v>
      </c>
      <c r="S46" s="14" t="str" cm="1">
        <f t="array" ref="S46">INDEX('PS-ConceptMap-1'!$I$15:$N$286,Q46+1,R46)</f>
        <v>* group[=].element[=].display = ##34#A.1.4.1 Date created##34#</v>
      </c>
    </row>
    <row r="47" spans="1:19" s="1" customFormat="1" ht="73.75" x14ac:dyDescent="0.75">
      <c r="A47"/>
      <c r="B47" s="9" t="str">
        <f>PS!B38</f>
        <v>body.medicationSummary.medication</v>
      </c>
      <c r="C47" s="9" t="str">
        <f>PS!C38</f>
        <v>A.2.4.1 Current and relevant past medicines</v>
      </c>
      <c r="D47" s="14" t="s">
        <v>1056</v>
      </c>
      <c r="E47" s="14"/>
      <c r="F47" s="63" t="s">
        <v>192</v>
      </c>
      <c r="G47" s="63"/>
      <c r="H47" s="64"/>
      <c r="I47" s="14" t="str">
        <f t="shared" si="4"/>
        <v>* group[=].element[+].code = #PatientSummary.body.medicationSummary.medication</v>
      </c>
      <c r="J47" s="14" t="str">
        <f t="shared" si="5"/>
        <v>* group[=].element[=].display = ##34#A.2.4.1 Current and relevant past medicines##34#</v>
      </c>
      <c r="K47" s="14" t="str">
        <f t="shared" si="6"/>
        <v>* group[=].element[=].target.code = #Composition.section:sectionMedications.entry</v>
      </c>
      <c r="L47" s="14" t="str">
        <f t="shared" si="7"/>
        <v>* group[=].element[=].target.display = ##34###34#</v>
      </c>
      <c r="M47" s="14" t="str">
        <f t="shared" si="8"/>
        <v>* group[=].element[=].target.equivalence = #equivalent</v>
      </c>
      <c r="N47" s="14" t="str">
        <f t="shared" si="9"/>
        <v/>
      </c>
      <c r="P47" s="9">
        <v>33</v>
      </c>
      <c r="Q47" s="9">
        <f t="shared" si="10"/>
        <v>5</v>
      </c>
      <c r="R47" s="9">
        <f t="shared" si="11"/>
        <v>3</v>
      </c>
      <c r="S47" s="14" t="str" cm="1">
        <f t="array" ref="S47">INDEX('PS-ConceptMap-1'!$I$15:$N$286,Q47+1,R47)</f>
        <v>* group[=].element[=].target.code = #Composition.date</v>
      </c>
    </row>
    <row r="48" spans="1:19" s="1" customFormat="1" ht="73.75" x14ac:dyDescent="0.75">
      <c r="A48"/>
      <c r="B48" s="9" t="str">
        <f>PS!B39</f>
        <v>body.socialHistory</v>
      </c>
      <c r="C48" s="9" t="str">
        <f>PS!C39</f>
        <v>A.2.5 Social history</v>
      </c>
      <c r="D48" s="14" t="s">
        <v>862</v>
      </c>
      <c r="E48" s="14"/>
      <c r="F48" s="63" t="s">
        <v>192</v>
      </c>
      <c r="G48" s="63"/>
      <c r="H48" s="64"/>
      <c r="I48" s="14" t="str">
        <f t="shared" si="4"/>
        <v>* group[=].element[+].code = #PatientSummary.body.socialHistory</v>
      </c>
      <c r="J48" s="14" t="str">
        <f t="shared" si="5"/>
        <v>* group[=].element[=].display = ##34#A.2.5 Social history##34#</v>
      </c>
      <c r="K48" s="14" t="str">
        <f t="shared" si="6"/>
        <v>* group[=].element[=].target.code = #Composition.section:sectionSocialHistory</v>
      </c>
      <c r="L48" s="14" t="str">
        <f t="shared" si="7"/>
        <v>* group[=].element[=].target.display = ##34###34#</v>
      </c>
      <c r="M48" s="14" t="str">
        <f t="shared" si="8"/>
        <v>* group[=].element[=].target.equivalence = #equivalent</v>
      </c>
      <c r="N48" s="14" t="str">
        <f t="shared" si="9"/>
        <v/>
      </c>
      <c r="P48" s="9">
        <v>34</v>
      </c>
      <c r="Q48" s="9">
        <f t="shared" si="10"/>
        <v>5</v>
      </c>
      <c r="R48" s="9">
        <f t="shared" si="11"/>
        <v>4</v>
      </c>
      <c r="S48" s="14" t="str" cm="1">
        <f t="array" ref="S48">INDEX('PS-ConceptMap-1'!$I$15:$N$286,Q48+1,R48)</f>
        <v>* group[=].element[=].target.display = ##34###34#</v>
      </c>
    </row>
    <row r="49" spans="1:19" s="1" customFormat="1" ht="73.75" x14ac:dyDescent="0.75">
      <c r="A49"/>
      <c r="B49" s="9" t="str">
        <f>PS!B40</f>
        <v>body.socialHistory.observation</v>
      </c>
      <c r="C49" s="9" t="str">
        <f>PS!C40</f>
        <v>A.2.5.1 Social history observations related to health</v>
      </c>
      <c r="D49" s="14" t="s">
        <v>1242</v>
      </c>
      <c r="E49" s="14"/>
      <c r="F49" s="63" t="s">
        <v>192</v>
      </c>
      <c r="G49" s="63"/>
      <c r="H49" s="64"/>
      <c r="I49" s="14" t="str">
        <f t="shared" si="4"/>
        <v>* group[=].element[+].code = #PatientSummary.body.socialHistory.observation</v>
      </c>
      <c r="J49" s="14" t="str">
        <f t="shared" si="5"/>
        <v>* group[=].element[=].display = ##34#A.2.5.1 Social history observations related to health##34#</v>
      </c>
      <c r="K49" s="14" t="str">
        <f t="shared" si="6"/>
        <v>* group[=].element[=].target.code = #Composition.section:sectionSocialHistory.entry</v>
      </c>
      <c r="L49" s="14" t="str">
        <f t="shared" si="7"/>
        <v>* group[=].element[=].target.display = ##34###34#</v>
      </c>
      <c r="M49" s="14" t="str">
        <f t="shared" si="8"/>
        <v>* group[=].element[=].target.equivalence = #equivalent</v>
      </c>
      <c r="N49" s="14" t="str">
        <f t="shared" si="9"/>
        <v/>
      </c>
      <c r="P49" s="9">
        <v>35</v>
      </c>
      <c r="Q49" s="9">
        <f t="shared" si="10"/>
        <v>5</v>
      </c>
      <c r="R49" s="9">
        <f t="shared" si="11"/>
        <v>5</v>
      </c>
      <c r="S49" s="14" t="str" cm="1">
        <f t="array" ref="S49">INDEX('PS-ConceptMap-1'!$I$15:$N$286,Q49+1,R49)</f>
        <v>* group[=].element[=].target.equivalence = #relatedto</v>
      </c>
    </row>
    <row r="50" spans="1:19" s="1" customFormat="1" ht="73.75" x14ac:dyDescent="0.75">
      <c r="A50"/>
      <c r="B50" s="9" t="str">
        <f>PS!B41</f>
        <v>body.socialHistory.referenceRange</v>
      </c>
      <c r="C50" s="9" t="str">
        <f>PS!C41</f>
        <v>A.2.5.2 Reference date range</v>
      </c>
      <c r="D50" s="14" t="s">
        <v>1243</v>
      </c>
      <c r="E50" s="14"/>
      <c r="F50" s="63" t="s">
        <v>192</v>
      </c>
      <c r="G50" s="63"/>
      <c r="H50" s="64"/>
      <c r="I50" s="14" t="str">
        <f t="shared" si="4"/>
        <v>* group[=].element[+].code = #PatientSummary.body.socialHistory.referenceRange</v>
      </c>
      <c r="J50" s="14" t="str">
        <f t="shared" si="5"/>
        <v>* group[=].element[=].display = ##34#A.2.5.2 Reference date range##34#</v>
      </c>
      <c r="K50" s="14" t="str">
        <f t="shared" si="6"/>
        <v>* group[=].element[=].target.code = #Composition.section:sectionSocialHistory.entry.effective[x]</v>
      </c>
      <c r="L50" s="14" t="str">
        <f t="shared" si="7"/>
        <v>* group[=].element[=].target.display = ##34###34#</v>
      </c>
      <c r="M50" s="14" t="str">
        <f t="shared" si="8"/>
        <v>* group[=].element[=].target.equivalence = #equivalent</v>
      </c>
      <c r="N50" s="14" t="str">
        <f t="shared" si="9"/>
        <v/>
      </c>
      <c r="P50" s="9">
        <v>36</v>
      </c>
      <c r="Q50" s="9">
        <f t="shared" si="10"/>
        <v>5</v>
      </c>
      <c r="R50" s="9">
        <f t="shared" si="11"/>
        <v>6</v>
      </c>
      <c r="S50" s="14" t="str" cm="1">
        <f t="array" ref="S50">INDEX('PS-ConceptMap-1'!$I$15:$N$286,Q50+1,R50)</f>
        <v/>
      </c>
    </row>
    <row r="51" spans="1:19" s="1" customFormat="1" ht="73.75" x14ac:dyDescent="0.75">
      <c r="A51"/>
      <c r="B51" s="9" t="str">
        <f>PS!B42</f>
        <v>body.pregnancyHistory</v>
      </c>
      <c r="C51" s="9" t="str">
        <f>PS!C42</f>
        <v>A.2.6 Pregnancy history</v>
      </c>
      <c r="D51" s="14" t="s">
        <v>863</v>
      </c>
      <c r="E51" s="14"/>
      <c r="F51" s="63" t="s">
        <v>192</v>
      </c>
      <c r="G51" s="63"/>
      <c r="H51" s="64"/>
      <c r="I51" s="14" t="str">
        <f t="shared" si="4"/>
        <v>* group[=].element[+].code = #PatientSummary.body.pregnancyHistory</v>
      </c>
      <c r="J51" s="14" t="str">
        <f t="shared" si="5"/>
        <v>* group[=].element[=].display = ##34#A.2.6 Pregnancy history##34#</v>
      </c>
      <c r="K51" s="14" t="str">
        <f t="shared" si="6"/>
        <v>* group[=].element[=].target.code = #Composition.section:sectionPregnancyHx</v>
      </c>
      <c r="L51" s="14" t="str">
        <f t="shared" si="7"/>
        <v>* group[=].element[=].target.display = ##34###34#</v>
      </c>
      <c r="M51" s="14" t="str">
        <f t="shared" si="8"/>
        <v>* group[=].element[=].target.equivalence = #equivalent</v>
      </c>
      <c r="N51" s="14" t="str">
        <f t="shared" si="9"/>
        <v/>
      </c>
      <c r="P51" s="9">
        <v>37</v>
      </c>
      <c r="Q51" s="9">
        <f t="shared" si="10"/>
        <v>6</v>
      </c>
      <c r="R51" s="9">
        <f t="shared" si="11"/>
        <v>1</v>
      </c>
      <c r="S51" s="14" t="str" cm="1">
        <f t="array" ref="S51">INDEX('PS-ConceptMap-1'!$I$15:$N$286,Q51+1,R51)</f>
        <v>* group[=].element[+].code = #PatientSummary.header.documentData.lastUpdate</v>
      </c>
    </row>
    <row r="52" spans="1:19" s="1" customFormat="1" ht="44.25" x14ac:dyDescent="0.75">
      <c r="A52"/>
      <c r="B52" s="9" t="str">
        <f>PS!B43</f>
        <v>body.patientData</v>
      </c>
      <c r="C52" s="9" t="str">
        <f>PS!C43</f>
        <v>A.2.7 Patient provided data</v>
      </c>
      <c r="D52" s="14" t="s">
        <v>857</v>
      </c>
      <c r="E52" s="14"/>
      <c r="F52" s="63" t="s">
        <v>193</v>
      </c>
      <c r="G52" s="63"/>
      <c r="H52" s="64"/>
      <c r="I52" s="14" t="str">
        <f t="shared" si="4"/>
        <v>* group[=].element[+].code = #PatientSummary.body.patientData</v>
      </c>
      <c r="J52" s="14" t="str">
        <f t="shared" si="5"/>
        <v>* group[=].element[=].display = ##34#A.2.7 Patient provided data##34#</v>
      </c>
      <c r="K52" s="14" t="str">
        <f t="shared" si="6"/>
        <v>* group[=].element[=].target.code = #Composition.section</v>
      </c>
      <c r="L52" s="14" t="str">
        <f t="shared" si="7"/>
        <v>* group[=].element[=].target.display = ##34###34#</v>
      </c>
      <c r="M52" s="14" t="str">
        <f t="shared" si="8"/>
        <v>* group[=].element[=].target.equivalence = #relatedto</v>
      </c>
      <c r="N52" s="14" t="str">
        <f t="shared" si="9"/>
        <v/>
      </c>
      <c r="P52" s="9">
        <v>38</v>
      </c>
      <c r="Q52" s="9">
        <f t="shared" si="10"/>
        <v>6</v>
      </c>
      <c r="R52" s="9">
        <f t="shared" si="11"/>
        <v>2</v>
      </c>
      <c r="S52" s="14" t="str" cm="1">
        <f t="array" ref="S52">INDEX('PS-ConceptMap-1'!$I$15:$N$286,Q52+1,R52)</f>
        <v>* group[=].element[=].display = ##34#A.1.4.2 Date of last update##34#</v>
      </c>
    </row>
    <row r="53" spans="1:19" s="1" customFormat="1" ht="73.75" x14ac:dyDescent="0.75">
      <c r="A53"/>
      <c r="B53" s="9" t="str">
        <f>PS!B44</f>
        <v>body.patientData.travelHistory</v>
      </c>
      <c r="C53" s="9" t="str">
        <f>PS!C44</f>
        <v>A.2.7.1 Travel history</v>
      </c>
      <c r="D53" s="14" t="s">
        <v>884</v>
      </c>
      <c r="E53" s="14"/>
      <c r="F53" s="63" t="s">
        <v>193</v>
      </c>
      <c r="G53" s="63"/>
      <c r="H53" s="64"/>
      <c r="I53" s="14" t="str">
        <f t="shared" si="4"/>
        <v>* group[=].element[+].code = #PatientSummary.body.patientData.travelHistory</v>
      </c>
      <c r="J53" s="14" t="str">
        <f t="shared" si="5"/>
        <v>* group[=].element[=].display = ##34#A.2.7.1 Travel history##34#</v>
      </c>
      <c r="K53" s="14" t="str">
        <f t="shared" si="6"/>
        <v>* group[=].element[=].target.code = #Composition.section:sectionTravelHx</v>
      </c>
      <c r="L53" s="14" t="str">
        <f t="shared" si="7"/>
        <v>* group[=].element[=].target.display = ##34###34#</v>
      </c>
      <c r="M53" s="14" t="str">
        <f t="shared" si="8"/>
        <v>* group[=].element[=].target.equivalence = #relatedto</v>
      </c>
      <c r="N53" s="14" t="str">
        <f t="shared" si="9"/>
        <v/>
      </c>
      <c r="P53" s="9">
        <v>39</v>
      </c>
      <c r="Q53" s="9">
        <f t="shared" si="10"/>
        <v>6</v>
      </c>
      <c r="R53" s="9">
        <f t="shared" si="11"/>
        <v>3</v>
      </c>
      <c r="S53" s="14" t="str" cm="1">
        <f t="array" ref="S53">INDEX('PS-ConceptMap-1'!$I$15:$N$286,Q53+1,R53)</f>
        <v>* group[=].element[=].target.code = #Composition.event:careProvisioningEvent.period.end</v>
      </c>
    </row>
    <row r="54" spans="1:19" s="1" customFormat="1" ht="73.75" x14ac:dyDescent="0.75">
      <c r="A54"/>
      <c r="B54" s="9" t="str">
        <f>PS!B45</f>
        <v>body.patientData.travelHistory.country</v>
      </c>
      <c r="C54" s="9" t="str">
        <f>PS!C45</f>
        <v>A.2.7.1.1 Country</v>
      </c>
      <c r="D54" s="14" t="s">
        <v>1294</v>
      </c>
      <c r="E54" s="14"/>
      <c r="F54" s="63" t="s">
        <v>193</v>
      </c>
      <c r="G54" s="63" t="s">
        <v>1295</v>
      </c>
      <c r="H54" s="64"/>
      <c r="I54" s="14" t="str">
        <f t="shared" si="4"/>
        <v>* group[=].element[+].code = #PatientSummary.body.patientData.travelHistory.country</v>
      </c>
      <c r="J54" s="14" t="str">
        <f t="shared" si="5"/>
        <v>* group[=].element[=].display = ##34#A.2.7.1.1 Country##34#</v>
      </c>
      <c r="K54" s="14" t="str">
        <f t="shared" si="6"/>
        <v>* group[=].element[=].target.code = #Composition.section:sectionTravelHx.text</v>
      </c>
      <c r="L54" s="14" t="str">
        <f t="shared" si="7"/>
        <v>* group[=].element[=].target.display = ##34###34#</v>
      </c>
      <c r="M54" s="14" t="str">
        <f t="shared" si="8"/>
        <v>* group[=].element[=].target.equivalence = #relatedto</v>
      </c>
      <c r="N54" s="14" t="str">
        <f t="shared" si="9"/>
        <v>* group[=].element[=].target.comment = ##34#if textual description##34#</v>
      </c>
      <c r="P54" s="9">
        <v>40</v>
      </c>
      <c r="Q54" s="9">
        <f t="shared" si="10"/>
        <v>6</v>
      </c>
      <c r="R54" s="9">
        <f t="shared" si="11"/>
        <v>4</v>
      </c>
      <c r="S54" s="14" t="str" cm="1">
        <f t="array" ref="S54">INDEX('PS-ConceptMap-1'!$I$15:$N$286,Q54+1,R54)</f>
        <v>* group[=].element[=].target.display = ##34###34#</v>
      </c>
    </row>
    <row r="55" spans="1:19" s="1" customFormat="1" ht="73.75" x14ac:dyDescent="0.75">
      <c r="A55"/>
      <c r="B55" s="9" t="str">
        <f>PS!B46</f>
        <v>body.patientData.travelHistory.period</v>
      </c>
      <c r="C55" s="9" t="str">
        <f>PS!C46</f>
        <v>A.2.7.1.2 Period</v>
      </c>
      <c r="D55" s="14" t="s">
        <v>1294</v>
      </c>
      <c r="E55" s="14"/>
      <c r="F55" s="63" t="s">
        <v>193</v>
      </c>
      <c r="G55" s="63" t="s">
        <v>1295</v>
      </c>
      <c r="H55" s="64"/>
      <c r="I55" s="14" t="str">
        <f t="shared" si="4"/>
        <v>* group[=].element[+].code = #PatientSummary.body.patientData.travelHistory.period</v>
      </c>
      <c r="J55" s="14" t="str">
        <f t="shared" si="5"/>
        <v>* group[=].element[=].display = ##34#A.2.7.1.2 Period##34#</v>
      </c>
      <c r="K55" s="14" t="str">
        <f t="shared" si="6"/>
        <v>* group[=].element[=].target.code = #Composition.section:sectionTravelHx.text</v>
      </c>
      <c r="L55" s="14" t="str">
        <f t="shared" si="7"/>
        <v>* group[=].element[=].target.display = ##34###34#</v>
      </c>
      <c r="M55" s="14" t="str">
        <f t="shared" si="8"/>
        <v>* group[=].element[=].target.equivalence = #relatedto</v>
      </c>
      <c r="N55" s="14" t="str">
        <f t="shared" si="9"/>
        <v>* group[=].element[=].target.comment = ##34#if textual description##34#</v>
      </c>
      <c r="P55" s="9">
        <v>41</v>
      </c>
      <c r="Q55" s="9">
        <f t="shared" si="10"/>
        <v>6</v>
      </c>
      <c r="R55" s="9">
        <f t="shared" si="11"/>
        <v>5</v>
      </c>
      <c r="S55" s="14" t="str" cm="1">
        <f t="array" ref="S55">INDEX('PS-ConceptMap-1'!$I$15:$N$286,Q55+1,R55)</f>
        <v>* group[=].element[=].target.equivalence = #relatedto</v>
      </c>
    </row>
    <row r="56" spans="1:19" s="1" customFormat="1" ht="118" x14ac:dyDescent="0.75">
      <c r="A56"/>
      <c r="B56" s="9" t="str">
        <f>PS!B45</f>
        <v>body.patientData.travelHistory.country</v>
      </c>
      <c r="C56" s="9" t="str">
        <f>PS!C45</f>
        <v>A.2.7.1.1 Country</v>
      </c>
      <c r="D56" s="14" t="s">
        <v>1297</v>
      </c>
      <c r="E56" s="14"/>
      <c r="F56" s="63" t="s">
        <v>193</v>
      </c>
      <c r="G56" s="79" t="s">
        <v>1298</v>
      </c>
      <c r="H56" s="64"/>
      <c r="I56" s="14" t="str">
        <f t="shared" si="4"/>
        <v>* group[=].element[+].code = #PatientSummary.body.patientData.travelHistory.country</v>
      </c>
      <c r="J56" s="14" t="str">
        <f t="shared" si="5"/>
        <v>* group[=].element[=].display = ##34#A.2.7.1.1 Country##34#</v>
      </c>
      <c r="K56" s="14" t="str">
        <f t="shared" si="6"/>
        <v>* group[=].element[=].target.code = #Composition.section:sectionTravelHx.entry.valueCodeableConcept</v>
      </c>
      <c r="L56" s="14" t="str">
        <f t="shared" si="7"/>
        <v>* group[=].element[=].target.display = ##34###34#</v>
      </c>
      <c r="M56" s="14" t="str">
        <f t="shared" si="8"/>
        <v>* group[=].element[=].target.equivalence = #relatedto</v>
      </c>
      <c r="N56" s="14" t="str">
        <f t="shared" si="9"/>
        <v>* group[=].element[=].target.comment = ##34#entry of type Observation and Obseravtion.code = http://loinc.org#94651-7 'Country of travel [Location]'
TBD##34#</v>
      </c>
      <c r="P56" s="9">
        <v>42</v>
      </c>
      <c r="Q56" s="9">
        <f t="shared" si="10"/>
        <v>6</v>
      </c>
      <c r="R56" s="9">
        <f t="shared" si="11"/>
        <v>6</v>
      </c>
      <c r="S56" s="14" t="str" cm="1">
        <f t="array" ref="S56">INDEX('PS-ConceptMap-1'!$I$15:$N$286,Q56+1,R56)</f>
        <v>* group[=].element[=].target.comment = ##34#If it represents the period of time this Patient Summary is covering##34#</v>
      </c>
    </row>
    <row r="57" spans="1:19" s="1" customFormat="1" ht="73.75" x14ac:dyDescent="0.75">
      <c r="A57"/>
      <c r="B57" s="9" t="str">
        <f>PS!B46</f>
        <v>body.patientData.travelHistory.period</v>
      </c>
      <c r="C57" s="9" t="str">
        <f>PS!C46</f>
        <v>A.2.7.1.2 Period</v>
      </c>
      <c r="D57" s="14" t="s">
        <v>1296</v>
      </c>
      <c r="E57" s="14"/>
      <c r="F57" s="63" t="s">
        <v>193</v>
      </c>
      <c r="G57" s="91" t="s">
        <v>1299</v>
      </c>
      <c r="H57" s="64"/>
      <c r="I57" s="14" t="str">
        <f t="shared" si="4"/>
        <v>* group[=].element[+].code = #PatientSummary.body.patientData.travelHistory.period</v>
      </c>
      <c r="J57" s="14" t="str">
        <f t="shared" si="5"/>
        <v>* group[=].element[=].display = ##34#A.2.7.1.2 Period##34#</v>
      </c>
      <c r="K57" s="14" t="str">
        <f t="shared" si="6"/>
        <v>* group[=].element[=].target.code = #Composition.section:sectionTravelHx.entry.effectivePeriod</v>
      </c>
      <c r="L57" s="14" t="str">
        <f t="shared" si="7"/>
        <v>* group[=].element[=].target.display = ##34###34#</v>
      </c>
      <c r="M57" s="14" t="str">
        <f t="shared" si="8"/>
        <v>* group[=].element[=].target.equivalence = #relatedto</v>
      </c>
      <c r="N57" s="14" t="str">
        <f t="shared" si="9"/>
        <v>* group[=].element[=].target.comment = ##34#OBSERVATION PROFILE TO BE SPECIFIED##34#</v>
      </c>
      <c r="P57" s="9">
        <v>43</v>
      </c>
      <c r="Q57" s="9">
        <f t="shared" si="10"/>
        <v>7</v>
      </c>
      <c r="R57" s="9">
        <f t="shared" si="11"/>
        <v>1</v>
      </c>
      <c r="S57" s="14" t="str" cm="1">
        <f t="array" ref="S57">INDEX('PS-ConceptMap-1'!$I$15:$N$286,Q57+1,R57)</f>
        <v>* group[=].element[+].code = #PatientSummary.header.documentData.lastUpdate</v>
      </c>
    </row>
    <row r="58" spans="1:19" s="1" customFormat="1" ht="73.75" x14ac:dyDescent="0.75">
      <c r="A58"/>
      <c r="B58" s="9" t="str">
        <f>PS!B47</f>
        <v>body.patientData.advanceDirective</v>
      </c>
      <c r="C58" s="9" t="str">
        <f>PS!C47</f>
        <v>A.2.7.2 Advance Directive</v>
      </c>
      <c r="D58" s="14" t="s">
        <v>883</v>
      </c>
      <c r="E58" s="14"/>
      <c r="F58" s="63" t="s">
        <v>192</v>
      </c>
      <c r="G58" s="63"/>
      <c r="H58" s="64"/>
      <c r="I58" s="14" t="str">
        <f t="shared" si="4"/>
        <v>* group[=].element[+].code = #PatientSummary.body.patientData.advanceDirective</v>
      </c>
      <c r="J58" s="14" t="str">
        <f t="shared" si="5"/>
        <v>* group[=].element[=].display = ##34#A.2.7.2 Advance Directive##34#</v>
      </c>
      <c r="K58" s="14" t="str">
        <f t="shared" si="6"/>
        <v>* group[=].element[=].target.code = #Composition.section:sectionAdvanceDirectives</v>
      </c>
      <c r="L58" s="14" t="str">
        <f t="shared" si="7"/>
        <v>* group[=].element[=].target.display = ##34###34#</v>
      </c>
      <c r="M58" s="14" t="str">
        <f t="shared" si="8"/>
        <v>* group[=].element[=].target.equivalence = #equivalent</v>
      </c>
      <c r="N58" s="14" t="str">
        <f t="shared" si="9"/>
        <v/>
      </c>
      <c r="P58" s="9">
        <v>44</v>
      </c>
      <c r="Q58" s="9">
        <f t="shared" si="10"/>
        <v>7</v>
      </c>
      <c r="R58" s="9">
        <f t="shared" si="11"/>
        <v>2</v>
      </c>
      <c r="S58" s="14" t="str" cm="1">
        <f t="array" ref="S58">INDEX('PS-ConceptMap-1'!$I$15:$N$286,Q58+1,R58)</f>
        <v>* group[=].element[=].display = ##34#A.1.4.2 Date of last update##34#</v>
      </c>
    </row>
    <row r="59" spans="1:19" s="1" customFormat="1" ht="73.75" x14ac:dyDescent="0.75">
      <c r="A59"/>
      <c r="B59" s="9" t="str">
        <f>PS!B48</f>
        <v>body.patientData.advanceDirective.documentation</v>
      </c>
      <c r="C59" s="9" t="str">
        <f>PS!C48</f>
        <v>A.2.7.2.1 Documentation</v>
      </c>
      <c r="D59" s="14" t="s">
        <v>883</v>
      </c>
      <c r="E59" s="14"/>
      <c r="F59" s="63" t="s">
        <v>193</v>
      </c>
      <c r="G59" s="91" t="s">
        <v>1112</v>
      </c>
      <c r="H59" s="64"/>
      <c r="I59" s="14" t="str">
        <f t="shared" si="4"/>
        <v>* group[=].element[+].code = #PatientSummary.body.patientData.advanceDirective.documentation</v>
      </c>
      <c r="J59" s="14" t="str">
        <f t="shared" si="5"/>
        <v>* group[=].element[=].display = ##34#A.2.7.2.1 Documentation##34#</v>
      </c>
      <c r="K59" s="14" t="str">
        <f t="shared" si="6"/>
        <v>* group[=].element[=].target.code = #Composition.section:sectionAdvanceDirectives</v>
      </c>
      <c r="L59" s="14" t="str">
        <f t="shared" si="7"/>
        <v>* group[=].element[=].target.display = ##34###34#</v>
      </c>
      <c r="M59" s="14" t="str">
        <f t="shared" si="8"/>
        <v>* group[=].element[=].target.equivalence = #relatedto</v>
      </c>
      <c r="N59" s="14" t="str">
        <f t="shared" si="9"/>
        <v>* group[=].element[=].target.comment = ##34#to be reviewed##34#</v>
      </c>
      <c r="P59" s="9">
        <v>45</v>
      </c>
      <c r="Q59" s="9">
        <f t="shared" si="10"/>
        <v>7</v>
      </c>
      <c r="R59" s="9">
        <f t="shared" si="11"/>
        <v>3</v>
      </c>
      <c r="S59" s="14" t="str" cm="1">
        <f t="array" ref="S59">INDEX('PS-ConceptMap-1'!$I$15:$N$286,Q59+1,R59)</f>
        <v>* group[=].element[=].target.code = #Composition.meta.lastUpdated</v>
      </c>
    </row>
    <row r="60" spans="1:19" s="1" customFormat="1" ht="73.75" x14ac:dyDescent="0.75">
      <c r="A60"/>
      <c r="B60" s="9" t="str">
        <f>PS!B49</f>
        <v>body.results</v>
      </c>
      <c r="C60" s="9" t="str">
        <f>PS!C49</f>
        <v>A.2.8 Results</v>
      </c>
      <c r="D60" s="14" t="s">
        <v>858</v>
      </c>
      <c r="E60" s="14"/>
      <c r="F60" s="63" t="s">
        <v>192</v>
      </c>
      <c r="G60" s="63"/>
      <c r="H60" s="64"/>
      <c r="I60" s="14" t="str">
        <f t="shared" si="4"/>
        <v>* group[=].element[+].code = #PatientSummary.body.results</v>
      </c>
      <c r="J60" s="14" t="str">
        <f t="shared" si="5"/>
        <v>* group[=].element[=].display = ##34#A.2.8 Results##34#</v>
      </c>
      <c r="K60" s="14" t="str">
        <f t="shared" si="6"/>
        <v>* group[=].element[=].target.code = #Composition.section:sectionResults</v>
      </c>
      <c r="L60" s="14" t="str">
        <f t="shared" si="7"/>
        <v>* group[=].element[=].target.display = ##34###34#</v>
      </c>
      <c r="M60" s="14" t="str">
        <f t="shared" si="8"/>
        <v>* group[=].element[=].target.equivalence = #equivalent</v>
      </c>
      <c r="N60" s="14" t="str">
        <f t="shared" si="9"/>
        <v/>
      </c>
      <c r="P60" s="9">
        <v>46</v>
      </c>
      <c r="Q60" s="9">
        <f t="shared" si="10"/>
        <v>7</v>
      </c>
      <c r="R60" s="9">
        <f t="shared" si="11"/>
        <v>4</v>
      </c>
      <c r="S60" s="14" t="str" cm="1">
        <f t="array" ref="S60">INDEX('PS-ConceptMap-1'!$I$15:$N$286,Q60+1,R60)</f>
        <v>* group[=].element[=].target.display = ##34###34#</v>
      </c>
    </row>
    <row r="61" spans="1:19" s="1" customFormat="1" ht="73.75" x14ac:dyDescent="0.75">
      <c r="A61"/>
      <c r="B61" s="9" t="str">
        <f>PS!B50</f>
        <v>body.planOfCare</v>
      </c>
      <c r="C61" s="9" t="str">
        <f>PS!C50</f>
        <v>A.2.9 Plan of Care</v>
      </c>
      <c r="D61" s="14" t="s">
        <v>864</v>
      </c>
      <c r="E61" s="14"/>
      <c r="F61" s="63" t="s">
        <v>192</v>
      </c>
      <c r="G61" s="63"/>
      <c r="H61" s="64"/>
      <c r="I61" s="14" t="str">
        <f t="shared" si="4"/>
        <v>* group[=].element[+].code = #PatientSummary.body.planOfCare</v>
      </c>
      <c r="J61" s="14" t="str">
        <f t="shared" si="5"/>
        <v>* group[=].element[=].display = ##34#A.2.9 Plan of Care##34#</v>
      </c>
      <c r="K61" s="14" t="str">
        <f t="shared" si="6"/>
        <v>* group[=].element[=].target.code = #Composition.section:sectionPlanOfCare</v>
      </c>
      <c r="L61" s="14" t="str">
        <f t="shared" si="7"/>
        <v>* group[=].element[=].target.display = ##34###34#</v>
      </c>
      <c r="M61" s="14" t="str">
        <f t="shared" si="8"/>
        <v>* group[=].element[=].target.equivalence = #equivalent</v>
      </c>
      <c r="N61" s="14" t="str">
        <f t="shared" si="9"/>
        <v/>
      </c>
      <c r="P61" s="9">
        <v>47</v>
      </c>
      <c r="Q61" s="9">
        <f t="shared" si="10"/>
        <v>7</v>
      </c>
      <c r="R61" s="9">
        <f t="shared" si="11"/>
        <v>5</v>
      </c>
      <c r="S61" s="14" t="str" cm="1">
        <f t="array" ref="S61">INDEX('PS-ConceptMap-1'!$I$15:$N$286,Q61+1,R61)</f>
        <v>* group[=].element[=].target.equivalence = #relatedto</v>
      </c>
    </row>
    <row r="62" spans="1:19" s="1" customFormat="1" ht="73.75" x14ac:dyDescent="0.75">
      <c r="A62"/>
      <c r="B62" s="9" t="str">
        <f>PS!B51</f>
        <v>body.planOfCare.carePlan</v>
      </c>
      <c r="C62" s="9" t="str">
        <f>PS!C51</f>
        <v>A.2.9.1 Plan of care</v>
      </c>
      <c r="D62" s="14" t="s">
        <v>1080</v>
      </c>
      <c r="E62" s="14"/>
      <c r="F62" s="63" t="s">
        <v>192</v>
      </c>
      <c r="G62" s="63"/>
      <c r="H62" s="64"/>
      <c r="I62" s="14" t="str">
        <f t="shared" si="4"/>
        <v>* group[=].element[+].code = #PatientSummary.body.planOfCare.carePlan</v>
      </c>
      <c r="J62" s="14" t="str">
        <f t="shared" si="5"/>
        <v>* group[=].element[=].display = ##34#A.2.9.1 Plan of care##34#</v>
      </c>
      <c r="K62" s="14" t="str">
        <f t="shared" si="6"/>
        <v>* group[=].element[=].target.code = #Composition.section:sectionPlanOfCare.text</v>
      </c>
      <c r="L62" s="14" t="str">
        <f t="shared" si="7"/>
        <v>* group[=].element[=].target.display = ##34###34#</v>
      </c>
      <c r="M62" s="14" t="str">
        <f t="shared" si="8"/>
        <v>* group[=].element[=].target.equivalence = #equivalent</v>
      </c>
      <c r="N62" s="14" t="str">
        <f t="shared" si="9"/>
        <v/>
      </c>
      <c r="P62" s="9">
        <v>48</v>
      </c>
      <c r="Q62" s="9">
        <f t="shared" si="10"/>
        <v>7</v>
      </c>
      <c r="R62" s="9">
        <f t="shared" si="11"/>
        <v>6</v>
      </c>
      <c r="S62" s="14" t="str" cm="1">
        <f t="array" ref="S62">INDEX('PS-ConceptMap-1'!$I$15:$N$286,Q62+1,R62)</f>
        <v>* group[=].element[=].target.comment = ##34#If it represents the last update of this FHIR resource##34#</v>
      </c>
    </row>
    <row r="63" spans="1:19" s="1" customFormat="1" x14ac:dyDescent="0.75">
      <c r="A63"/>
      <c r="B63" s="51"/>
      <c r="F63" s="64"/>
      <c r="G63" s="64"/>
      <c r="H63" s="64"/>
      <c r="J63" s="64"/>
      <c r="K63" s="64"/>
      <c r="L63" s="64"/>
      <c r="M63" s="64"/>
      <c r="N63" s="64"/>
      <c r="P63" s="9">
        <v>49</v>
      </c>
      <c r="Q63" s="9">
        <f t="shared" si="10"/>
        <v>8</v>
      </c>
      <c r="R63" s="9">
        <f t="shared" si="11"/>
        <v>1</v>
      </c>
      <c r="S63" s="14" t="str" cm="1">
        <f t="array" ref="S63">INDEX('PS-ConceptMap-1'!$I$15:$N$286,Q63+1,R63)</f>
        <v>* group[=].element[+].code = #PatientSummary.header.documentData.natureOfIPS</v>
      </c>
    </row>
    <row r="64" spans="1:19" s="1" customFormat="1" x14ac:dyDescent="0.75">
      <c r="A64"/>
      <c r="B64" s="9"/>
      <c r="F64" s="64"/>
      <c r="G64" s="64"/>
      <c r="H64" s="64"/>
      <c r="J64" s="64"/>
      <c r="K64" s="64"/>
      <c r="L64" s="64"/>
      <c r="M64" s="64"/>
      <c r="N64" s="64"/>
      <c r="P64" s="9">
        <v>50</v>
      </c>
      <c r="Q64" s="9">
        <f t="shared" si="10"/>
        <v>8</v>
      </c>
      <c r="R64" s="9">
        <f t="shared" si="11"/>
        <v>2</v>
      </c>
      <c r="S64" s="14" t="str" cm="1">
        <f t="array" ref="S64">INDEX('PS-ConceptMap-1'!$I$15:$N$286,Q64+1,R64)</f>
        <v>* group[=].element[=].display = ##34#A.1.4.3 Nature of the PS##34#</v>
      </c>
    </row>
    <row r="65" spans="2:19" x14ac:dyDescent="0.75">
      <c r="F65" s="64"/>
      <c r="G65" s="64"/>
      <c r="H65" s="64"/>
      <c r="J65" s="64"/>
      <c r="K65" s="64"/>
      <c r="L65" s="64"/>
      <c r="M65" s="64"/>
      <c r="N65" s="64"/>
      <c r="P65" s="9">
        <v>51</v>
      </c>
      <c r="Q65" s="9">
        <f t="shared" si="10"/>
        <v>8</v>
      </c>
      <c r="R65" s="9">
        <f t="shared" si="11"/>
        <v>3</v>
      </c>
      <c r="S65" s="14" t="str" cm="1">
        <f t="array" ref="S65">INDEX('PS-ConceptMap-1'!$I$15:$N$286,Q65+1,R65)</f>
        <v>* group[=].element[=].target.code = #Composition.author</v>
      </c>
    </row>
    <row r="66" spans="2:19" x14ac:dyDescent="0.75">
      <c r="F66" s="64"/>
      <c r="G66" s="64"/>
      <c r="H66" s="64"/>
      <c r="J66" s="64"/>
      <c r="K66" s="64"/>
      <c r="L66" s="64"/>
      <c r="M66" s="64"/>
      <c r="N66" s="64"/>
      <c r="P66" s="9">
        <v>52</v>
      </c>
      <c r="Q66" s="9">
        <f t="shared" si="10"/>
        <v>8</v>
      </c>
      <c r="R66" s="9">
        <f t="shared" si="11"/>
        <v>4</v>
      </c>
      <c r="S66" s="14" t="str" cm="1">
        <f t="array" ref="S66">INDEX('PS-ConceptMap-1'!$I$15:$N$286,Q66+1,R66)</f>
        <v>* group[=].element[=].target.display = ##34###34#</v>
      </c>
    </row>
    <row r="67" spans="2:19" x14ac:dyDescent="0.75">
      <c r="F67" s="64"/>
      <c r="G67" s="64"/>
      <c r="H67" s="64"/>
      <c r="J67" s="64"/>
      <c r="K67" s="64"/>
      <c r="L67" s="64"/>
      <c r="M67" s="64"/>
      <c r="N67" s="64"/>
      <c r="P67" s="9">
        <v>53</v>
      </c>
      <c r="Q67" s="9">
        <f t="shared" si="10"/>
        <v>8</v>
      </c>
      <c r="R67" s="9">
        <f t="shared" si="11"/>
        <v>5</v>
      </c>
      <c r="S67" s="14" t="str" cm="1">
        <f t="array" ref="S67">INDEX('PS-ConceptMap-1'!$I$15:$N$286,Q67+1,R67)</f>
        <v>* group[=].element[=].target.equivalence = #relatedto</v>
      </c>
    </row>
    <row r="68" spans="2:19" ht="44.25" x14ac:dyDescent="0.75">
      <c r="F68" s="64"/>
      <c r="G68" s="64"/>
      <c r="H68" s="64"/>
      <c r="J68" s="64"/>
      <c r="K68" s="64"/>
      <c r="L68" s="64"/>
      <c r="M68" s="64"/>
      <c r="N68" s="64"/>
      <c r="P68" s="9">
        <v>54</v>
      </c>
      <c r="Q68" s="9">
        <f t="shared" si="10"/>
        <v>8</v>
      </c>
      <c r="R68" s="9">
        <f t="shared" si="11"/>
        <v>6</v>
      </c>
      <c r="S68" s="14" t="str" cm="1">
        <f t="array" ref="S68">INDEX('PS-ConceptMap-1'!$I$15:$N$286,Q68+1,R68)</f>
        <v>* group[=].element[=].target.comment = ##34#the nature of a PS is determined as a comobination of type if author and legal authenticator. Future versions may cosndier to use Provenance data for this scope##34#</v>
      </c>
    </row>
    <row r="69" spans="2:19" ht="29.5" x14ac:dyDescent="0.75">
      <c r="B69" t="s">
        <v>181</v>
      </c>
      <c r="C69" s="1" t="s">
        <v>182</v>
      </c>
      <c r="D69" s="1" t="s">
        <v>183</v>
      </c>
      <c r="E69" t="s">
        <v>184</v>
      </c>
      <c r="P69" s="9">
        <v>55</v>
      </c>
      <c r="Q69" s="9">
        <f t="shared" si="10"/>
        <v>9</v>
      </c>
      <c r="R69" s="9">
        <f t="shared" si="11"/>
        <v>1</v>
      </c>
      <c r="S69" s="14" t="str" cm="1">
        <f t="array" ref="S69">INDEX('PS-ConceptMap-1'!$I$15:$N$286,Q69+1,R69)</f>
        <v>* group[=].element[+].code = #PatientSummary.header.participant</v>
      </c>
    </row>
    <row r="70" spans="2:19" x14ac:dyDescent="0.75">
      <c r="P70" s="9">
        <v>56</v>
      </c>
      <c r="Q70" s="9">
        <f t="shared" si="10"/>
        <v>9</v>
      </c>
      <c r="R70" s="9">
        <f t="shared" si="11"/>
        <v>2</v>
      </c>
      <c r="S70" s="14" t="str" cm="1">
        <f t="array" ref="S70">INDEX('PS-ConceptMap-1'!$I$15:$N$286,Q70+1,R70)</f>
        <v>* group[=].element[=].display = ##34#A.1.5 Author and Organisation##34#</v>
      </c>
    </row>
    <row r="71" spans="2:19" x14ac:dyDescent="0.75">
      <c r="P71" s="9">
        <v>57</v>
      </c>
      <c r="Q71" s="9">
        <f t="shared" si="10"/>
        <v>9</v>
      </c>
      <c r="R71" s="9">
        <f t="shared" si="11"/>
        <v>3</v>
      </c>
      <c r="S71" s="14" t="str" cm="1">
        <f t="array" ref="S71">INDEX('PS-ConceptMap-1'!$I$15:$N$286,Q71+1,R71)</f>
        <v>* group[=].element[=].target.code = #Composition</v>
      </c>
    </row>
    <row r="72" spans="2:19" x14ac:dyDescent="0.75">
      <c r="P72" s="9">
        <v>58</v>
      </c>
      <c r="Q72" s="9">
        <f t="shared" si="10"/>
        <v>9</v>
      </c>
      <c r="R72" s="9">
        <f t="shared" si="11"/>
        <v>4</v>
      </c>
      <c r="S72" s="14" t="str" cm="1">
        <f t="array" ref="S72">INDEX('PS-ConceptMap-1'!$I$15:$N$286,Q72+1,R72)</f>
        <v>* group[=].element[=].target.display = ##34###34#</v>
      </c>
    </row>
    <row r="73" spans="2:19" x14ac:dyDescent="0.75">
      <c r="P73" s="9">
        <v>59</v>
      </c>
      <c r="Q73" s="9">
        <f t="shared" si="10"/>
        <v>9</v>
      </c>
      <c r="R73" s="9">
        <f t="shared" si="11"/>
        <v>5</v>
      </c>
      <c r="S73" s="14" t="str" cm="1">
        <f t="array" ref="S73">INDEX('PS-ConceptMap-1'!$I$15:$N$286,Q73+1,R73)</f>
        <v>* group[=].element[=].target.equivalence = #relatedto</v>
      </c>
    </row>
    <row r="74" spans="2:19" x14ac:dyDescent="0.75">
      <c r="P74" s="9">
        <v>60</v>
      </c>
      <c r="Q74" s="9">
        <f t="shared" si="10"/>
        <v>9</v>
      </c>
      <c r="R74" s="9">
        <f t="shared" si="11"/>
        <v>6</v>
      </c>
      <c r="S74" s="14" t="str" cm="1">
        <f t="array" ref="S74">INDEX('PS-ConceptMap-1'!$I$15:$N$286,Q74+1,R74)</f>
        <v/>
      </c>
    </row>
    <row r="75" spans="2:19" x14ac:dyDescent="0.75">
      <c r="P75" s="9">
        <v>61</v>
      </c>
      <c r="Q75" s="9">
        <f t="shared" si="10"/>
        <v>10</v>
      </c>
      <c r="R75" s="9">
        <f t="shared" si="11"/>
        <v>1</v>
      </c>
      <c r="S75" s="14" t="str" cm="1">
        <f t="array" ref="S75">INDEX('PS-ConceptMap-1'!$I$15:$N$286,Q75+1,R75)</f>
        <v>* group[=].element[+].code = #PatientSummary.header.participant.author</v>
      </c>
    </row>
    <row r="76" spans="2:19" x14ac:dyDescent="0.75">
      <c r="P76" s="9">
        <v>62</v>
      </c>
      <c r="Q76" s="9">
        <f t="shared" si="10"/>
        <v>10</v>
      </c>
      <c r="R76" s="9">
        <f t="shared" si="11"/>
        <v>2</v>
      </c>
      <c r="S76" s="14" t="str" cm="1">
        <f t="array" ref="S76">INDEX('PS-ConceptMap-1'!$I$15:$N$286,Q76+1,R76)</f>
        <v>* group[=].element[=].display = ##34#A.1.5.1 Author organization##34#</v>
      </c>
    </row>
    <row r="77" spans="2:19" x14ac:dyDescent="0.75">
      <c r="P77" s="9">
        <v>63</v>
      </c>
      <c r="Q77" s="9">
        <f t="shared" si="10"/>
        <v>10</v>
      </c>
      <c r="R77" s="9">
        <f t="shared" si="11"/>
        <v>3</v>
      </c>
      <c r="S77" s="14" t="str" cm="1">
        <f t="array" ref="S77">INDEX('PS-ConceptMap-1'!$I$15:$N$286,Q77+1,R77)</f>
        <v>* group[=].element[=].target.code = #Composition.author</v>
      </c>
    </row>
    <row r="78" spans="2:19" x14ac:dyDescent="0.75">
      <c r="P78" s="9">
        <v>64</v>
      </c>
      <c r="Q78" s="9">
        <f t="shared" si="10"/>
        <v>10</v>
      </c>
      <c r="R78" s="9">
        <f t="shared" si="11"/>
        <v>4</v>
      </c>
      <c r="S78" s="14" t="str" cm="1">
        <f t="array" ref="S78">INDEX('PS-ConceptMap-1'!$I$15:$N$286,Q78+1,R78)</f>
        <v>* group[=].element[=].target.display = ##34###34#</v>
      </c>
    </row>
    <row r="79" spans="2:19" x14ac:dyDescent="0.75">
      <c r="P79" s="9">
        <v>65</v>
      </c>
      <c r="Q79" s="9">
        <f t="shared" si="10"/>
        <v>10</v>
      </c>
      <c r="R79" s="9">
        <f t="shared" si="11"/>
        <v>5</v>
      </c>
      <c r="S79" s="14" t="str" cm="1">
        <f t="array" ref="S79">INDEX('PS-ConceptMap-1'!$I$15:$N$286,Q79+1,R79)</f>
        <v>* group[=].element[=].target.equivalence = #equivalent</v>
      </c>
    </row>
    <row r="80" spans="2:19" ht="29.5" x14ac:dyDescent="0.75">
      <c r="P80" s="9">
        <v>66</v>
      </c>
      <c r="Q80" s="9">
        <f t="shared" ref="Q80:Q143" si="12">IF(MOD(P80,$Q$8)=0,P80/$Q$8-1,INT(P80/$Q$8))</f>
        <v>10</v>
      </c>
      <c r="R80" s="9">
        <f t="shared" ref="R80:R143" si="13">IF(MOD(P80,$Q$8)=0,$Q$8,MOD(P80,$Q$8))</f>
        <v>6</v>
      </c>
      <c r="S80" s="14" t="str" cm="1">
        <f t="array" ref="S80">INDEX('PS-ConceptMap-1'!$I$15:$N$286,Q80+1,R80)</f>
        <v>* group[=].element[=].target.comment = ##34#author can be of type Organziation, Pracitctioner or PractictionerRole##34#</v>
      </c>
    </row>
    <row r="81" spans="16:19" x14ac:dyDescent="0.75">
      <c r="P81" s="9">
        <v>67</v>
      </c>
      <c r="Q81" s="9">
        <f t="shared" si="12"/>
        <v>11</v>
      </c>
      <c r="R81" s="9">
        <f t="shared" si="13"/>
        <v>1</v>
      </c>
      <c r="S81" s="14" t="str" cm="1">
        <f t="array" ref="S81">INDEX('PS-ConceptMap-1'!$I$15:$N$286,Q81+1,R81)</f>
        <v>* group[=].element[+].code = #PatientSummary.header.participant.legalAuth</v>
      </c>
    </row>
    <row r="82" spans="16:19" x14ac:dyDescent="0.75">
      <c r="P82" s="9">
        <v>68</v>
      </c>
      <c r="Q82" s="9">
        <f t="shared" si="12"/>
        <v>11</v>
      </c>
      <c r="R82" s="9">
        <f t="shared" si="13"/>
        <v>2</v>
      </c>
      <c r="S82" s="14" t="str" cm="1">
        <f t="array" ref="S82">INDEX('PS-ConceptMap-1'!$I$15:$N$286,Q82+1,R82)</f>
        <v>* group[=].element[=].display = ##34#A.1.5.2 Legal authenticator##34#</v>
      </c>
    </row>
    <row r="83" spans="16:19" x14ac:dyDescent="0.75">
      <c r="P83" s="9">
        <v>69</v>
      </c>
      <c r="Q83" s="9">
        <f t="shared" si="12"/>
        <v>11</v>
      </c>
      <c r="R83" s="9">
        <f t="shared" si="13"/>
        <v>3</v>
      </c>
      <c r="S83" s="14" t="str" cm="1">
        <f t="array" ref="S83">INDEX('PS-ConceptMap-1'!$I$15:$N$286,Q83+1,R83)</f>
        <v>* group[=].element[=].target.code = #Composition.attester</v>
      </c>
    </row>
    <row r="84" spans="16:19" x14ac:dyDescent="0.75">
      <c r="P84" s="9">
        <v>70</v>
      </c>
      <c r="Q84" s="9">
        <f t="shared" si="12"/>
        <v>11</v>
      </c>
      <c r="R84" s="9">
        <f t="shared" si="13"/>
        <v>4</v>
      </c>
      <c r="S84" s="14" t="str" cm="1">
        <f t="array" ref="S84">INDEX('PS-ConceptMap-1'!$I$15:$N$286,Q84+1,R84)</f>
        <v>* group[=].element[=].target.display = ##34###34#</v>
      </c>
    </row>
    <row r="85" spans="16:19" x14ac:dyDescent="0.75">
      <c r="P85" s="9">
        <v>71</v>
      </c>
      <c r="Q85" s="9">
        <f t="shared" si="12"/>
        <v>11</v>
      </c>
      <c r="R85" s="9">
        <f t="shared" si="13"/>
        <v>5</v>
      </c>
      <c r="S85" s="14" t="str" cm="1">
        <f t="array" ref="S85">INDEX('PS-ConceptMap-1'!$I$15:$N$286,Q85+1,R85)</f>
        <v>* group[=].element[=].target.equivalence = #relatedto</v>
      </c>
    </row>
    <row r="86" spans="16:19" x14ac:dyDescent="0.75">
      <c r="P86" s="9">
        <v>72</v>
      </c>
      <c r="Q86" s="9">
        <f t="shared" si="12"/>
        <v>11</v>
      </c>
      <c r="R86" s="9">
        <f t="shared" si="13"/>
        <v>6</v>
      </c>
      <c r="S86" s="14" t="str" cm="1">
        <f t="array" ref="S86">INDEX('PS-ConceptMap-1'!$I$15:$N$286,Q86+1,R86)</f>
        <v>* group[=].element[=].target.comment = ##34#attester.mode = 'legal'##34#</v>
      </c>
    </row>
    <row r="87" spans="16:19" x14ac:dyDescent="0.75">
      <c r="P87" s="9">
        <v>73</v>
      </c>
      <c r="Q87" s="9">
        <f t="shared" si="12"/>
        <v>12</v>
      </c>
      <c r="R87" s="9">
        <f t="shared" si="13"/>
        <v>1</v>
      </c>
      <c r="S87" s="14" t="str" cm="1">
        <f t="array" ref="S87">INDEX('PS-ConceptMap-1'!$I$15:$N$286,Q87+1,R87)</f>
        <v>* group[=].element[+].code = #PatientSummary.header.additionalInfo</v>
      </c>
    </row>
    <row r="88" spans="16:19" ht="29.5" x14ac:dyDescent="0.75">
      <c r="P88" s="9">
        <v>74</v>
      </c>
      <c r="Q88" s="9">
        <f t="shared" si="12"/>
        <v>12</v>
      </c>
      <c r="R88" s="9">
        <f t="shared" si="13"/>
        <v>2</v>
      </c>
      <c r="S88" s="14" t="str" cm="1">
        <f t="array" ref="S88">INDEX('PS-ConceptMap-1'!$I$15:$N$286,Q88+1,R88)</f>
        <v>* group[=].element[=].display = ##34#A.1.6 Additional information / Knowledge resources##34#</v>
      </c>
    </row>
    <row r="89" spans="16:19" x14ac:dyDescent="0.75">
      <c r="P89" s="9">
        <v>75</v>
      </c>
      <c r="Q89" s="9">
        <f t="shared" si="12"/>
        <v>12</v>
      </c>
      <c r="R89" s="9">
        <f t="shared" si="13"/>
        <v>3</v>
      </c>
      <c r="S89" s="14" t="str" cm="1">
        <f t="array" ref="S89">INDEX('PS-ConceptMap-1'!$I$15:$N$286,Q89+1,R89)</f>
        <v>//-- unmatched</v>
      </c>
    </row>
    <row r="90" spans="16:19" x14ac:dyDescent="0.75">
      <c r="P90" s="9">
        <v>76</v>
      </c>
      <c r="Q90" s="9">
        <f t="shared" si="12"/>
        <v>12</v>
      </c>
      <c r="R90" s="9">
        <f t="shared" si="13"/>
        <v>4</v>
      </c>
      <c r="S90" s="14" t="str" cm="1">
        <f t="array" ref="S90">INDEX('PS-ConceptMap-1'!$I$15:$N$286,Q90+1,R90)</f>
        <v>//-- unmatched</v>
      </c>
    </row>
    <row r="91" spans="16:19" x14ac:dyDescent="0.75">
      <c r="P91" s="9">
        <v>77</v>
      </c>
      <c r="Q91" s="9">
        <f t="shared" si="12"/>
        <v>12</v>
      </c>
      <c r="R91" s="9">
        <f t="shared" si="13"/>
        <v>5</v>
      </c>
      <c r="S91" s="14" t="str" cm="1">
        <f t="array" ref="S91">INDEX('PS-ConceptMap-1'!$I$15:$N$286,Q91+1,R91)</f>
        <v>* group[=].element[=].target.equivalence = #unmatched</v>
      </c>
    </row>
    <row r="92" spans="16:19" x14ac:dyDescent="0.75">
      <c r="P92" s="9">
        <v>78</v>
      </c>
      <c r="Q92" s="9">
        <f t="shared" si="12"/>
        <v>12</v>
      </c>
      <c r="R92" s="9">
        <f t="shared" si="13"/>
        <v>6</v>
      </c>
      <c r="S92" s="14" t="str" cm="1">
        <f t="array" ref="S92">INDEX('PS-ConceptMap-1'!$I$15:$N$286,Q92+1,R92)</f>
        <v>* group[=].element[=].target.comment = ##34#Covered by other resources##34#</v>
      </c>
    </row>
    <row r="93" spans="16:19" x14ac:dyDescent="0.75">
      <c r="P93" s="9">
        <v>79</v>
      </c>
      <c r="Q93" s="9">
        <f t="shared" si="12"/>
        <v>13</v>
      </c>
      <c r="R93" s="9">
        <f t="shared" si="13"/>
        <v>1</v>
      </c>
      <c r="S93" s="14" t="str" cm="1">
        <f t="array" ref="S93">INDEX('PS-ConceptMap-1'!$I$15:$N$286,Q93+1,R93)</f>
        <v>* group[=].element[+].code = #PatientSummary.header.additionalInfo.reference</v>
      </c>
    </row>
    <row r="94" spans="16:19" x14ac:dyDescent="0.75">
      <c r="P94" s="9">
        <v>80</v>
      </c>
      <c r="Q94" s="9">
        <f t="shared" si="12"/>
        <v>13</v>
      </c>
      <c r="R94" s="9">
        <f t="shared" si="13"/>
        <v>2</v>
      </c>
      <c r="S94" s="14" t="str" cm="1">
        <f t="array" ref="S94">INDEX('PS-ConceptMap-1'!$I$15:$N$286,Q94+1,R94)</f>
        <v>* group[=].element[=].display = ##34#A.1.6.1 External reference##34#</v>
      </c>
    </row>
    <row r="95" spans="16:19" x14ac:dyDescent="0.75">
      <c r="P95" s="9">
        <v>81</v>
      </c>
      <c r="Q95" s="9">
        <f t="shared" si="12"/>
        <v>13</v>
      </c>
      <c r="R95" s="9">
        <f t="shared" si="13"/>
        <v>3</v>
      </c>
      <c r="S95" s="14" t="str" cm="1">
        <f t="array" ref="S95">INDEX('PS-ConceptMap-1'!$I$15:$N$286,Q95+1,R95)</f>
        <v>//-- unmatched</v>
      </c>
    </row>
    <row r="96" spans="16:19" x14ac:dyDescent="0.75">
      <c r="P96" s="9">
        <v>82</v>
      </c>
      <c r="Q96" s="9">
        <f t="shared" si="12"/>
        <v>13</v>
      </c>
      <c r="R96" s="9">
        <f t="shared" si="13"/>
        <v>4</v>
      </c>
      <c r="S96" s="14" t="str" cm="1">
        <f t="array" ref="S96">INDEX('PS-ConceptMap-1'!$I$15:$N$286,Q96+1,R96)</f>
        <v>//-- unmatched</v>
      </c>
    </row>
    <row r="97" spans="16:19" x14ac:dyDescent="0.75">
      <c r="P97" s="9">
        <v>83</v>
      </c>
      <c r="Q97" s="9">
        <f t="shared" si="12"/>
        <v>13</v>
      </c>
      <c r="R97" s="9">
        <f t="shared" si="13"/>
        <v>5</v>
      </c>
      <c r="S97" s="14" t="str" cm="1">
        <f t="array" ref="S97">INDEX('PS-ConceptMap-1'!$I$15:$N$286,Q97+1,R97)</f>
        <v>* group[=].element[=].target.equivalence = #unmatched</v>
      </c>
    </row>
    <row r="98" spans="16:19" x14ac:dyDescent="0.75">
      <c r="P98" s="9">
        <v>84</v>
      </c>
      <c r="Q98" s="9">
        <f t="shared" si="12"/>
        <v>13</v>
      </c>
      <c r="R98" s="9">
        <f t="shared" si="13"/>
        <v>6</v>
      </c>
      <c r="S98" s="14" t="str" cm="1">
        <f t="array" ref="S98">INDEX('PS-ConceptMap-1'!$I$15:$N$286,Q98+1,R98)</f>
        <v>* group[=].element[=].target.comment = ##34#Covered by other resources##34#</v>
      </c>
    </row>
    <row r="99" spans="16:19" x14ac:dyDescent="0.75">
      <c r="P99" s="9">
        <v>85</v>
      </c>
      <c r="Q99" s="9">
        <f t="shared" si="12"/>
        <v>14</v>
      </c>
      <c r="R99" s="9">
        <f t="shared" si="13"/>
        <v>1</v>
      </c>
      <c r="S99" s="14" t="str" cm="1">
        <f t="array" ref="S99">INDEX('PS-ConceptMap-1'!$I$15:$N$286,Q99+1,R99)</f>
        <v>* group[=].element[+].code = #PatientSummary.header.additionalInfo.relatedWith</v>
      </c>
    </row>
    <row r="100" spans="16:19" x14ac:dyDescent="0.75">
      <c r="P100" s="9">
        <v>86</v>
      </c>
      <c r="Q100" s="9">
        <f t="shared" si="12"/>
        <v>14</v>
      </c>
      <c r="R100" s="9">
        <f t="shared" si="13"/>
        <v>2</v>
      </c>
      <c r="S100" s="14" t="str" cm="1">
        <f t="array" ref="S100">INDEX('PS-ConceptMap-1'!$I$15:$N$286,Q100+1,R100)</f>
        <v>* group[=].element[=].display = ##34#A.1.6.2 Related with##34#</v>
      </c>
    </row>
    <row r="101" spans="16:19" x14ac:dyDescent="0.75">
      <c r="P101" s="9">
        <v>87</v>
      </c>
      <c r="Q101" s="9">
        <f t="shared" si="12"/>
        <v>14</v>
      </c>
      <c r="R101" s="9">
        <f t="shared" si="13"/>
        <v>3</v>
      </c>
      <c r="S101" s="14" t="str" cm="1">
        <f t="array" ref="S101">INDEX('PS-ConceptMap-1'!$I$15:$N$286,Q101+1,R101)</f>
        <v>//-- unmatched</v>
      </c>
    </row>
    <row r="102" spans="16:19" x14ac:dyDescent="0.75">
      <c r="P102" s="9">
        <v>88</v>
      </c>
      <c r="Q102" s="9">
        <f t="shared" si="12"/>
        <v>14</v>
      </c>
      <c r="R102" s="9">
        <f t="shared" si="13"/>
        <v>4</v>
      </c>
      <c r="S102" s="14" t="str" cm="1">
        <f t="array" ref="S102">INDEX('PS-ConceptMap-1'!$I$15:$N$286,Q102+1,R102)</f>
        <v>//-- unmatched</v>
      </c>
    </row>
    <row r="103" spans="16:19" x14ac:dyDescent="0.75">
      <c r="P103" s="9">
        <v>89</v>
      </c>
      <c r="Q103" s="9">
        <f t="shared" si="12"/>
        <v>14</v>
      </c>
      <c r="R103" s="9">
        <f t="shared" si="13"/>
        <v>5</v>
      </c>
      <c r="S103" s="14" t="str" cm="1">
        <f t="array" ref="S103">INDEX('PS-ConceptMap-1'!$I$15:$N$286,Q103+1,R103)</f>
        <v>* group[=].element[=].target.equivalence = #unmatched</v>
      </c>
    </row>
    <row r="104" spans="16:19" x14ac:dyDescent="0.75">
      <c r="P104" s="9">
        <v>90</v>
      </c>
      <c r="Q104" s="9">
        <f t="shared" si="12"/>
        <v>14</v>
      </c>
      <c r="R104" s="9">
        <f t="shared" si="13"/>
        <v>6</v>
      </c>
      <c r="S104" s="14" t="str" cm="1">
        <f t="array" ref="S104">INDEX('PS-ConceptMap-1'!$I$15:$N$286,Q104+1,R104)</f>
        <v>* group[=].element[=].target.comment = ##34#Covered by other resources##34#</v>
      </c>
    </row>
    <row r="105" spans="16:19" x14ac:dyDescent="0.75">
      <c r="P105" s="9">
        <v>91</v>
      </c>
      <c r="Q105" s="9">
        <f t="shared" si="12"/>
        <v>15</v>
      </c>
      <c r="R105" s="9">
        <f t="shared" si="13"/>
        <v>1</v>
      </c>
      <c r="S105" s="14" t="str" cm="1">
        <f t="array" ref="S105">INDEX('PS-ConceptMap-1'!$I$15:$N$286,Q105+1,R105)</f>
        <v>* group[=].element[+].code = #PatientSummary.body</v>
      </c>
    </row>
    <row r="106" spans="16:19" x14ac:dyDescent="0.75">
      <c r="P106" s="9">
        <v>92</v>
      </c>
      <c r="Q106" s="9">
        <f t="shared" si="12"/>
        <v>15</v>
      </c>
      <c r="R106" s="9">
        <f t="shared" si="13"/>
        <v>2</v>
      </c>
      <c r="S106" s="14" t="str" cm="1">
        <f t="array" ref="S106">INDEX('PS-ConceptMap-1'!$I$15:$N$286,Q106+1,R106)</f>
        <v>* group[=].element[=].display = ##34#A.2 Patient summary body data elements##34#</v>
      </c>
    </row>
    <row r="107" spans="16:19" x14ac:dyDescent="0.75">
      <c r="P107" s="9">
        <v>93</v>
      </c>
      <c r="Q107" s="9">
        <f t="shared" si="12"/>
        <v>15</v>
      </c>
      <c r="R107" s="9">
        <f t="shared" si="13"/>
        <v>3</v>
      </c>
      <c r="S107" s="14" t="str" cm="1">
        <f t="array" ref="S107">INDEX('PS-ConceptMap-1'!$I$15:$N$286,Q107+1,R107)</f>
        <v>* group[=].element[=].target.code = #Composition.section</v>
      </c>
    </row>
    <row r="108" spans="16:19" x14ac:dyDescent="0.75">
      <c r="P108" s="9">
        <v>94</v>
      </c>
      <c r="Q108" s="9">
        <f t="shared" si="12"/>
        <v>15</v>
      </c>
      <c r="R108" s="9">
        <f t="shared" si="13"/>
        <v>4</v>
      </c>
      <c r="S108" s="14" t="str" cm="1">
        <f t="array" ref="S108">INDEX('PS-ConceptMap-1'!$I$15:$N$286,Q108+1,R108)</f>
        <v>* group[=].element[=].target.display = ##34###34#</v>
      </c>
    </row>
    <row r="109" spans="16:19" x14ac:dyDescent="0.75">
      <c r="P109" s="9">
        <v>95</v>
      </c>
      <c r="Q109" s="9">
        <f t="shared" si="12"/>
        <v>15</v>
      </c>
      <c r="R109" s="9">
        <f t="shared" si="13"/>
        <v>5</v>
      </c>
      <c r="S109" s="14" t="str" cm="1">
        <f t="array" ref="S109">INDEX('PS-ConceptMap-1'!$I$15:$N$286,Q109+1,R109)</f>
        <v>* group[=].element[=].target.equivalence = #relatedto</v>
      </c>
    </row>
    <row r="110" spans="16:19" x14ac:dyDescent="0.75">
      <c r="P110" s="9">
        <v>96</v>
      </c>
      <c r="Q110" s="9">
        <f t="shared" si="12"/>
        <v>15</v>
      </c>
      <c r="R110" s="9">
        <f t="shared" si="13"/>
        <v>6</v>
      </c>
      <c r="S110" s="14" t="str" cm="1">
        <f t="array" ref="S110">INDEX('PS-ConceptMap-1'!$I$15:$N$286,Q110+1,R110)</f>
        <v/>
      </c>
    </row>
    <row r="111" spans="16:19" x14ac:dyDescent="0.75">
      <c r="P111" s="9">
        <v>97</v>
      </c>
      <c r="Q111" s="9">
        <f t="shared" si="12"/>
        <v>16</v>
      </c>
      <c r="R111" s="9">
        <f t="shared" si="13"/>
        <v>1</v>
      </c>
      <c r="S111" s="14" t="str" cm="1">
        <f t="array" ref="S111">INDEX('PS-ConceptMap-1'!$I$15:$N$286,Q111+1,R111)</f>
        <v>* group[=].element[+].code = #PatientSummary.body.alerts</v>
      </c>
    </row>
    <row r="112" spans="16:19" x14ac:dyDescent="0.75">
      <c r="P112" s="9">
        <v>98</v>
      </c>
      <c r="Q112" s="9">
        <f t="shared" si="12"/>
        <v>16</v>
      </c>
      <c r="R112" s="9">
        <f t="shared" si="13"/>
        <v>2</v>
      </c>
      <c r="S112" s="14" t="str" cm="1">
        <f t="array" ref="S112">INDEX('PS-ConceptMap-1'!$I$15:$N$286,Q112+1,R112)</f>
        <v>* group[=].element[=].display = ##34#A.2.1 Alerts##34#</v>
      </c>
    </row>
    <row r="113" spans="16:19" x14ac:dyDescent="0.75">
      <c r="P113" s="9">
        <v>99</v>
      </c>
      <c r="Q113" s="9">
        <f t="shared" si="12"/>
        <v>16</v>
      </c>
      <c r="R113" s="9">
        <f t="shared" si="13"/>
        <v>3</v>
      </c>
      <c r="S113" s="14" t="str" cm="1">
        <f t="array" ref="S113">INDEX('PS-ConceptMap-1'!$I$15:$N$286,Q113+1,R113)</f>
        <v>* group[=].element[=].target.code = #Composition.section</v>
      </c>
    </row>
    <row r="114" spans="16:19" x14ac:dyDescent="0.75">
      <c r="P114" s="9">
        <v>100</v>
      </c>
      <c r="Q114" s="9">
        <f t="shared" si="12"/>
        <v>16</v>
      </c>
      <c r="R114" s="9">
        <f t="shared" si="13"/>
        <v>4</v>
      </c>
      <c r="S114" s="14" t="str" cm="1">
        <f t="array" ref="S114">INDEX('PS-ConceptMap-1'!$I$15:$N$286,Q114+1,R114)</f>
        <v>* group[=].element[=].target.display = ##34###34#</v>
      </c>
    </row>
    <row r="115" spans="16:19" x14ac:dyDescent="0.75">
      <c r="P115" s="9">
        <v>101</v>
      </c>
      <c r="Q115" s="9">
        <f t="shared" si="12"/>
        <v>16</v>
      </c>
      <c r="R115" s="9">
        <f t="shared" si="13"/>
        <v>5</v>
      </c>
      <c r="S115" s="14" t="str" cm="1">
        <f t="array" ref="S115">INDEX('PS-ConceptMap-1'!$I$15:$N$286,Q115+1,R115)</f>
        <v>* group[=].element[=].target.equivalence = #relatedto</v>
      </c>
    </row>
    <row r="116" spans="16:19" x14ac:dyDescent="0.75">
      <c r="P116" s="9">
        <v>102</v>
      </c>
      <c r="Q116" s="9">
        <f t="shared" si="12"/>
        <v>16</v>
      </c>
      <c r="R116" s="9">
        <f t="shared" si="13"/>
        <v>6</v>
      </c>
      <c r="S116" s="14" t="str" cm="1">
        <f t="array" ref="S116">INDEX('PS-ConceptMap-1'!$I$15:$N$286,Q116+1,R116)</f>
        <v/>
      </c>
    </row>
    <row r="117" spans="16:19" x14ac:dyDescent="0.75">
      <c r="P117" s="9">
        <v>103</v>
      </c>
      <c r="Q117" s="9">
        <f t="shared" si="12"/>
        <v>17</v>
      </c>
      <c r="R117" s="9">
        <f t="shared" si="13"/>
        <v>1</v>
      </c>
      <c r="S117" s="14" t="str" cm="1">
        <f t="array" ref="S117">INDEX('PS-ConceptMap-1'!$I$15:$N$286,Q117+1,R117)</f>
        <v>* group[=].element[+].code = #PatientSummary.body.alerts.allergy</v>
      </c>
    </row>
    <row r="118" spans="16:19" x14ac:dyDescent="0.75">
      <c r="P118" s="9">
        <v>104</v>
      </c>
      <c r="Q118" s="9">
        <f t="shared" si="12"/>
        <v>17</v>
      </c>
      <c r="R118" s="9">
        <f t="shared" si="13"/>
        <v>2</v>
      </c>
      <c r="S118" s="14" t="str" cm="1">
        <f t="array" ref="S118">INDEX('PS-ConceptMap-1'!$I$15:$N$286,Q118+1,R118)</f>
        <v>* group[=].element[=].display = ##34#A.2.1.1 Allergy##34#</v>
      </c>
    </row>
    <row r="119" spans="16:19" x14ac:dyDescent="0.75">
      <c r="P119" s="9">
        <v>105</v>
      </c>
      <c r="Q119" s="9">
        <f t="shared" si="12"/>
        <v>17</v>
      </c>
      <c r="R119" s="9">
        <f t="shared" si="13"/>
        <v>3</v>
      </c>
      <c r="S119" s="14" t="str" cm="1">
        <f t="array" ref="S119">INDEX('PS-ConceptMap-1'!$I$15:$N$286,Q119+1,R119)</f>
        <v>* group[=].element[=].target.code = #Composition.section:sectionAllergies</v>
      </c>
    </row>
    <row r="120" spans="16:19" x14ac:dyDescent="0.75">
      <c r="P120" s="9">
        <v>106</v>
      </c>
      <c r="Q120" s="9">
        <f t="shared" si="12"/>
        <v>17</v>
      </c>
      <c r="R120" s="9">
        <f t="shared" si="13"/>
        <v>4</v>
      </c>
      <c r="S120" s="14" t="str" cm="1">
        <f t="array" ref="S120">INDEX('PS-ConceptMap-1'!$I$15:$N$286,Q120+1,R120)</f>
        <v>* group[=].element[=].target.display = ##34###34#</v>
      </c>
    </row>
    <row r="121" spans="16:19" x14ac:dyDescent="0.75">
      <c r="P121" s="9">
        <v>107</v>
      </c>
      <c r="Q121" s="9">
        <f t="shared" si="12"/>
        <v>17</v>
      </c>
      <c r="R121" s="9">
        <f t="shared" si="13"/>
        <v>5</v>
      </c>
      <c r="S121" s="14" t="str" cm="1">
        <f t="array" ref="S121">INDEX('PS-ConceptMap-1'!$I$15:$N$286,Q121+1,R121)</f>
        <v>* group[=].element[=].target.equivalence = #relatedto</v>
      </c>
    </row>
    <row r="122" spans="16:19" x14ac:dyDescent="0.75">
      <c r="P122" s="9">
        <v>108</v>
      </c>
      <c r="Q122" s="9">
        <f t="shared" si="12"/>
        <v>17</v>
      </c>
      <c r="R122" s="9">
        <f t="shared" si="13"/>
        <v>6</v>
      </c>
      <c r="S122" s="14" t="str" cm="1">
        <f t="array" ref="S122">INDEX('PS-ConceptMap-1'!$I$15:$N$286,Q122+1,R122)</f>
        <v/>
      </c>
    </row>
    <row r="123" spans="16:19" x14ac:dyDescent="0.75">
      <c r="P123" s="9">
        <v>109</v>
      </c>
      <c r="Q123" s="9">
        <f t="shared" si="12"/>
        <v>18</v>
      </c>
      <c r="R123" s="9">
        <f t="shared" si="13"/>
        <v>1</v>
      </c>
      <c r="S123" s="14" t="str" cm="1">
        <f t="array" ref="S123">INDEX('PS-ConceptMap-1'!$I$15:$N$286,Q123+1,R123)</f>
        <v>* group[=].element[+].code = #PatientSummary.body.alerts.alert</v>
      </c>
    </row>
    <row r="124" spans="16:19" ht="29.5" x14ac:dyDescent="0.75">
      <c r="P124" s="9">
        <v>110</v>
      </c>
      <c r="Q124" s="9">
        <f t="shared" si="12"/>
        <v>18</v>
      </c>
      <c r="R124" s="9">
        <f t="shared" si="13"/>
        <v>2</v>
      </c>
      <c r="S124" s="14" t="str" cm="1">
        <f t="array" ref="S124">INDEX('PS-ConceptMap-1'!$I$15:$N$286,Q124+1,R124)</f>
        <v>* group[=].element[=].display = ##34#A.2.1.2 Medical alert information (other alerts not included in allergies)##34#</v>
      </c>
    </row>
    <row r="125" spans="16:19" x14ac:dyDescent="0.75">
      <c r="P125" s="9">
        <v>111</v>
      </c>
      <c r="Q125" s="9">
        <f t="shared" si="12"/>
        <v>18</v>
      </c>
      <c r="R125" s="9">
        <f t="shared" si="13"/>
        <v>3</v>
      </c>
      <c r="S125" s="14" t="str" cm="1">
        <f t="array" ref="S125">INDEX('PS-ConceptMap-1'!$I$15:$N$286,Q125+1,R125)</f>
        <v>* group[=].element[=].target.code = #Composition.section:sectionAlert</v>
      </c>
    </row>
    <row r="126" spans="16:19" x14ac:dyDescent="0.75">
      <c r="P126" s="9">
        <v>112</v>
      </c>
      <c r="Q126" s="9">
        <f t="shared" si="12"/>
        <v>18</v>
      </c>
      <c r="R126" s="9">
        <f t="shared" si="13"/>
        <v>4</v>
      </c>
      <c r="S126" s="14" t="str" cm="1">
        <f t="array" ref="S126">INDEX('PS-ConceptMap-1'!$I$15:$N$286,Q126+1,R126)</f>
        <v>* group[=].element[=].target.display = ##34###34#</v>
      </c>
    </row>
    <row r="127" spans="16:19" x14ac:dyDescent="0.75">
      <c r="P127" s="9">
        <v>113</v>
      </c>
      <c r="Q127" s="9">
        <f t="shared" si="12"/>
        <v>18</v>
      </c>
      <c r="R127" s="9">
        <f t="shared" si="13"/>
        <v>5</v>
      </c>
      <c r="S127" s="14" t="str" cm="1">
        <f t="array" ref="S127">INDEX('PS-ConceptMap-1'!$I$15:$N$286,Q127+1,R127)</f>
        <v>* group[=].element[=].target.equivalence = #relatedto</v>
      </c>
    </row>
    <row r="128" spans="16:19" x14ac:dyDescent="0.75">
      <c r="P128" s="9">
        <v>114</v>
      </c>
      <c r="Q128" s="9">
        <f t="shared" si="12"/>
        <v>18</v>
      </c>
      <c r="R128" s="9">
        <f t="shared" si="13"/>
        <v>6</v>
      </c>
      <c r="S128" s="14" t="str" cm="1">
        <f t="array" ref="S128">INDEX('PS-ConceptMap-1'!$I$15:$N$286,Q128+1,R128)</f>
        <v/>
      </c>
    </row>
    <row r="129" spans="16:19" x14ac:dyDescent="0.75">
      <c r="P129" s="9">
        <v>115</v>
      </c>
      <c r="Q129" s="9">
        <f t="shared" si="12"/>
        <v>19</v>
      </c>
      <c r="R129" s="9">
        <f t="shared" si="13"/>
        <v>1</v>
      </c>
      <c r="S129" s="14" t="str" cm="1">
        <f t="array" ref="S129">INDEX('PS-ConceptMap-1'!$I$15:$N$286,Q129+1,R129)</f>
        <v>* group[=].element[+].code = #PatientSummary.body.alerts.alert.description</v>
      </c>
    </row>
    <row r="130" spans="16:19" x14ac:dyDescent="0.75">
      <c r="P130" s="9">
        <v>116</v>
      </c>
      <c r="Q130" s="9">
        <f t="shared" si="12"/>
        <v>19</v>
      </c>
      <c r="R130" s="9">
        <f t="shared" si="13"/>
        <v>2</v>
      </c>
      <c r="S130" s="14" t="str" cm="1">
        <f t="array" ref="S130">INDEX('PS-ConceptMap-1'!$I$15:$N$286,Q130+1,R130)</f>
        <v>* group[=].element[=].display = ##34#A.2.1.2.1 Healthcare alert description##34#</v>
      </c>
    </row>
    <row r="131" spans="16:19" x14ac:dyDescent="0.75">
      <c r="P131" s="9">
        <v>117</v>
      </c>
      <c r="Q131" s="9">
        <f t="shared" si="12"/>
        <v>19</v>
      </c>
      <c r="R131" s="9">
        <f t="shared" si="13"/>
        <v>3</v>
      </c>
      <c r="S131" s="14" t="str" cm="1">
        <f t="array" ref="S131">INDEX('PS-ConceptMap-1'!$I$15:$N$286,Q131+1,R131)</f>
        <v>* group[=].element[=].target.code = #Composition.section:sectionAlert.text</v>
      </c>
    </row>
    <row r="132" spans="16:19" x14ac:dyDescent="0.75">
      <c r="P132" s="9">
        <v>118</v>
      </c>
      <c r="Q132" s="9">
        <f t="shared" si="12"/>
        <v>19</v>
      </c>
      <c r="R132" s="9">
        <f t="shared" si="13"/>
        <v>4</v>
      </c>
      <c r="S132" s="14" t="str" cm="1">
        <f t="array" ref="S132">INDEX('PS-ConceptMap-1'!$I$15:$N$286,Q132+1,R132)</f>
        <v>* group[=].element[=].target.display = ##34###34#</v>
      </c>
    </row>
    <row r="133" spans="16:19" x14ac:dyDescent="0.75">
      <c r="P133" s="9">
        <v>119</v>
      </c>
      <c r="Q133" s="9">
        <f t="shared" si="12"/>
        <v>19</v>
      </c>
      <c r="R133" s="9">
        <f t="shared" si="13"/>
        <v>5</v>
      </c>
      <c r="S133" s="14" t="str" cm="1">
        <f t="array" ref="S133">INDEX('PS-ConceptMap-1'!$I$15:$N$286,Q133+1,R133)</f>
        <v>* group[=].element[=].target.equivalence = #relatedto</v>
      </c>
    </row>
    <row r="134" spans="16:19" x14ac:dyDescent="0.75">
      <c r="P134" s="9">
        <v>120</v>
      </c>
      <c r="Q134" s="9">
        <f t="shared" si="12"/>
        <v>19</v>
      </c>
      <c r="R134" s="9">
        <f t="shared" si="13"/>
        <v>6</v>
      </c>
      <c r="S134" s="14" t="str" cm="1">
        <f t="array" ref="S134">INDEX('PS-ConceptMap-1'!$I$15:$N$286,Q134+1,R134)</f>
        <v>* group[=].element[=].target.comment = ##34#Common textual descirption##34#</v>
      </c>
    </row>
    <row r="135" spans="16:19" x14ac:dyDescent="0.75">
      <c r="P135" s="9">
        <v>121</v>
      </c>
      <c r="Q135" s="9">
        <f t="shared" si="12"/>
        <v>20</v>
      </c>
      <c r="R135" s="9">
        <f t="shared" si="13"/>
        <v>1</v>
      </c>
      <c r="S135" s="14" t="str" cm="1">
        <f t="array" ref="S135">INDEX('PS-ConceptMap-1'!$I$15:$N$286,Q135+1,R135)</f>
        <v>* group[=].element[+].code = #PatientSummary.body.alerts.alert.description</v>
      </c>
    </row>
    <row r="136" spans="16:19" x14ac:dyDescent="0.75">
      <c r="P136" s="9">
        <v>122</v>
      </c>
      <c r="Q136" s="9">
        <f t="shared" si="12"/>
        <v>20</v>
      </c>
      <c r="R136" s="9">
        <f t="shared" si="13"/>
        <v>2</v>
      </c>
      <c r="S136" s="14" t="str" cm="1">
        <f t="array" ref="S136">INDEX('PS-ConceptMap-1'!$I$15:$N$286,Q136+1,R136)</f>
        <v>* group[=].element[=].display = ##34#A.2.1.2.1 Healthcare alert description##34#</v>
      </c>
    </row>
    <row r="137" spans="16:19" ht="29.5" x14ac:dyDescent="0.75">
      <c r="P137" s="9">
        <v>123</v>
      </c>
      <c r="Q137" s="9">
        <f t="shared" si="12"/>
        <v>20</v>
      </c>
      <c r="R137" s="9">
        <f t="shared" si="13"/>
        <v>3</v>
      </c>
      <c r="S137" s="14" t="str" cm="1">
        <f t="array" ref="S137">INDEX('PS-ConceptMap-1'!$I$15:$N$286,Q137+1,R137)</f>
        <v>* group[=].element[=].target.code = #Composition.section:sectionAlert.entry.code.text</v>
      </c>
    </row>
    <row r="138" spans="16:19" x14ac:dyDescent="0.75">
      <c r="P138" s="9">
        <v>124</v>
      </c>
      <c r="Q138" s="9">
        <f t="shared" si="12"/>
        <v>20</v>
      </c>
      <c r="R138" s="9">
        <f t="shared" si="13"/>
        <v>4</v>
      </c>
      <c r="S138" s="14" t="str" cm="1">
        <f t="array" ref="S138">INDEX('PS-ConceptMap-1'!$I$15:$N$286,Q138+1,R138)</f>
        <v>* group[=].element[=].target.display = ##34###34#</v>
      </c>
    </row>
    <row r="139" spans="16:19" x14ac:dyDescent="0.75">
      <c r="P139" s="9">
        <v>125</v>
      </c>
      <c r="Q139" s="9">
        <f t="shared" si="12"/>
        <v>20</v>
      </c>
      <c r="R139" s="9">
        <f t="shared" si="13"/>
        <v>5</v>
      </c>
      <c r="S139" s="14" t="str" cm="1">
        <f t="array" ref="S139">INDEX('PS-ConceptMap-1'!$I$15:$N$286,Q139+1,R139)</f>
        <v>* group[=].element[=].target.equivalence = #relatedto</v>
      </c>
    </row>
    <row r="140" spans="16:19" x14ac:dyDescent="0.75">
      <c r="P140" s="9">
        <v>126</v>
      </c>
      <c r="Q140" s="9">
        <f t="shared" si="12"/>
        <v>20</v>
      </c>
      <c r="R140" s="9">
        <f t="shared" si="13"/>
        <v>6</v>
      </c>
      <c r="S140" s="14" t="str" cm="1">
        <f t="array" ref="S140">INDEX('PS-ConceptMap-1'!$I$15:$N$286,Q140+1,R140)</f>
        <v>* group[=].element[=].target.comment = ##34#entry level description##34#</v>
      </c>
    </row>
    <row r="141" spans="16:19" x14ac:dyDescent="0.75">
      <c r="P141" s="9">
        <v>127</v>
      </c>
      <c r="Q141" s="9">
        <f t="shared" si="12"/>
        <v>21</v>
      </c>
      <c r="R141" s="9">
        <f t="shared" si="13"/>
        <v>1</v>
      </c>
      <c r="S141" s="14" t="str" cm="1">
        <f t="array" ref="S141">INDEX('PS-ConceptMap-1'!$I$15:$N$286,Q141+1,R141)</f>
        <v>* group[=].element[+].code = #PatientSummary.body.medicalHistory</v>
      </c>
    </row>
    <row r="142" spans="16:19" x14ac:dyDescent="0.75">
      <c r="P142" s="9">
        <v>128</v>
      </c>
      <c r="Q142" s="9">
        <f t="shared" si="12"/>
        <v>21</v>
      </c>
      <c r="R142" s="9">
        <f t="shared" si="13"/>
        <v>2</v>
      </c>
      <c r="S142" s="14" t="str" cm="1">
        <f t="array" ref="S142">INDEX('PS-ConceptMap-1'!$I$15:$N$286,Q142+1,R142)</f>
        <v>* group[=].element[=].display = ##34#A.2.2 Medical history##34#</v>
      </c>
    </row>
    <row r="143" spans="16:19" x14ac:dyDescent="0.75">
      <c r="P143" s="9">
        <v>129</v>
      </c>
      <c r="Q143" s="9">
        <f t="shared" si="12"/>
        <v>21</v>
      </c>
      <c r="R143" s="9">
        <f t="shared" si="13"/>
        <v>3</v>
      </c>
      <c r="S143" s="14" t="str" cm="1">
        <f t="array" ref="S143">INDEX('PS-ConceptMap-1'!$I$15:$N$286,Q143+1,R143)</f>
        <v>* group[=].element[=].target.code = #Composition.section</v>
      </c>
    </row>
    <row r="144" spans="16:19" x14ac:dyDescent="0.75">
      <c r="P144" s="9">
        <v>130</v>
      </c>
      <c r="Q144" s="9">
        <f t="shared" ref="Q144:Q207" si="14">IF(MOD(P144,$Q$8)=0,P144/$Q$8-1,INT(P144/$Q$8))</f>
        <v>21</v>
      </c>
      <c r="R144" s="9">
        <f t="shared" ref="R144:R207" si="15">IF(MOD(P144,$Q$8)=0,$Q$8,MOD(P144,$Q$8))</f>
        <v>4</v>
      </c>
      <c r="S144" s="14" t="str" cm="1">
        <f t="array" ref="S144">INDEX('PS-ConceptMap-1'!$I$15:$N$286,Q144+1,R144)</f>
        <v>* group[=].element[=].target.display = ##34###34#</v>
      </c>
    </row>
    <row r="145" spans="16:19" x14ac:dyDescent="0.75">
      <c r="P145" s="9">
        <v>131</v>
      </c>
      <c r="Q145" s="9">
        <f t="shared" si="14"/>
        <v>21</v>
      </c>
      <c r="R145" s="9">
        <f t="shared" si="15"/>
        <v>5</v>
      </c>
      <c r="S145" s="14" t="str" cm="1">
        <f t="array" ref="S145">INDEX('PS-ConceptMap-1'!$I$15:$N$286,Q145+1,R145)</f>
        <v>* group[=].element[=].target.equivalence = #relatedto</v>
      </c>
    </row>
    <row r="146" spans="16:19" x14ac:dyDescent="0.75">
      <c r="P146" s="9">
        <v>132</v>
      </c>
      <c r="Q146" s="9">
        <f t="shared" si="14"/>
        <v>21</v>
      </c>
      <c r="R146" s="9">
        <f t="shared" si="15"/>
        <v>6</v>
      </c>
      <c r="S146" s="14" t="str" cm="1">
        <f t="array" ref="S146">INDEX('PS-ConceptMap-1'!$I$15:$N$286,Q146+1,R146)</f>
        <v/>
      </c>
    </row>
    <row r="147" spans="16:19" x14ac:dyDescent="0.75">
      <c r="P147" s="9">
        <v>133</v>
      </c>
      <c r="Q147" s="9">
        <f t="shared" si="14"/>
        <v>22</v>
      </c>
      <c r="R147" s="9">
        <f t="shared" si="15"/>
        <v>1</v>
      </c>
      <c r="S147" s="14" t="str" cm="1">
        <f t="array" ref="S147">INDEX('PS-ConceptMap-1'!$I$15:$N$286,Q147+1,R147)</f>
        <v>* group[=].element[+].code = #PatientSummary.body.medicalHistory.vaccination</v>
      </c>
    </row>
    <row r="148" spans="16:19" ht="29.5" x14ac:dyDescent="0.75">
      <c r="P148" s="9">
        <v>134</v>
      </c>
      <c r="Q148" s="9">
        <f t="shared" si="14"/>
        <v>22</v>
      </c>
      <c r="R148" s="9">
        <f t="shared" si="15"/>
        <v>2</v>
      </c>
      <c r="S148" s="14" t="str" cm="1">
        <f t="array" ref="S148">INDEX('PS-ConceptMap-1'!$I$15:$N$286,Q148+1,R148)</f>
        <v>* group[=].element[=].display = ##34#A.2.2.1 Vaccination/ prophylaxis information##34#</v>
      </c>
    </row>
    <row r="149" spans="16:19" x14ac:dyDescent="0.75">
      <c r="P149" s="9">
        <v>135</v>
      </c>
      <c r="Q149" s="9">
        <f t="shared" si="14"/>
        <v>22</v>
      </c>
      <c r="R149" s="9">
        <f t="shared" si="15"/>
        <v>3</v>
      </c>
      <c r="S149" s="14" t="str" cm="1">
        <f t="array" ref="S149">INDEX('PS-ConceptMap-1'!$I$15:$N$286,Q149+1,R149)</f>
        <v>* group[=].element[=].target.code = #Composition.section:sectionImmunizations</v>
      </c>
    </row>
    <row r="150" spans="16:19" x14ac:dyDescent="0.75">
      <c r="P150" s="9">
        <v>136</v>
      </c>
      <c r="Q150" s="9">
        <f t="shared" si="14"/>
        <v>22</v>
      </c>
      <c r="R150" s="9">
        <f t="shared" si="15"/>
        <v>4</v>
      </c>
      <c r="S150" s="14" t="str" cm="1">
        <f t="array" ref="S150">INDEX('PS-ConceptMap-1'!$I$15:$N$286,Q150+1,R150)</f>
        <v>* group[=].element[=].target.display = ##34###34#</v>
      </c>
    </row>
    <row r="151" spans="16:19" x14ac:dyDescent="0.75">
      <c r="P151" s="9">
        <v>137</v>
      </c>
      <c r="Q151" s="9">
        <f t="shared" si="14"/>
        <v>22</v>
      </c>
      <c r="R151" s="9">
        <f t="shared" si="15"/>
        <v>5</v>
      </c>
      <c r="S151" s="14" t="str" cm="1">
        <f t="array" ref="S151">INDEX('PS-ConceptMap-1'!$I$15:$N$286,Q151+1,R151)</f>
        <v>* group[=].element[=].target.equivalence = #equivalent</v>
      </c>
    </row>
    <row r="152" spans="16:19" x14ac:dyDescent="0.75">
      <c r="P152" s="9">
        <v>138</v>
      </c>
      <c r="Q152" s="9">
        <f t="shared" si="14"/>
        <v>22</v>
      </c>
      <c r="R152" s="9">
        <f t="shared" si="15"/>
        <v>6</v>
      </c>
      <c r="S152" s="14" t="str" cm="1">
        <f t="array" ref="S152">INDEX('PS-ConceptMap-1'!$I$15:$N$286,Q152+1,R152)</f>
        <v/>
      </c>
    </row>
    <row r="153" spans="16:19" x14ac:dyDescent="0.75">
      <c r="P153" s="9">
        <v>139</v>
      </c>
      <c r="Q153" s="9">
        <f t="shared" si="14"/>
        <v>23</v>
      </c>
      <c r="R153" s="9">
        <f t="shared" si="15"/>
        <v>1</v>
      </c>
      <c r="S153" s="14" t="str" cm="1">
        <f t="array" ref="S153">INDEX('PS-ConceptMap-1'!$I$15:$N$286,Q153+1,R153)</f>
        <v>* group[=].element[+].code = #PatientSummary.body.medicalHistory.inactiveProblem</v>
      </c>
    </row>
    <row r="154" spans="16:19" ht="29.5" x14ac:dyDescent="0.75">
      <c r="P154" s="9">
        <v>140</v>
      </c>
      <c r="Q154" s="9">
        <f t="shared" si="14"/>
        <v>23</v>
      </c>
      <c r="R154" s="9">
        <f t="shared" si="15"/>
        <v>2</v>
      </c>
      <c r="S154" s="14" t="str" cm="1">
        <f t="array" ref="S154">INDEX('PS-ConceptMap-1'!$I$15:$N$286,Q154+1,R154)</f>
        <v>* group[=].element[=].display = ##34#A.2.2.2 Resolved, closed or inactive problems##34#</v>
      </c>
    </row>
    <row r="155" spans="16:19" x14ac:dyDescent="0.75">
      <c r="P155" s="9">
        <v>141</v>
      </c>
      <c r="Q155" s="9">
        <f t="shared" si="14"/>
        <v>23</v>
      </c>
      <c r="R155" s="9">
        <f t="shared" si="15"/>
        <v>3</v>
      </c>
      <c r="S155" s="14" t="str" cm="1">
        <f t="array" ref="S155">INDEX('PS-ConceptMap-1'!$I$15:$N$286,Q155+1,R155)</f>
        <v>* group[=].element[=].target.code = #Composition.section:sectionPastIllnessHx</v>
      </c>
    </row>
    <row r="156" spans="16:19" x14ac:dyDescent="0.75">
      <c r="P156" s="9">
        <v>142</v>
      </c>
      <c r="Q156" s="9">
        <f t="shared" si="14"/>
        <v>23</v>
      </c>
      <c r="R156" s="9">
        <f t="shared" si="15"/>
        <v>4</v>
      </c>
      <c r="S156" s="14" t="str" cm="1">
        <f t="array" ref="S156">INDEX('PS-ConceptMap-1'!$I$15:$N$286,Q156+1,R156)</f>
        <v>* group[=].element[=].target.display = ##34###34#</v>
      </c>
    </row>
    <row r="157" spans="16:19" x14ac:dyDescent="0.75">
      <c r="P157" s="9">
        <v>143</v>
      </c>
      <c r="Q157" s="9">
        <f t="shared" si="14"/>
        <v>23</v>
      </c>
      <c r="R157" s="9">
        <f t="shared" si="15"/>
        <v>5</v>
      </c>
      <c r="S157" s="14" t="str" cm="1">
        <f t="array" ref="S157">INDEX('PS-ConceptMap-1'!$I$15:$N$286,Q157+1,R157)</f>
        <v>* group[=].element[=].target.equivalence = #equivalent</v>
      </c>
    </row>
    <row r="158" spans="16:19" x14ac:dyDescent="0.75">
      <c r="P158" s="9">
        <v>144</v>
      </c>
      <c r="Q158" s="9">
        <f t="shared" si="14"/>
        <v>23</v>
      </c>
      <c r="R158" s="9">
        <f t="shared" si="15"/>
        <v>6</v>
      </c>
      <c r="S158" s="14" t="str" cm="1">
        <f t="array" ref="S158">INDEX('PS-ConceptMap-1'!$I$15:$N$286,Q158+1,R158)</f>
        <v/>
      </c>
    </row>
    <row r="159" spans="16:19" x14ac:dyDescent="0.75">
      <c r="P159" s="9">
        <v>145</v>
      </c>
      <c r="Q159" s="9">
        <f t="shared" si="14"/>
        <v>24</v>
      </c>
      <c r="R159" s="9">
        <f t="shared" si="15"/>
        <v>1</v>
      </c>
      <c r="S159" s="14" t="str" cm="1">
        <f t="array" ref="S159">INDEX('PS-ConceptMap-1'!$I$15:$N$286,Q159+1,R159)</f>
        <v>* group[=].element[+].code = #PatientSummary.body.medicalHistory.anamnesis</v>
      </c>
    </row>
    <row r="160" spans="16:19" x14ac:dyDescent="0.75">
      <c r="P160" s="9">
        <v>146</v>
      </c>
      <c r="Q160" s="9">
        <f t="shared" si="14"/>
        <v>24</v>
      </c>
      <c r="R160" s="9">
        <f t="shared" si="15"/>
        <v>2</v>
      </c>
      <c r="S160" s="14" t="str" cm="1">
        <f t="array" ref="S160">INDEX('PS-ConceptMap-1'!$I$15:$N$286,Q160+1,R160)</f>
        <v>* group[=].element[=].display = ##34#A.2.2.3 Medical history##34#</v>
      </c>
    </row>
    <row r="161" spans="16:19" x14ac:dyDescent="0.75">
      <c r="P161" s="9">
        <v>147</v>
      </c>
      <c r="Q161" s="9">
        <f t="shared" si="14"/>
        <v>24</v>
      </c>
      <c r="R161" s="9">
        <f t="shared" si="15"/>
        <v>3</v>
      </c>
      <c r="S161" s="14" t="str" cm="1">
        <f t="array" ref="S161">INDEX('PS-ConceptMap-1'!$I$15:$N$286,Q161+1,R161)</f>
        <v>* group[=].element[=].target.code = #Composition.section</v>
      </c>
    </row>
    <row r="162" spans="16:19" x14ac:dyDescent="0.75">
      <c r="P162" s="9">
        <v>148</v>
      </c>
      <c r="Q162" s="9">
        <f t="shared" si="14"/>
        <v>24</v>
      </c>
      <c r="R162" s="9">
        <f t="shared" si="15"/>
        <v>4</v>
      </c>
      <c r="S162" s="14" t="str" cm="1">
        <f t="array" ref="S162">INDEX('PS-ConceptMap-1'!$I$15:$N$286,Q162+1,R162)</f>
        <v>* group[=].element[=].target.display = ##34###34#</v>
      </c>
    </row>
    <row r="163" spans="16:19" x14ac:dyDescent="0.75">
      <c r="P163" s="9">
        <v>149</v>
      </c>
      <c r="Q163" s="9">
        <f t="shared" si="14"/>
        <v>24</v>
      </c>
      <c r="R163" s="9">
        <f t="shared" si="15"/>
        <v>5</v>
      </c>
      <c r="S163" s="14" t="str" cm="1">
        <f t="array" ref="S163">INDEX('PS-ConceptMap-1'!$I$15:$N$286,Q163+1,R163)</f>
        <v>* group[=].element[=].target.equivalence = #relatedto</v>
      </c>
    </row>
    <row r="164" spans="16:19" x14ac:dyDescent="0.75">
      <c r="P164" s="9">
        <v>150</v>
      </c>
      <c r="Q164" s="9">
        <f t="shared" si="14"/>
        <v>24</v>
      </c>
      <c r="R164" s="9">
        <f t="shared" si="15"/>
        <v>6</v>
      </c>
      <c r="S164" s="14" t="str" cm="1">
        <f t="array" ref="S164">INDEX('PS-ConceptMap-1'!$I$15:$N$286,Q164+1,R164)</f>
        <v/>
      </c>
    </row>
    <row r="165" spans="16:19" ht="29.5" x14ac:dyDescent="0.75">
      <c r="P165" s="9">
        <v>151</v>
      </c>
      <c r="Q165" s="9">
        <f t="shared" si="14"/>
        <v>25</v>
      </c>
      <c r="R165" s="9">
        <f t="shared" si="15"/>
        <v>1</v>
      </c>
      <c r="S165" s="14" t="str" cm="1">
        <f t="array" ref="S165">INDEX('PS-ConceptMap-1'!$I$15:$N$286,Q165+1,R165)</f>
        <v>* group[=].element[+].code = #PatientSummary.body.medicalHistory.anamnesis.details</v>
      </c>
    </row>
    <row r="166" spans="16:19" x14ac:dyDescent="0.75">
      <c r="P166" s="9">
        <v>152</v>
      </c>
      <c r="Q166" s="9">
        <f t="shared" si="14"/>
        <v>25</v>
      </c>
      <c r="R166" s="9">
        <f t="shared" si="15"/>
        <v>2</v>
      </c>
      <c r="S166" s="14" t="str" cm="1">
        <f t="array" ref="S166">INDEX('PS-ConceptMap-1'!$I$15:$N$286,Q166+1,R166)</f>
        <v>* group[=].element[=].display = ##34#A.2.2.3.1 Medical history##34#</v>
      </c>
    </row>
    <row r="167" spans="16:19" x14ac:dyDescent="0.75">
      <c r="P167" s="9">
        <v>153</v>
      </c>
      <c r="Q167" s="9">
        <f t="shared" si="14"/>
        <v>25</v>
      </c>
      <c r="R167" s="9">
        <f t="shared" si="15"/>
        <v>3</v>
      </c>
      <c r="S167" s="14" t="str" cm="1">
        <f t="array" ref="S167">INDEX('PS-ConceptMap-1'!$I$15:$N$286,Q167+1,R167)</f>
        <v>* group[=].element[=].target.code = #Composition.section:section:sectionPatientHx</v>
      </c>
    </row>
    <row r="168" spans="16:19" x14ac:dyDescent="0.75">
      <c r="P168" s="9">
        <v>154</v>
      </c>
      <c r="Q168" s="9">
        <f t="shared" si="14"/>
        <v>25</v>
      </c>
      <c r="R168" s="9">
        <f t="shared" si="15"/>
        <v>4</v>
      </c>
      <c r="S168" s="14" t="str" cm="1">
        <f t="array" ref="S168">INDEX('PS-ConceptMap-1'!$I$15:$N$286,Q168+1,R168)</f>
        <v>* group[=].element[=].target.display = ##34###34#</v>
      </c>
    </row>
    <row r="169" spans="16:19" x14ac:dyDescent="0.75">
      <c r="P169" s="9">
        <v>155</v>
      </c>
      <c r="Q169" s="9">
        <f t="shared" si="14"/>
        <v>25</v>
      </c>
      <c r="R169" s="9">
        <f t="shared" si="15"/>
        <v>5</v>
      </c>
      <c r="S169" s="14" t="str" cm="1">
        <f t="array" ref="S169">INDEX('PS-ConceptMap-1'!$I$15:$N$286,Q169+1,R169)</f>
        <v>* group[=].element[=].target.equivalence = #relatedto</v>
      </c>
    </row>
    <row r="170" spans="16:19" x14ac:dyDescent="0.75">
      <c r="P170" s="9">
        <v>156</v>
      </c>
      <c r="Q170" s="9">
        <f t="shared" si="14"/>
        <v>25</v>
      </c>
      <c r="R170" s="9">
        <f t="shared" si="15"/>
        <v>6</v>
      </c>
      <c r="S170" s="14" t="str" cm="1">
        <f t="array" ref="S170">INDEX('PS-ConceptMap-1'!$I$15:$N$286,Q170+1,R170)</f>
        <v/>
      </c>
    </row>
    <row r="171" spans="16:19" x14ac:dyDescent="0.75">
      <c r="P171" s="9">
        <v>157</v>
      </c>
      <c r="Q171" s="9">
        <f t="shared" si="14"/>
        <v>26</v>
      </c>
      <c r="R171" s="9">
        <f t="shared" si="15"/>
        <v>1</v>
      </c>
      <c r="S171" s="14" t="str" cm="1">
        <f t="array" ref="S171">INDEX('PS-ConceptMap-1'!$I$15:$N$286,Q171+1,R171)</f>
        <v>* group[=].element[+].code = #PatientSummary.body.medicalProblems</v>
      </c>
    </row>
    <row r="172" spans="16:19" x14ac:dyDescent="0.75">
      <c r="P172" s="9">
        <v>158</v>
      </c>
      <c r="Q172" s="9">
        <f t="shared" si="14"/>
        <v>26</v>
      </c>
      <c r="R172" s="9">
        <f t="shared" si="15"/>
        <v>2</v>
      </c>
      <c r="S172" s="14" t="str" cm="1">
        <f t="array" ref="S172">INDEX('PS-ConceptMap-1'!$I$15:$N$286,Q172+1,R172)</f>
        <v>* group[=].element[=].display = ##34#A.2.3 Medical problems##34#</v>
      </c>
    </row>
    <row r="173" spans="16:19" x14ac:dyDescent="0.75">
      <c r="P173" s="9">
        <v>159</v>
      </c>
      <c r="Q173" s="9">
        <f t="shared" si="14"/>
        <v>26</v>
      </c>
      <c r="R173" s="9">
        <f t="shared" si="15"/>
        <v>3</v>
      </c>
      <c r="S173" s="14" t="str" cm="1">
        <f t="array" ref="S173">INDEX('PS-ConceptMap-1'!$I$15:$N$286,Q173+1,R173)</f>
        <v>* group[=].element[=].target.code = #Composition.section</v>
      </c>
    </row>
    <row r="174" spans="16:19" x14ac:dyDescent="0.75">
      <c r="P174" s="9">
        <v>160</v>
      </c>
      <c r="Q174" s="9">
        <f t="shared" si="14"/>
        <v>26</v>
      </c>
      <c r="R174" s="9">
        <f t="shared" si="15"/>
        <v>4</v>
      </c>
      <c r="S174" s="14" t="str" cm="1">
        <f t="array" ref="S174">INDEX('PS-ConceptMap-1'!$I$15:$N$286,Q174+1,R174)</f>
        <v>* group[=].element[=].target.display = ##34###34#</v>
      </c>
    </row>
    <row r="175" spans="16:19" x14ac:dyDescent="0.75">
      <c r="P175" s="9">
        <v>161</v>
      </c>
      <c r="Q175" s="9">
        <f t="shared" si="14"/>
        <v>26</v>
      </c>
      <c r="R175" s="9">
        <f t="shared" si="15"/>
        <v>5</v>
      </c>
      <c r="S175" s="14" t="str" cm="1">
        <f t="array" ref="S175">INDEX('PS-ConceptMap-1'!$I$15:$N$286,Q175+1,R175)</f>
        <v>* group[=].element[=].target.equivalence = #relatedto</v>
      </c>
    </row>
    <row r="176" spans="16:19" x14ac:dyDescent="0.75">
      <c r="P176" s="9">
        <v>162</v>
      </c>
      <c r="Q176" s="9">
        <f t="shared" si="14"/>
        <v>26</v>
      </c>
      <c r="R176" s="9">
        <f t="shared" si="15"/>
        <v>6</v>
      </c>
      <c r="S176" s="14" t="str" cm="1">
        <f t="array" ref="S176">INDEX('PS-ConceptMap-1'!$I$15:$N$286,Q176+1,R176)</f>
        <v/>
      </c>
    </row>
    <row r="177" spans="16:19" x14ac:dyDescent="0.75">
      <c r="P177" s="9">
        <v>163</v>
      </c>
      <c r="Q177" s="9">
        <f t="shared" si="14"/>
        <v>27</v>
      </c>
      <c r="R177" s="9">
        <f t="shared" si="15"/>
        <v>1</v>
      </c>
      <c r="S177" s="14" t="str" cm="1">
        <f t="array" ref="S177">INDEX('PS-ConceptMap-1'!$I$15:$N$286,Q177+1,R177)</f>
        <v>* group[=].element[+].code = #PatientSummary.body.medicalProblems.problems</v>
      </c>
    </row>
    <row r="178" spans="16:19" x14ac:dyDescent="0.75">
      <c r="P178" s="9">
        <v>164</v>
      </c>
      <c r="Q178" s="9">
        <f t="shared" si="14"/>
        <v>27</v>
      </c>
      <c r="R178" s="9">
        <f t="shared" si="15"/>
        <v>2</v>
      </c>
      <c r="S178" s="14" t="str" cm="1">
        <f t="array" ref="S178">INDEX('PS-ConceptMap-1'!$I$15:$N$286,Q178+1,R178)</f>
        <v>* group[=].element[=].display = ##34#A.2.3.1 Current problems##34#</v>
      </c>
    </row>
    <row r="179" spans="16:19" x14ac:dyDescent="0.75">
      <c r="P179" s="9">
        <v>165</v>
      </c>
      <c r="Q179" s="9">
        <f t="shared" si="14"/>
        <v>27</v>
      </c>
      <c r="R179" s="9">
        <f t="shared" si="15"/>
        <v>3</v>
      </c>
      <c r="S179" s="14" t="str" cm="1">
        <f t="array" ref="S179">INDEX('PS-ConceptMap-1'!$I$15:$N$286,Q179+1,R179)</f>
        <v>* group[=].element[=].target.code = #Composition.section:section:sectionProblems</v>
      </c>
    </row>
    <row r="180" spans="16:19" x14ac:dyDescent="0.75">
      <c r="P180" s="9">
        <v>166</v>
      </c>
      <c r="Q180" s="9">
        <f t="shared" si="14"/>
        <v>27</v>
      </c>
      <c r="R180" s="9">
        <f t="shared" si="15"/>
        <v>4</v>
      </c>
      <c r="S180" s="14" t="str" cm="1">
        <f t="array" ref="S180">INDEX('PS-ConceptMap-1'!$I$15:$N$286,Q180+1,R180)</f>
        <v>* group[=].element[=].target.display = ##34###34#</v>
      </c>
    </row>
    <row r="181" spans="16:19" x14ac:dyDescent="0.75">
      <c r="P181" s="9">
        <v>167</v>
      </c>
      <c r="Q181" s="9">
        <f t="shared" si="14"/>
        <v>27</v>
      </c>
      <c r="R181" s="9">
        <f t="shared" si="15"/>
        <v>5</v>
      </c>
      <c r="S181" s="14" t="str" cm="1">
        <f t="array" ref="S181">INDEX('PS-ConceptMap-1'!$I$15:$N$286,Q181+1,R181)</f>
        <v>* group[=].element[=].target.equivalence = #equivalent</v>
      </c>
    </row>
    <row r="182" spans="16:19" x14ac:dyDescent="0.75">
      <c r="P182" s="9">
        <v>168</v>
      </c>
      <c r="Q182" s="9">
        <f t="shared" si="14"/>
        <v>27</v>
      </c>
      <c r="R182" s="9">
        <f t="shared" si="15"/>
        <v>6</v>
      </c>
      <c r="S182" s="14" t="str" cm="1">
        <f t="array" ref="S182">INDEX('PS-ConceptMap-1'!$I$15:$N$286,Q182+1,R182)</f>
        <v/>
      </c>
    </row>
    <row r="183" spans="16:19" ht="29.5" x14ac:dyDescent="0.75">
      <c r="P183" s="9">
        <v>169</v>
      </c>
      <c r="Q183" s="9">
        <f t="shared" si="14"/>
        <v>28</v>
      </c>
      <c r="R183" s="9">
        <f t="shared" si="15"/>
        <v>1</v>
      </c>
      <c r="S183" s="14" t="str" cm="1">
        <f t="array" ref="S183">INDEX('PS-ConceptMap-1'!$I$15:$N$286,Q183+1,R183)</f>
        <v>* group[=].element[+].code = #PatientSummary.body.medicalProblems.medicalDevices</v>
      </c>
    </row>
    <row r="184" spans="16:19" x14ac:dyDescent="0.75">
      <c r="P184" s="9">
        <v>170</v>
      </c>
      <c r="Q184" s="9">
        <f t="shared" si="14"/>
        <v>28</v>
      </c>
      <c r="R184" s="9">
        <f t="shared" si="15"/>
        <v>2</v>
      </c>
      <c r="S184" s="14" t="str" cm="1">
        <f t="array" ref="S184">INDEX('PS-ConceptMap-1'!$I$15:$N$286,Q184+1,R184)</f>
        <v>* group[=].element[=].display = ##34#A.2.3.2 Medical devices and implants##34#</v>
      </c>
    </row>
    <row r="185" spans="16:19" x14ac:dyDescent="0.75">
      <c r="P185" s="9">
        <v>171</v>
      </c>
      <c r="Q185" s="9">
        <f t="shared" si="14"/>
        <v>28</v>
      </c>
      <c r="R185" s="9">
        <f t="shared" si="15"/>
        <v>3</v>
      </c>
      <c r="S185" s="14" t="str" cm="1">
        <f t="array" ref="S185">INDEX('PS-ConceptMap-1'!$I$15:$N$286,Q185+1,R185)</f>
        <v>* group[=].element[=].target.code = #Composition.section:sectionMedicalDevices</v>
      </c>
    </row>
    <row r="186" spans="16:19" x14ac:dyDescent="0.75">
      <c r="P186" s="9">
        <v>172</v>
      </c>
      <c r="Q186" s="9">
        <f t="shared" si="14"/>
        <v>28</v>
      </c>
      <c r="R186" s="9">
        <f t="shared" si="15"/>
        <v>4</v>
      </c>
      <c r="S186" s="14" t="str" cm="1">
        <f t="array" ref="S186">INDEX('PS-ConceptMap-1'!$I$15:$N$286,Q186+1,R186)</f>
        <v>* group[=].element[=].target.display = ##34###34#</v>
      </c>
    </row>
    <row r="187" spans="16:19" x14ac:dyDescent="0.75">
      <c r="P187" s="9">
        <v>173</v>
      </c>
      <c r="Q187" s="9">
        <f t="shared" si="14"/>
        <v>28</v>
      </c>
      <c r="R187" s="9">
        <f t="shared" si="15"/>
        <v>5</v>
      </c>
      <c r="S187" s="14" t="str" cm="1">
        <f t="array" ref="S187">INDEX('PS-ConceptMap-1'!$I$15:$N$286,Q187+1,R187)</f>
        <v>* group[=].element[=].target.equivalence = #equivalent</v>
      </c>
    </row>
    <row r="188" spans="16:19" x14ac:dyDescent="0.75">
      <c r="P188" s="9">
        <v>174</v>
      </c>
      <c r="Q188" s="9">
        <f t="shared" si="14"/>
        <v>28</v>
      </c>
      <c r="R188" s="9">
        <f t="shared" si="15"/>
        <v>6</v>
      </c>
      <c r="S188" s="14" t="str" cm="1">
        <f t="array" ref="S188">INDEX('PS-ConceptMap-1'!$I$15:$N$286,Q188+1,R188)</f>
        <v/>
      </c>
    </row>
    <row r="189" spans="16:19" x14ac:dyDescent="0.75">
      <c r="P189" s="9">
        <v>175</v>
      </c>
      <c r="Q189" s="9">
        <f t="shared" si="14"/>
        <v>29</v>
      </c>
      <c r="R189" s="9">
        <f t="shared" si="15"/>
        <v>1</v>
      </c>
      <c r="S189" s="14" t="str" cm="1">
        <f t="array" ref="S189">INDEX('PS-ConceptMap-1'!$I$15:$N$286,Q189+1,R189)</f>
        <v>* group[=].element[+].code = #PatientSummary.body.medicalProblems.procedures</v>
      </c>
    </row>
    <row r="190" spans="16:19" x14ac:dyDescent="0.75">
      <c r="P190" s="9">
        <v>176</v>
      </c>
      <c r="Q190" s="9">
        <f t="shared" si="14"/>
        <v>29</v>
      </c>
      <c r="R190" s="9">
        <f t="shared" si="15"/>
        <v>2</v>
      </c>
      <c r="S190" s="14" t="str" cm="1">
        <f t="array" ref="S190">INDEX('PS-ConceptMap-1'!$I$15:$N$286,Q190+1,R190)</f>
        <v>* group[=].element[=].display = ##34#A.2.3.3 Procedures##34#</v>
      </c>
    </row>
    <row r="191" spans="16:19" x14ac:dyDescent="0.75">
      <c r="P191" s="9">
        <v>177</v>
      </c>
      <c r="Q191" s="9">
        <f t="shared" si="14"/>
        <v>29</v>
      </c>
      <c r="R191" s="9">
        <f t="shared" si="15"/>
        <v>3</v>
      </c>
      <c r="S191" s="14" t="str" cm="1">
        <f t="array" ref="S191">INDEX('PS-ConceptMap-1'!$I$15:$N$286,Q191+1,R191)</f>
        <v>* group[=].element[=].target.code = #Composition.section:sectionProceduresHx</v>
      </c>
    </row>
    <row r="192" spans="16:19" x14ac:dyDescent="0.75">
      <c r="P192" s="9">
        <v>178</v>
      </c>
      <c r="Q192" s="9">
        <f t="shared" si="14"/>
        <v>29</v>
      </c>
      <c r="R192" s="9">
        <f t="shared" si="15"/>
        <v>4</v>
      </c>
      <c r="S192" s="14" t="str" cm="1">
        <f t="array" ref="S192">INDEX('PS-ConceptMap-1'!$I$15:$N$286,Q192+1,R192)</f>
        <v>* group[=].element[=].target.display = ##34###34#</v>
      </c>
    </row>
    <row r="193" spans="16:19" x14ac:dyDescent="0.75">
      <c r="P193" s="9">
        <v>179</v>
      </c>
      <c r="Q193" s="9">
        <f t="shared" si="14"/>
        <v>29</v>
      </c>
      <c r="R193" s="9">
        <f t="shared" si="15"/>
        <v>5</v>
      </c>
      <c r="S193" s="14" t="str" cm="1">
        <f t="array" ref="S193">INDEX('PS-ConceptMap-1'!$I$15:$N$286,Q193+1,R193)</f>
        <v>* group[=].element[=].target.equivalence = #equivalent</v>
      </c>
    </row>
    <row r="194" spans="16:19" x14ac:dyDescent="0.75">
      <c r="P194" s="9">
        <v>180</v>
      </c>
      <c r="Q194" s="9">
        <f t="shared" si="14"/>
        <v>29</v>
      </c>
      <c r="R194" s="9">
        <f t="shared" si="15"/>
        <v>6</v>
      </c>
      <c r="S194" s="14" t="str" cm="1">
        <f t="array" ref="S194">INDEX('PS-ConceptMap-1'!$I$15:$N$286,Q194+1,R194)</f>
        <v/>
      </c>
    </row>
    <row r="195" spans="16:19" ht="29.5" x14ac:dyDescent="0.75">
      <c r="P195" s="9">
        <v>181</v>
      </c>
      <c r="Q195" s="9">
        <f t="shared" si="14"/>
        <v>30</v>
      </c>
      <c r="R195" s="9">
        <f t="shared" si="15"/>
        <v>1</v>
      </c>
      <c r="S195" s="14" t="str" cm="1">
        <f t="array" ref="S195">INDEX('PS-ConceptMap-1'!$I$15:$N$286,Q195+1,R195)</f>
        <v>* group[=].element[+].code = #PatientSummary.body.medicalProblems.functionalStatus</v>
      </c>
    </row>
    <row r="196" spans="16:19" x14ac:dyDescent="0.75">
      <c r="P196" s="9">
        <v>182</v>
      </c>
      <c r="Q196" s="9">
        <f t="shared" si="14"/>
        <v>30</v>
      </c>
      <c r="R196" s="9">
        <f t="shared" si="15"/>
        <v>2</v>
      </c>
      <c r="S196" s="14" t="str" cm="1">
        <f t="array" ref="S196">INDEX('PS-ConceptMap-1'!$I$15:$N$286,Q196+1,R196)</f>
        <v>* group[=].element[=].display = ##34#A.2.3.4 Functional status##34#</v>
      </c>
    </row>
    <row r="197" spans="16:19" x14ac:dyDescent="0.75">
      <c r="P197" s="9">
        <v>183</v>
      </c>
      <c r="Q197" s="9">
        <f t="shared" si="14"/>
        <v>30</v>
      </c>
      <c r="R197" s="9">
        <f t="shared" si="15"/>
        <v>3</v>
      </c>
      <c r="S197" s="14" t="str" cm="1">
        <f t="array" ref="S197">INDEX('PS-ConceptMap-1'!$I$15:$N$286,Q197+1,R197)</f>
        <v>* group[=].element[=].target.code = #Composition.section:sectionFunctionalStatus</v>
      </c>
    </row>
    <row r="198" spans="16:19" x14ac:dyDescent="0.75">
      <c r="P198" s="9">
        <v>184</v>
      </c>
      <c r="Q198" s="9">
        <f t="shared" si="14"/>
        <v>30</v>
      </c>
      <c r="R198" s="9">
        <f t="shared" si="15"/>
        <v>4</v>
      </c>
      <c r="S198" s="14" t="str" cm="1">
        <f t="array" ref="S198">INDEX('PS-ConceptMap-1'!$I$15:$N$286,Q198+1,R198)</f>
        <v>* group[=].element[=].target.display = ##34###34#</v>
      </c>
    </row>
    <row r="199" spans="16:19" x14ac:dyDescent="0.75">
      <c r="P199" s="9">
        <v>185</v>
      </c>
      <c r="Q199" s="9">
        <f t="shared" si="14"/>
        <v>30</v>
      </c>
      <c r="R199" s="9">
        <f t="shared" si="15"/>
        <v>5</v>
      </c>
      <c r="S199" s="14" t="str" cm="1">
        <f t="array" ref="S199">INDEX('PS-ConceptMap-1'!$I$15:$N$286,Q199+1,R199)</f>
        <v>* group[=].element[=].target.equivalence = #equivalent</v>
      </c>
    </row>
    <row r="200" spans="16:19" x14ac:dyDescent="0.75">
      <c r="P200" s="9">
        <v>186</v>
      </c>
      <c r="Q200" s="9">
        <f t="shared" si="14"/>
        <v>30</v>
      </c>
      <c r="R200" s="9">
        <f t="shared" si="15"/>
        <v>6</v>
      </c>
      <c r="S200" s="14" t="str" cm="1">
        <f t="array" ref="S200">INDEX('PS-ConceptMap-1'!$I$15:$N$286,Q200+1,R200)</f>
        <v/>
      </c>
    </row>
    <row r="201" spans="16:19" x14ac:dyDescent="0.75">
      <c r="P201" s="9">
        <v>187</v>
      </c>
      <c r="Q201" s="9">
        <f t="shared" si="14"/>
        <v>31</v>
      </c>
      <c r="R201" s="9">
        <f t="shared" si="15"/>
        <v>1</v>
      </c>
      <c r="S201" s="14" t="str" cm="1">
        <f t="array" ref="S201">INDEX('PS-ConceptMap-1'!$I$15:$N$286,Q201+1,R201)</f>
        <v>* group[=].element[+].code = #PatientSummary.body.medicationSummary</v>
      </c>
    </row>
    <row r="202" spans="16:19" x14ac:dyDescent="0.75">
      <c r="P202" s="9">
        <v>188</v>
      </c>
      <c r="Q202" s="9">
        <f t="shared" si="14"/>
        <v>31</v>
      </c>
      <c r="R202" s="9">
        <f t="shared" si="15"/>
        <v>2</v>
      </c>
      <c r="S202" s="14" t="str" cm="1">
        <f t="array" ref="S202">INDEX('PS-ConceptMap-1'!$I$15:$N$286,Q202+1,R202)</f>
        <v>* group[=].element[=].display = ##34#A.2.4 Medication summary##34#</v>
      </c>
    </row>
    <row r="203" spans="16:19" x14ac:dyDescent="0.75">
      <c r="P203" s="9">
        <v>189</v>
      </c>
      <c r="Q203" s="9">
        <f t="shared" si="14"/>
        <v>31</v>
      </c>
      <c r="R203" s="9">
        <f t="shared" si="15"/>
        <v>3</v>
      </c>
      <c r="S203" s="14" t="str" cm="1">
        <f t="array" ref="S203">INDEX('PS-ConceptMap-1'!$I$15:$N$286,Q203+1,R203)</f>
        <v>* group[=].element[=].target.code = #Composition.section:sectionMedications</v>
      </c>
    </row>
    <row r="204" spans="16:19" x14ac:dyDescent="0.75">
      <c r="P204" s="9">
        <v>190</v>
      </c>
      <c r="Q204" s="9">
        <f t="shared" si="14"/>
        <v>31</v>
      </c>
      <c r="R204" s="9">
        <f t="shared" si="15"/>
        <v>4</v>
      </c>
      <c r="S204" s="14" t="str" cm="1">
        <f t="array" ref="S204">INDEX('PS-ConceptMap-1'!$I$15:$N$286,Q204+1,R204)</f>
        <v>* group[=].element[=].target.display = ##34###34#</v>
      </c>
    </row>
    <row r="205" spans="16:19" x14ac:dyDescent="0.75">
      <c r="P205" s="9">
        <v>191</v>
      </c>
      <c r="Q205" s="9">
        <f t="shared" si="14"/>
        <v>31</v>
      </c>
      <c r="R205" s="9">
        <f t="shared" si="15"/>
        <v>5</v>
      </c>
      <c r="S205" s="14" t="str" cm="1">
        <f t="array" ref="S205">INDEX('PS-ConceptMap-1'!$I$15:$N$286,Q205+1,R205)</f>
        <v>* group[=].element[=].target.equivalence = #equivalent</v>
      </c>
    </row>
    <row r="206" spans="16:19" x14ac:dyDescent="0.75">
      <c r="P206" s="9">
        <v>192</v>
      </c>
      <c r="Q206" s="9">
        <f t="shared" si="14"/>
        <v>31</v>
      </c>
      <c r="R206" s="9">
        <f t="shared" si="15"/>
        <v>6</v>
      </c>
      <c r="S206" s="14" t="str" cm="1">
        <f t="array" ref="S206">INDEX('PS-ConceptMap-1'!$I$15:$N$286,Q206+1,R206)</f>
        <v/>
      </c>
    </row>
    <row r="207" spans="16:19" ht="29.5" x14ac:dyDescent="0.75">
      <c r="P207" s="9">
        <v>193</v>
      </c>
      <c r="Q207" s="9">
        <f t="shared" si="14"/>
        <v>32</v>
      </c>
      <c r="R207" s="9">
        <f t="shared" si="15"/>
        <v>1</v>
      </c>
      <c r="S207" s="14" t="str" cm="1">
        <f t="array" ref="S207">INDEX('PS-ConceptMap-1'!$I$15:$N$286,Q207+1,R207)</f>
        <v>* group[=].element[+].code = #PatientSummary.body.medicationSummary.medication</v>
      </c>
    </row>
    <row r="208" spans="16:19" ht="29.5" x14ac:dyDescent="0.75">
      <c r="P208" s="9">
        <v>194</v>
      </c>
      <c r="Q208" s="9">
        <f t="shared" ref="Q208:Q271" si="16">IF(MOD(P208,$Q$8)=0,P208/$Q$8-1,INT(P208/$Q$8))</f>
        <v>32</v>
      </c>
      <c r="R208" s="9">
        <f t="shared" ref="R208:R271" si="17">IF(MOD(P208,$Q$8)=0,$Q$8,MOD(P208,$Q$8))</f>
        <v>2</v>
      </c>
      <c r="S208" s="14" t="str" cm="1">
        <f t="array" ref="S208">INDEX('PS-ConceptMap-1'!$I$15:$N$286,Q208+1,R208)</f>
        <v>* group[=].element[=].display = ##34#A.2.4.1 Current and relevant past medicines##34#</v>
      </c>
    </row>
    <row r="209" spans="16:19" x14ac:dyDescent="0.75">
      <c r="P209" s="9">
        <v>195</v>
      </c>
      <c r="Q209" s="9">
        <f t="shared" si="16"/>
        <v>32</v>
      </c>
      <c r="R209" s="9">
        <f t="shared" si="17"/>
        <v>3</v>
      </c>
      <c r="S209" s="14" t="str" cm="1">
        <f t="array" ref="S209">INDEX('PS-ConceptMap-1'!$I$15:$N$286,Q209+1,R209)</f>
        <v>* group[=].element[=].target.code = #Composition.section:sectionMedications.entry</v>
      </c>
    </row>
    <row r="210" spans="16:19" x14ac:dyDescent="0.75">
      <c r="P210" s="9">
        <v>196</v>
      </c>
      <c r="Q210" s="9">
        <f t="shared" si="16"/>
        <v>32</v>
      </c>
      <c r="R210" s="9">
        <f t="shared" si="17"/>
        <v>4</v>
      </c>
      <c r="S210" s="14" t="str" cm="1">
        <f t="array" ref="S210">INDEX('PS-ConceptMap-1'!$I$15:$N$286,Q210+1,R210)</f>
        <v>* group[=].element[=].target.display = ##34###34#</v>
      </c>
    </row>
    <row r="211" spans="16:19" x14ac:dyDescent="0.75">
      <c r="P211" s="9">
        <v>197</v>
      </c>
      <c r="Q211" s="9">
        <f t="shared" si="16"/>
        <v>32</v>
      </c>
      <c r="R211" s="9">
        <f t="shared" si="17"/>
        <v>5</v>
      </c>
      <c r="S211" s="14" t="str" cm="1">
        <f t="array" ref="S211">INDEX('PS-ConceptMap-1'!$I$15:$N$286,Q211+1,R211)</f>
        <v>* group[=].element[=].target.equivalence = #equivalent</v>
      </c>
    </row>
    <row r="212" spans="16:19" x14ac:dyDescent="0.75">
      <c r="P212" s="9">
        <v>198</v>
      </c>
      <c r="Q212" s="9">
        <f t="shared" si="16"/>
        <v>32</v>
      </c>
      <c r="R212" s="9">
        <f t="shared" si="17"/>
        <v>6</v>
      </c>
      <c r="S212" s="14" t="str" cm="1">
        <f t="array" ref="S212">INDEX('PS-ConceptMap-1'!$I$15:$N$286,Q212+1,R212)</f>
        <v/>
      </c>
    </row>
    <row r="213" spans="16:19" x14ac:dyDescent="0.75">
      <c r="P213" s="9">
        <v>199</v>
      </c>
      <c r="Q213" s="9">
        <f t="shared" si="16"/>
        <v>33</v>
      </c>
      <c r="R213" s="9">
        <f t="shared" si="17"/>
        <v>1</v>
      </c>
      <c r="S213" s="14" t="str" cm="1">
        <f t="array" ref="S213">INDEX('PS-ConceptMap-1'!$I$15:$N$286,Q213+1,R213)</f>
        <v>* group[=].element[+].code = #PatientSummary.body.socialHistory</v>
      </c>
    </row>
    <row r="214" spans="16:19" x14ac:dyDescent="0.75">
      <c r="P214" s="9">
        <v>200</v>
      </c>
      <c r="Q214" s="9">
        <f t="shared" si="16"/>
        <v>33</v>
      </c>
      <c r="R214" s="9">
        <f t="shared" si="17"/>
        <v>2</v>
      </c>
      <c r="S214" s="14" t="str" cm="1">
        <f t="array" ref="S214">INDEX('PS-ConceptMap-1'!$I$15:$N$286,Q214+1,R214)</f>
        <v>* group[=].element[=].display = ##34#A.2.5 Social history##34#</v>
      </c>
    </row>
    <row r="215" spans="16:19" x14ac:dyDescent="0.75">
      <c r="P215" s="9">
        <v>201</v>
      </c>
      <c r="Q215" s="9">
        <f t="shared" si="16"/>
        <v>33</v>
      </c>
      <c r="R215" s="9">
        <f t="shared" si="17"/>
        <v>3</v>
      </c>
      <c r="S215" s="14" t="str" cm="1">
        <f t="array" ref="S215">INDEX('PS-ConceptMap-1'!$I$15:$N$286,Q215+1,R215)</f>
        <v>* group[=].element[=].target.code = #Composition.section:sectionSocialHistory</v>
      </c>
    </row>
    <row r="216" spans="16:19" x14ac:dyDescent="0.75">
      <c r="P216" s="9">
        <v>202</v>
      </c>
      <c r="Q216" s="9">
        <f t="shared" si="16"/>
        <v>33</v>
      </c>
      <c r="R216" s="9">
        <f t="shared" si="17"/>
        <v>4</v>
      </c>
      <c r="S216" s="14" t="str" cm="1">
        <f t="array" ref="S216">INDEX('PS-ConceptMap-1'!$I$15:$N$286,Q216+1,R216)</f>
        <v>* group[=].element[=].target.display = ##34###34#</v>
      </c>
    </row>
    <row r="217" spans="16:19" x14ac:dyDescent="0.75">
      <c r="P217" s="9">
        <v>203</v>
      </c>
      <c r="Q217" s="9">
        <f t="shared" si="16"/>
        <v>33</v>
      </c>
      <c r="R217" s="9">
        <f t="shared" si="17"/>
        <v>5</v>
      </c>
      <c r="S217" s="14" t="str" cm="1">
        <f t="array" ref="S217">INDEX('PS-ConceptMap-1'!$I$15:$N$286,Q217+1,R217)</f>
        <v>* group[=].element[=].target.equivalence = #equivalent</v>
      </c>
    </row>
    <row r="218" spans="16:19" x14ac:dyDescent="0.75">
      <c r="P218" s="9">
        <v>204</v>
      </c>
      <c r="Q218" s="9">
        <f t="shared" si="16"/>
        <v>33</v>
      </c>
      <c r="R218" s="9">
        <f t="shared" si="17"/>
        <v>6</v>
      </c>
      <c r="S218" s="14" t="str" cm="1">
        <f t="array" ref="S218">INDEX('PS-ConceptMap-1'!$I$15:$N$286,Q218+1,R218)</f>
        <v/>
      </c>
    </row>
    <row r="219" spans="16:19" x14ac:dyDescent="0.75">
      <c r="P219" s="9">
        <v>205</v>
      </c>
      <c r="Q219" s="9">
        <f t="shared" si="16"/>
        <v>34</v>
      </c>
      <c r="R219" s="9">
        <f t="shared" si="17"/>
        <v>1</v>
      </c>
      <c r="S219" s="14" t="str" cm="1">
        <f t="array" ref="S219">INDEX('PS-ConceptMap-1'!$I$15:$N$286,Q219+1,R219)</f>
        <v>* group[=].element[+].code = #PatientSummary.body.socialHistory.observation</v>
      </c>
    </row>
    <row r="220" spans="16:19" ht="29.5" x14ac:dyDescent="0.75">
      <c r="P220" s="9">
        <v>206</v>
      </c>
      <c r="Q220" s="9">
        <f t="shared" si="16"/>
        <v>34</v>
      </c>
      <c r="R220" s="9">
        <f t="shared" si="17"/>
        <v>2</v>
      </c>
      <c r="S220" s="14" t="str" cm="1">
        <f t="array" ref="S220">INDEX('PS-ConceptMap-1'!$I$15:$N$286,Q220+1,R220)</f>
        <v>* group[=].element[=].display = ##34#A.2.5.1 Social history observations related to health##34#</v>
      </c>
    </row>
    <row r="221" spans="16:19" x14ac:dyDescent="0.75">
      <c r="P221" s="9">
        <v>207</v>
      </c>
      <c r="Q221" s="9">
        <f t="shared" si="16"/>
        <v>34</v>
      </c>
      <c r="R221" s="9">
        <f t="shared" si="17"/>
        <v>3</v>
      </c>
      <c r="S221" s="14" t="str" cm="1">
        <f t="array" ref="S221">INDEX('PS-ConceptMap-1'!$I$15:$N$286,Q221+1,R221)</f>
        <v>* group[=].element[=].target.code = #Composition.section:sectionSocialHistory.entry</v>
      </c>
    </row>
    <row r="222" spans="16:19" x14ac:dyDescent="0.75">
      <c r="P222" s="9">
        <v>208</v>
      </c>
      <c r="Q222" s="9">
        <f t="shared" si="16"/>
        <v>34</v>
      </c>
      <c r="R222" s="9">
        <f t="shared" si="17"/>
        <v>4</v>
      </c>
      <c r="S222" s="14" t="str" cm="1">
        <f t="array" ref="S222">INDEX('PS-ConceptMap-1'!$I$15:$N$286,Q222+1,R222)</f>
        <v>* group[=].element[=].target.display = ##34###34#</v>
      </c>
    </row>
    <row r="223" spans="16:19" x14ac:dyDescent="0.75">
      <c r="P223" s="9">
        <v>209</v>
      </c>
      <c r="Q223" s="9">
        <f t="shared" si="16"/>
        <v>34</v>
      </c>
      <c r="R223" s="9">
        <f t="shared" si="17"/>
        <v>5</v>
      </c>
      <c r="S223" s="14" t="str" cm="1">
        <f t="array" ref="S223">INDEX('PS-ConceptMap-1'!$I$15:$N$286,Q223+1,R223)</f>
        <v>* group[=].element[=].target.equivalence = #equivalent</v>
      </c>
    </row>
    <row r="224" spans="16:19" x14ac:dyDescent="0.75">
      <c r="P224" s="9">
        <v>210</v>
      </c>
      <c r="Q224" s="9">
        <f t="shared" si="16"/>
        <v>34</v>
      </c>
      <c r="R224" s="9">
        <f t="shared" si="17"/>
        <v>6</v>
      </c>
      <c r="S224" s="14" t="str" cm="1">
        <f t="array" ref="S224">INDEX('PS-ConceptMap-1'!$I$15:$N$286,Q224+1,R224)</f>
        <v/>
      </c>
    </row>
    <row r="225" spans="16:19" x14ac:dyDescent="0.75">
      <c r="P225" s="9">
        <v>211</v>
      </c>
      <c r="Q225" s="9">
        <f t="shared" si="16"/>
        <v>35</v>
      </c>
      <c r="R225" s="9">
        <f t="shared" si="17"/>
        <v>1</v>
      </c>
      <c r="S225" s="14" t="str" cm="1">
        <f t="array" ref="S225">INDEX('PS-ConceptMap-1'!$I$15:$N$286,Q225+1,R225)</f>
        <v>* group[=].element[+].code = #PatientSummary.body.socialHistory.referenceRange</v>
      </c>
    </row>
    <row r="226" spans="16:19" x14ac:dyDescent="0.75">
      <c r="P226" s="9">
        <v>212</v>
      </c>
      <c r="Q226" s="9">
        <f t="shared" si="16"/>
        <v>35</v>
      </c>
      <c r="R226" s="9">
        <f t="shared" si="17"/>
        <v>2</v>
      </c>
      <c r="S226" s="14" t="str" cm="1">
        <f t="array" ref="S226">INDEX('PS-ConceptMap-1'!$I$15:$N$286,Q226+1,R226)</f>
        <v>* group[=].element[=].display = ##34#A.2.5.2 Reference date range##34#</v>
      </c>
    </row>
    <row r="227" spans="16:19" ht="29.5" x14ac:dyDescent="0.75">
      <c r="P227" s="9">
        <v>213</v>
      </c>
      <c r="Q227" s="9">
        <f t="shared" si="16"/>
        <v>35</v>
      </c>
      <c r="R227" s="9">
        <f t="shared" si="17"/>
        <v>3</v>
      </c>
      <c r="S227" s="14" t="str" cm="1">
        <f t="array" ref="S227">INDEX('PS-ConceptMap-1'!$I$15:$N$286,Q227+1,R227)</f>
        <v>* group[=].element[=].target.code = #Composition.section:sectionSocialHistory.entry.effective[x]</v>
      </c>
    </row>
    <row r="228" spans="16:19" x14ac:dyDescent="0.75">
      <c r="P228" s="9">
        <v>214</v>
      </c>
      <c r="Q228" s="9">
        <f t="shared" si="16"/>
        <v>35</v>
      </c>
      <c r="R228" s="9">
        <f t="shared" si="17"/>
        <v>4</v>
      </c>
      <c r="S228" s="14" t="str" cm="1">
        <f t="array" ref="S228">INDEX('PS-ConceptMap-1'!$I$15:$N$286,Q228+1,R228)</f>
        <v>* group[=].element[=].target.display = ##34###34#</v>
      </c>
    </row>
    <row r="229" spans="16:19" x14ac:dyDescent="0.75">
      <c r="P229" s="9">
        <v>215</v>
      </c>
      <c r="Q229" s="9">
        <f t="shared" si="16"/>
        <v>35</v>
      </c>
      <c r="R229" s="9">
        <f t="shared" si="17"/>
        <v>5</v>
      </c>
      <c r="S229" s="14" t="str" cm="1">
        <f t="array" ref="S229">INDEX('PS-ConceptMap-1'!$I$15:$N$286,Q229+1,R229)</f>
        <v>* group[=].element[=].target.equivalence = #equivalent</v>
      </c>
    </row>
    <row r="230" spans="16:19" x14ac:dyDescent="0.75">
      <c r="P230" s="9">
        <v>216</v>
      </c>
      <c r="Q230" s="9">
        <f t="shared" si="16"/>
        <v>35</v>
      </c>
      <c r="R230" s="9">
        <f t="shared" si="17"/>
        <v>6</v>
      </c>
      <c r="S230" s="14" t="str" cm="1">
        <f t="array" ref="S230">INDEX('PS-ConceptMap-1'!$I$15:$N$286,Q230+1,R230)</f>
        <v/>
      </c>
    </row>
    <row r="231" spans="16:19" x14ac:dyDescent="0.75">
      <c r="P231" s="9">
        <v>217</v>
      </c>
      <c r="Q231" s="9">
        <f t="shared" si="16"/>
        <v>36</v>
      </c>
      <c r="R231" s="9">
        <f t="shared" si="17"/>
        <v>1</v>
      </c>
      <c r="S231" s="14" t="str" cm="1">
        <f t="array" ref="S231">INDEX('PS-ConceptMap-1'!$I$15:$N$286,Q231+1,R231)</f>
        <v>* group[=].element[+].code = #PatientSummary.body.pregnancyHistory</v>
      </c>
    </row>
    <row r="232" spans="16:19" x14ac:dyDescent="0.75">
      <c r="P232" s="9">
        <v>218</v>
      </c>
      <c r="Q232" s="9">
        <f t="shared" si="16"/>
        <v>36</v>
      </c>
      <c r="R232" s="9">
        <f t="shared" si="17"/>
        <v>2</v>
      </c>
      <c r="S232" s="14" t="str" cm="1">
        <f t="array" ref="S232">INDEX('PS-ConceptMap-1'!$I$15:$N$286,Q232+1,R232)</f>
        <v>* group[=].element[=].display = ##34#A.2.6 Pregnancy history##34#</v>
      </c>
    </row>
    <row r="233" spans="16:19" x14ac:dyDescent="0.75">
      <c r="P233" s="9">
        <v>219</v>
      </c>
      <c r="Q233" s="9">
        <f t="shared" si="16"/>
        <v>36</v>
      </c>
      <c r="R233" s="9">
        <f t="shared" si="17"/>
        <v>3</v>
      </c>
      <c r="S233" s="14" t="str" cm="1">
        <f t="array" ref="S233">INDEX('PS-ConceptMap-1'!$I$15:$N$286,Q233+1,R233)</f>
        <v>* group[=].element[=].target.code = #Composition.section:sectionPregnancyHx</v>
      </c>
    </row>
    <row r="234" spans="16:19" x14ac:dyDescent="0.75">
      <c r="P234" s="9">
        <v>220</v>
      </c>
      <c r="Q234" s="9">
        <f t="shared" si="16"/>
        <v>36</v>
      </c>
      <c r="R234" s="9">
        <f t="shared" si="17"/>
        <v>4</v>
      </c>
      <c r="S234" s="14" t="str" cm="1">
        <f t="array" ref="S234">INDEX('PS-ConceptMap-1'!$I$15:$N$286,Q234+1,R234)</f>
        <v>* group[=].element[=].target.display = ##34###34#</v>
      </c>
    </row>
    <row r="235" spans="16:19" x14ac:dyDescent="0.75">
      <c r="P235" s="9">
        <v>221</v>
      </c>
      <c r="Q235" s="9">
        <f t="shared" si="16"/>
        <v>36</v>
      </c>
      <c r="R235" s="9">
        <f t="shared" si="17"/>
        <v>5</v>
      </c>
      <c r="S235" s="14" t="str" cm="1">
        <f t="array" ref="S235">INDEX('PS-ConceptMap-1'!$I$15:$N$286,Q235+1,R235)</f>
        <v>* group[=].element[=].target.equivalence = #equivalent</v>
      </c>
    </row>
    <row r="236" spans="16:19" x14ac:dyDescent="0.75">
      <c r="P236" s="9">
        <v>222</v>
      </c>
      <c r="Q236" s="9">
        <f t="shared" si="16"/>
        <v>36</v>
      </c>
      <c r="R236" s="9">
        <f t="shared" si="17"/>
        <v>6</v>
      </c>
      <c r="S236" s="14" t="str" cm="1">
        <f t="array" ref="S236">INDEX('PS-ConceptMap-1'!$I$15:$N$286,Q236+1,R236)</f>
        <v/>
      </c>
    </row>
    <row r="237" spans="16:19" x14ac:dyDescent="0.75">
      <c r="P237" s="9">
        <v>223</v>
      </c>
      <c r="Q237" s="9">
        <f t="shared" si="16"/>
        <v>37</v>
      </c>
      <c r="R237" s="9">
        <f t="shared" si="17"/>
        <v>1</v>
      </c>
      <c r="S237" s="14" t="str" cm="1">
        <f t="array" ref="S237">INDEX('PS-ConceptMap-1'!$I$15:$N$286,Q237+1,R237)</f>
        <v>* group[=].element[+].code = #PatientSummary.body.patientData</v>
      </c>
    </row>
    <row r="238" spans="16:19" x14ac:dyDescent="0.75">
      <c r="P238" s="9">
        <v>224</v>
      </c>
      <c r="Q238" s="9">
        <f t="shared" si="16"/>
        <v>37</v>
      </c>
      <c r="R238" s="9">
        <f t="shared" si="17"/>
        <v>2</v>
      </c>
      <c r="S238" s="14" t="str" cm="1">
        <f t="array" ref="S238">INDEX('PS-ConceptMap-1'!$I$15:$N$286,Q238+1,R238)</f>
        <v>* group[=].element[=].display = ##34#A.2.7 Patient provided data##34#</v>
      </c>
    </row>
    <row r="239" spans="16:19" x14ac:dyDescent="0.75">
      <c r="P239" s="9">
        <v>225</v>
      </c>
      <c r="Q239" s="9">
        <f t="shared" si="16"/>
        <v>37</v>
      </c>
      <c r="R239" s="9">
        <f t="shared" si="17"/>
        <v>3</v>
      </c>
      <c r="S239" s="14" t="str" cm="1">
        <f t="array" ref="S239">INDEX('PS-ConceptMap-1'!$I$15:$N$286,Q239+1,R239)</f>
        <v>* group[=].element[=].target.code = #Composition.section</v>
      </c>
    </row>
    <row r="240" spans="16:19" x14ac:dyDescent="0.75">
      <c r="P240" s="9">
        <v>226</v>
      </c>
      <c r="Q240" s="9">
        <f t="shared" si="16"/>
        <v>37</v>
      </c>
      <c r="R240" s="9">
        <f t="shared" si="17"/>
        <v>4</v>
      </c>
      <c r="S240" s="14" t="str" cm="1">
        <f t="array" ref="S240">INDEX('PS-ConceptMap-1'!$I$15:$N$286,Q240+1,R240)</f>
        <v>* group[=].element[=].target.display = ##34###34#</v>
      </c>
    </row>
    <row r="241" spans="16:19" x14ac:dyDescent="0.75">
      <c r="P241" s="9">
        <v>227</v>
      </c>
      <c r="Q241" s="9">
        <f t="shared" si="16"/>
        <v>37</v>
      </c>
      <c r="R241" s="9">
        <f t="shared" si="17"/>
        <v>5</v>
      </c>
      <c r="S241" s="14" t="str" cm="1">
        <f t="array" ref="S241">INDEX('PS-ConceptMap-1'!$I$15:$N$286,Q241+1,R241)</f>
        <v>* group[=].element[=].target.equivalence = #relatedto</v>
      </c>
    </row>
    <row r="242" spans="16:19" x14ac:dyDescent="0.75">
      <c r="P242" s="9">
        <v>228</v>
      </c>
      <c r="Q242" s="9">
        <f t="shared" si="16"/>
        <v>37</v>
      </c>
      <c r="R242" s="9">
        <f t="shared" si="17"/>
        <v>6</v>
      </c>
      <c r="S242" s="14" t="str" cm="1">
        <f t="array" ref="S242">INDEX('PS-ConceptMap-1'!$I$15:$N$286,Q242+1,R242)</f>
        <v/>
      </c>
    </row>
    <row r="243" spans="16:19" x14ac:dyDescent="0.75">
      <c r="P243" s="9">
        <v>229</v>
      </c>
      <c r="Q243" s="9">
        <f t="shared" si="16"/>
        <v>38</v>
      </c>
      <c r="R243" s="9">
        <f t="shared" si="17"/>
        <v>1</v>
      </c>
      <c r="S243" s="14" t="str" cm="1">
        <f t="array" ref="S243">INDEX('PS-ConceptMap-1'!$I$15:$N$286,Q243+1,R243)</f>
        <v>* group[=].element[+].code = #PatientSummary.body.patientData.travelHistory</v>
      </c>
    </row>
    <row r="244" spans="16:19" x14ac:dyDescent="0.75">
      <c r="P244" s="9">
        <v>230</v>
      </c>
      <c r="Q244" s="9">
        <f t="shared" si="16"/>
        <v>38</v>
      </c>
      <c r="R244" s="9">
        <f t="shared" si="17"/>
        <v>2</v>
      </c>
      <c r="S244" s="14" t="str" cm="1">
        <f t="array" ref="S244">INDEX('PS-ConceptMap-1'!$I$15:$N$286,Q244+1,R244)</f>
        <v>* group[=].element[=].display = ##34#A.2.7.1 Travel history##34#</v>
      </c>
    </row>
    <row r="245" spans="16:19" x14ac:dyDescent="0.75">
      <c r="P245" s="9">
        <v>231</v>
      </c>
      <c r="Q245" s="9">
        <f t="shared" si="16"/>
        <v>38</v>
      </c>
      <c r="R245" s="9">
        <f t="shared" si="17"/>
        <v>3</v>
      </c>
      <c r="S245" s="14" t="str" cm="1">
        <f t="array" ref="S245">INDEX('PS-ConceptMap-1'!$I$15:$N$286,Q245+1,R245)</f>
        <v>* group[=].element[=].target.code = #Composition.section:sectionTravelHx</v>
      </c>
    </row>
    <row r="246" spans="16:19" x14ac:dyDescent="0.75">
      <c r="P246" s="9">
        <v>232</v>
      </c>
      <c r="Q246" s="9">
        <f t="shared" si="16"/>
        <v>38</v>
      </c>
      <c r="R246" s="9">
        <f t="shared" si="17"/>
        <v>4</v>
      </c>
      <c r="S246" s="14" t="str" cm="1">
        <f t="array" ref="S246">INDEX('PS-ConceptMap-1'!$I$15:$N$286,Q246+1,R246)</f>
        <v>* group[=].element[=].target.display = ##34###34#</v>
      </c>
    </row>
    <row r="247" spans="16:19" x14ac:dyDescent="0.75">
      <c r="P247" s="9">
        <v>233</v>
      </c>
      <c r="Q247" s="9">
        <f t="shared" si="16"/>
        <v>38</v>
      </c>
      <c r="R247" s="9">
        <f t="shared" si="17"/>
        <v>5</v>
      </c>
      <c r="S247" s="14" t="str" cm="1">
        <f t="array" ref="S247">INDEX('PS-ConceptMap-1'!$I$15:$N$286,Q247+1,R247)</f>
        <v>* group[=].element[=].target.equivalence = #relatedto</v>
      </c>
    </row>
    <row r="248" spans="16:19" x14ac:dyDescent="0.75">
      <c r="P248" s="9">
        <v>234</v>
      </c>
      <c r="Q248" s="9">
        <f t="shared" si="16"/>
        <v>38</v>
      </c>
      <c r="R248" s="9">
        <f t="shared" si="17"/>
        <v>6</v>
      </c>
      <c r="S248" s="14" t="str" cm="1">
        <f t="array" ref="S248">INDEX('PS-ConceptMap-1'!$I$15:$N$286,Q248+1,R248)</f>
        <v/>
      </c>
    </row>
    <row r="249" spans="16:19" ht="29.5" x14ac:dyDescent="0.75">
      <c r="P249" s="9">
        <v>235</v>
      </c>
      <c r="Q249" s="9">
        <f t="shared" si="16"/>
        <v>39</v>
      </c>
      <c r="R249" s="9">
        <f t="shared" si="17"/>
        <v>1</v>
      </c>
      <c r="S249" s="14" t="str" cm="1">
        <f t="array" ref="S249">INDEX('PS-ConceptMap-1'!$I$15:$N$286,Q249+1,R249)</f>
        <v>* group[=].element[+].code = #PatientSummary.body.patientData.travelHistory.country</v>
      </c>
    </row>
    <row r="250" spans="16:19" x14ac:dyDescent="0.75">
      <c r="P250" s="9">
        <v>236</v>
      </c>
      <c r="Q250" s="9">
        <f t="shared" si="16"/>
        <v>39</v>
      </c>
      <c r="R250" s="9">
        <f t="shared" si="17"/>
        <v>2</v>
      </c>
      <c r="S250" s="14" t="str" cm="1">
        <f t="array" ref="S250">INDEX('PS-ConceptMap-1'!$I$15:$N$286,Q250+1,R250)</f>
        <v>* group[=].element[=].display = ##34#A.2.7.1.1 Country##34#</v>
      </c>
    </row>
    <row r="251" spans="16:19" x14ac:dyDescent="0.75">
      <c r="P251" s="9">
        <v>237</v>
      </c>
      <c r="Q251" s="9">
        <f t="shared" si="16"/>
        <v>39</v>
      </c>
      <c r="R251" s="9">
        <f t="shared" si="17"/>
        <v>3</v>
      </c>
      <c r="S251" s="14" t="str" cm="1">
        <f t="array" ref="S251">INDEX('PS-ConceptMap-1'!$I$15:$N$286,Q251+1,R251)</f>
        <v>* group[=].element[=].target.code = #Composition.section:sectionTravelHx.text</v>
      </c>
    </row>
    <row r="252" spans="16:19" x14ac:dyDescent="0.75">
      <c r="P252" s="9">
        <v>238</v>
      </c>
      <c r="Q252" s="9">
        <f t="shared" si="16"/>
        <v>39</v>
      </c>
      <c r="R252" s="9">
        <f t="shared" si="17"/>
        <v>4</v>
      </c>
      <c r="S252" s="14" t="str" cm="1">
        <f t="array" ref="S252">INDEX('PS-ConceptMap-1'!$I$15:$N$286,Q252+1,R252)</f>
        <v>* group[=].element[=].target.display = ##34###34#</v>
      </c>
    </row>
    <row r="253" spans="16:19" x14ac:dyDescent="0.75">
      <c r="P253" s="9">
        <v>239</v>
      </c>
      <c r="Q253" s="9">
        <f t="shared" si="16"/>
        <v>39</v>
      </c>
      <c r="R253" s="9">
        <f t="shared" si="17"/>
        <v>5</v>
      </c>
      <c r="S253" s="14" t="str" cm="1">
        <f t="array" ref="S253">INDEX('PS-ConceptMap-1'!$I$15:$N$286,Q253+1,R253)</f>
        <v>* group[=].element[=].target.equivalence = #relatedto</v>
      </c>
    </row>
    <row r="254" spans="16:19" x14ac:dyDescent="0.75">
      <c r="P254" s="9">
        <v>240</v>
      </c>
      <c r="Q254" s="9">
        <f t="shared" si="16"/>
        <v>39</v>
      </c>
      <c r="R254" s="9">
        <f t="shared" si="17"/>
        <v>6</v>
      </c>
      <c r="S254" s="14" t="str" cm="1">
        <f t="array" ref="S254">INDEX('PS-ConceptMap-1'!$I$15:$N$286,Q254+1,R254)</f>
        <v>* group[=].element[=].target.comment = ##34#if textual description##34#</v>
      </c>
    </row>
    <row r="255" spans="16:19" ht="29.5" x14ac:dyDescent="0.75">
      <c r="P255" s="9">
        <v>241</v>
      </c>
      <c r="Q255" s="9">
        <f t="shared" si="16"/>
        <v>40</v>
      </c>
      <c r="R255" s="9">
        <f t="shared" si="17"/>
        <v>1</v>
      </c>
      <c r="S255" s="14" t="str" cm="1">
        <f t="array" ref="S255">INDEX('PS-ConceptMap-1'!$I$15:$N$286,Q255+1,R255)</f>
        <v>* group[=].element[+].code = #PatientSummary.body.patientData.travelHistory.period</v>
      </c>
    </row>
    <row r="256" spans="16:19" x14ac:dyDescent="0.75">
      <c r="P256" s="9">
        <v>242</v>
      </c>
      <c r="Q256" s="9">
        <f t="shared" si="16"/>
        <v>40</v>
      </c>
      <c r="R256" s="9">
        <f t="shared" si="17"/>
        <v>2</v>
      </c>
      <c r="S256" s="14" t="str" cm="1">
        <f t="array" ref="S256">INDEX('PS-ConceptMap-1'!$I$15:$N$286,Q256+1,R256)</f>
        <v>* group[=].element[=].display = ##34#A.2.7.1.2 Period##34#</v>
      </c>
    </row>
    <row r="257" spans="16:19" x14ac:dyDescent="0.75">
      <c r="P257" s="9">
        <v>243</v>
      </c>
      <c r="Q257" s="9">
        <f t="shared" si="16"/>
        <v>40</v>
      </c>
      <c r="R257" s="9">
        <f t="shared" si="17"/>
        <v>3</v>
      </c>
      <c r="S257" s="14" t="str" cm="1">
        <f t="array" ref="S257">INDEX('PS-ConceptMap-1'!$I$15:$N$286,Q257+1,R257)</f>
        <v>* group[=].element[=].target.code = #Composition.section:sectionTravelHx.text</v>
      </c>
    </row>
    <row r="258" spans="16:19" x14ac:dyDescent="0.75">
      <c r="P258" s="9">
        <v>244</v>
      </c>
      <c r="Q258" s="9">
        <f t="shared" si="16"/>
        <v>40</v>
      </c>
      <c r="R258" s="9">
        <f t="shared" si="17"/>
        <v>4</v>
      </c>
      <c r="S258" s="14" t="str" cm="1">
        <f t="array" ref="S258">INDEX('PS-ConceptMap-1'!$I$15:$N$286,Q258+1,R258)</f>
        <v>* group[=].element[=].target.display = ##34###34#</v>
      </c>
    </row>
    <row r="259" spans="16:19" x14ac:dyDescent="0.75">
      <c r="P259" s="9">
        <v>245</v>
      </c>
      <c r="Q259" s="9">
        <f t="shared" si="16"/>
        <v>40</v>
      </c>
      <c r="R259" s="9">
        <f t="shared" si="17"/>
        <v>5</v>
      </c>
      <c r="S259" s="14" t="str" cm="1">
        <f t="array" ref="S259">INDEX('PS-ConceptMap-1'!$I$15:$N$286,Q259+1,R259)</f>
        <v>* group[=].element[=].target.equivalence = #relatedto</v>
      </c>
    </row>
    <row r="260" spans="16:19" x14ac:dyDescent="0.75">
      <c r="P260" s="9">
        <v>246</v>
      </c>
      <c r="Q260" s="9">
        <f t="shared" si="16"/>
        <v>40</v>
      </c>
      <c r="R260" s="9">
        <f t="shared" si="17"/>
        <v>6</v>
      </c>
      <c r="S260" s="14" t="str" cm="1">
        <f t="array" ref="S260">INDEX('PS-ConceptMap-1'!$I$15:$N$286,Q260+1,R260)</f>
        <v>* group[=].element[=].target.comment = ##34#if textual description##34#</v>
      </c>
    </row>
    <row r="261" spans="16:19" ht="29.5" x14ac:dyDescent="0.75">
      <c r="P261" s="9">
        <v>247</v>
      </c>
      <c r="Q261" s="9">
        <f t="shared" si="16"/>
        <v>41</v>
      </c>
      <c r="R261" s="9">
        <f t="shared" si="17"/>
        <v>1</v>
      </c>
      <c r="S261" s="14" t="str" cm="1">
        <f t="array" ref="S261">INDEX('PS-ConceptMap-1'!$I$15:$N$286,Q261+1,R261)</f>
        <v>* group[=].element[+].code = #PatientSummary.body.patientData.travelHistory.country</v>
      </c>
    </row>
    <row r="262" spans="16:19" x14ac:dyDescent="0.75">
      <c r="P262" s="9">
        <v>248</v>
      </c>
      <c r="Q262" s="9">
        <f t="shared" si="16"/>
        <v>41</v>
      </c>
      <c r="R262" s="9">
        <f t="shared" si="17"/>
        <v>2</v>
      </c>
      <c r="S262" s="14" t="str" cm="1">
        <f t="array" ref="S262">INDEX('PS-ConceptMap-1'!$I$15:$N$286,Q262+1,R262)</f>
        <v>* group[=].element[=].display = ##34#A.2.7.1.1 Country##34#</v>
      </c>
    </row>
    <row r="263" spans="16:19" ht="29.5" x14ac:dyDescent="0.75">
      <c r="P263" s="9">
        <v>249</v>
      </c>
      <c r="Q263" s="9">
        <f t="shared" si="16"/>
        <v>41</v>
      </c>
      <c r="R263" s="9">
        <f t="shared" si="17"/>
        <v>3</v>
      </c>
      <c r="S263" s="14" t="str" cm="1">
        <f t="array" ref="S263">INDEX('PS-ConceptMap-1'!$I$15:$N$286,Q263+1,R263)</f>
        <v>* group[=].element[=].target.code = #Composition.section:sectionTravelHx.entry.valueCodeableConcept</v>
      </c>
    </row>
    <row r="264" spans="16:19" x14ac:dyDescent="0.75">
      <c r="P264" s="9">
        <v>250</v>
      </c>
      <c r="Q264" s="9">
        <f t="shared" si="16"/>
        <v>41</v>
      </c>
      <c r="R264" s="9">
        <f t="shared" si="17"/>
        <v>4</v>
      </c>
      <c r="S264" s="14" t="str" cm="1">
        <f t="array" ref="S264">INDEX('PS-ConceptMap-1'!$I$15:$N$286,Q264+1,R264)</f>
        <v>* group[=].element[=].target.display = ##34###34#</v>
      </c>
    </row>
    <row r="265" spans="16:19" x14ac:dyDescent="0.75">
      <c r="P265" s="9">
        <v>251</v>
      </c>
      <c r="Q265" s="9">
        <f t="shared" si="16"/>
        <v>41</v>
      </c>
      <c r="R265" s="9">
        <f t="shared" si="17"/>
        <v>5</v>
      </c>
      <c r="S265" s="14" t="str" cm="1">
        <f t="array" ref="S265">INDEX('PS-ConceptMap-1'!$I$15:$N$286,Q265+1,R265)</f>
        <v>* group[=].element[=].target.equivalence = #relatedto</v>
      </c>
    </row>
    <row r="266" spans="16:19" ht="44.25" x14ac:dyDescent="0.75">
      <c r="P266" s="9">
        <v>252</v>
      </c>
      <c r="Q266" s="9">
        <f t="shared" si="16"/>
        <v>41</v>
      </c>
      <c r="R266" s="9">
        <f t="shared" si="17"/>
        <v>6</v>
      </c>
      <c r="S266" s="14" t="str" cm="1">
        <f t="array" ref="S266">INDEX('PS-ConceptMap-1'!$I$15:$N$286,Q266+1,R266)</f>
        <v>* group[=].element[=].target.comment = ##34#entry of type Observation and Obseravtion.code = http://loinc.org#94651-7 'Country of travel [Location]'
TBD##34#</v>
      </c>
    </row>
    <row r="267" spans="16:19" ht="29.5" x14ac:dyDescent="0.75">
      <c r="P267" s="9">
        <v>253</v>
      </c>
      <c r="Q267" s="9">
        <f t="shared" si="16"/>
        <v>42</v>
      </c>
      <c r="R267" s="9">
        <f t="shared" si="17"/>
        <v>1</v>
      </c>
      <c r="S267" s="14" t="str" cm="1">
        <f t="array" ref="S267">INDEX('PS-ConceptMap-1'!$I$15:$N$286,Q267+1,R267)</f>
        <v>* group[=].element[+].code = #PatientSummary.body.patientData.travelHistory.period</v>
      </c>
    </row>
    <row r="268" spans="16:19" x14ac:dyDescent="0.75">
      <c r="P268" s="9">
        <v>254</v>
      </c>
      <c r="Q268" s="9">
        <f t="shared" si="16"/>
        <v>42</v>
      </c>
      <c r="R268" s="9">
        <f t="shared" si="17"/>
        <v>2</v>
      </c>
      <c r="S268" s="14" t="str" cm="1">
        <f t="array" ref="S268">INDEX('PS-ConceptMap-1'!$I$15:$N$286,Q268+1,R268)</f>
        <v>* group[=].element[=].display = ##34#A.2.7.1.2 Period##34#</v>
      </c>
    </row>
    <row r="269" spans="16:19" ht="29.5" x14ac:dyDescent="0.75">
      <c r="P269" s="9">
        <v>255</v>
      </c>
      <c r="Q269" s="9">
        <f t="shared" si="16"/>
        <v>42</v>
      </c>
      <c r="R269" s="9">
        <f t="shared" si="17"/>
        <v>3</v>
      </c>
      <c r="S269" s="14" t="str" cm="1">
        <f t="array" ref="S269">INDEX('PS-ConceptMap-1'!$I$15:$N$286,Q269+1,R269)</f>
        <v>* group[=].element[=].target.code = #Composition.section:sectionTravelHx.entry.effectivePeriod</v>
      </c>
    </row>
    <row r="270" spans="16:19" x14ac:dyDescent="0.75">
      <c r="P270" s="9">
        <v>256</v>
      </c>
      <c r="Q270" s="9">
        <f t="shared" si="16"/>
        <v>42</v>
      </c>
      <c r="R270" s="9">
        <f t="shared" si="17"/>
        <v>4</v>
      </c>
      <c r="S270" s="14" t="str" cm="1">
        <f t="array" ref="S270">INDEX('PS-ConceptMap-1'!$I$15:$N$286,Q270+1,R270)</f>
        <v>* group[=].element[=].target.display = ##34###34#</v>
      </c>
    </row>
    <row r="271" spans="16:19" x14ac:dyDescent="0.75">
      <c r="P271" s="9">
        <v>257</v>
      </c>
      <c r="Q271" s="9">
        <f t="shared" si="16"/>
        <v>42</v>
      </c>
      <c r="R271" s="9">
        <f t="shared" si="17"/>
        <v>5</v>
      </c>
      <c r="S271" s="14" t="str" cm="1">
        <f t="array" ref="S271">INDEX('PS-ConceptMap-1'!$I$15:$N$286,Q271+1,R271)</f>
        <v>* group[=].element[=].target.equivalence = #relatedto</v>
      </c>
    </row>
    <row r="272" spans="16:19" ht="29.5" x14ac:dyDescent="0.75">
      <c r="P272" s="9">
        <v>258</v>
      </c>
      <c r="Q272" s="9">
        <f t="shared" ref="Q272:Q335" si="18">IF(MOD(P272,$Q$8)=0,P272/$Q$8-1,INT(P272/$Q$8))</f>
        <v>42</v>
      </c>
      <c r="R272" s="9">
        <f t="shared" ref="R272:R335" si="19">IF(MOD(P272,$Q$8)=0,$Q$8,MOD(P272,$Q$8))</f>
        <v>6</v>
      </c>
      <c r="S272" s="14" t="str" cm="1">
        <f t="array" ref="S272">INDEX('PS-ConceptMap-1'!$I$15:$N$286,Q272+1,R272)</f>
        <v>* group[=].element[=].target.comment = ##34#OBSERVATION PROFILE TO BE SPECIFIED##34#</v>
      </c>
    </row>
    <row r="273" spans="16:19" x14ac:dyDescent="0.75">
      <c r="P273" s="9">
        <v>259</v>
      </c>
      <c r="Q273" s="9">
        <f t="shared" si="18"/>
        <v>43</v>
      </c>
      <c r="R273" s="9">
        <f t="shared" si="19"/>
        <v>1</v>
      </c>
      <c r="S273" s="14" t="str" cm="1">
        <f t="array" ref="S273">INDEX('PS-ConceptMap-1'!$I$15:$N$286,Q273+1,R273)</f>
        <v>* group[=].element[+].code = #PatientSummary.body.patientData.advanceDirective</v>
      </c>
    </row>
    <row r="274" spans="16:19" x14ac:dyDescent="0.75">
      <c r="P274" s="9">
        <v>260</v>
      </c>
      <c r="Q274" s="9">
        <f t="shared" si="18"/>
        <v>43</v>
      </c>
      <c r="R274" s="9">
        <f t="shared" si="19"/>
        <v>2</v>
      </c>
      <c r="S274" s="14" t="str" cm="1">
        <f t="array" ref="S274">INDEX('PS-ConceptMap-1'!$I$15:$N$286,Q274+1,R274)</f>
        <v>* group[=].element[=].display = ##34#A.2.7.2 Advance Directive##34#</v>
      </c>
    </row>
    <row r="275" spans="16:19" x14ac:dyDescent="0.75">
      <c r="P275" s="9">
        <v>261</v>
      </c>
      <c r="Q275" s="9">
        <f t="shared" si="18"/>
        <v>43</v>
      </c>
      <c r="R275" s="9">
        <f t="shared" si="19"/>
        <v>3</v>
      </c>
      <c r="S275" s="14" t="str" cm="1">
        <f t="array" ref="S275">INDEX('PS-ConceptMap-1'!$I$15:$N$286,Q275+1,R275)</f>
        <v>* group[=].element[=].target.code = #Composition.section:sectionAdvanceDirectives</v>
      </c>
    </row>
    <row r="276" spans="16:19" x14ac:dyDescent="0.75">
      <c r="P276" s="9">
        <v>262</v>
      </c>
      <c r="Q276" s="9">
        <f t="shared" si="18"/>
        <v>43</v>
      </c>
      <c r="R276" s="9">
        <f t="shared" si="19"/>
        <v>4</v>
      </c>
      <c r="S276" s="14" t="str" cm="1">
        <f t="array" ref="S276">INDEX('PS-ConceptMap-1'!$I$15:$N$286,Q276+1,R276)</f>
        <v>* group[=].element[=].target.display = ##34###34#</v>
      </c>
    </row>
    <row r="277" spans="16:19" x14ac:dyDescent="0.75">
      <c r="P277" s="9">
        <v>263</v>
      </c>
      <c r="Q277" s="9">
        <f t="shared" si="18"/>
        <v>43</v>
      </c>
      <c r="R277" s="9">
        <f t="shared" si="19"/>
        <v>5</v>
      </c>
      <c r="S277" s="14" t="str" cm="1">
        <f t="array" ref="S277">INDEX('PS-ConceptMap-1'!$I$15:$N$286,Q277+1,R277)</f>
        <v>* group[=].element[=].target.equivalence = #equivalent</v>
      </c>
    </row>
    <row r="278" spans="16:19" x14ac:dyDescent="0.75">
      <c r="P278" s="9">
        <v>264</v>
      </c>
      <c r="Q278" s="9">
        <f t="shared" si="18"/>
        <v>43</v>
      </c>
      <c r="R278" s="9">
        <f t="shared" si="19"/>
        <v>6</v>
      </c>
      <c r="S278" s="14" t="str" cm="1">
        <f t="array" ref="S278">INDEX('PS-ConceptMap-1'!$I$15:$N$286,Q278+1,R278)</f>
        <v/>
      </c>
    </row>
    <row r="279" spans="16:19" ht="29.5" x14ac:dyDescent="0.75">
      <c r="P279" s="9">
        <v>265</v>
      </c>
      <c r="Q279" s="9">
        <f t="shared" si="18"/>
        <v>44</v>
      </c>
      <c r="R279" s="9">
        <f t="shared" si="19"/>
        <v>1</v>
      </c>
      <c r="S279" s="14" t="str" cm="1">
        <f t="array" ref="S279">INDEX('PS-ConceptMap-1'!$I$15:$N$286,Q279+1,R279)</f>
        <v>* group[=].element[+].code = #PatientSummary.body.patientData.advanceDirective.documentation</v>
      </c>
    </row>
    <row r="280" spans="16:19" x14ac:dyDescent="0.75">
      <c r="P280" s="9">
        <v>266</v>
      </c>
      <c r="Q280" s="9">
        <f t="shared" si="18"/>
        <v>44</v>
      </c>
      <c r="R280" s="9">
        <f t="shared" si="19"/>
        <v>2</v>
      </c>
      <c r="S280" s="14" t="str" cm="1">
        <f t="array" ref="S280">INDEX('PS-ConceptMap-1'!$I$15:$N$286,Q280+1,R280)</f>
        <v>* group[=].element[=].display = ##34#A.2.7.2.1 Documentation##34#</v>
      </c>
    </row>
    <row r="281" spans="16:19" x14ac:dyDescent="0.75">
      <c r="P281" s="9">
        <v>267</v>
      </c>
      <c r="Q281" s="9">
        <f t="shared" si="18"/>
        <v>44</v>
      </c>
      <c r="R281" s="9">
        <f t="shared" si="19"/>
        <v>3</v>
      </c>
      <c r="S281" s="14" t="str" cm="1">
        <f t="array" ref="S281">INDEX('PS-ConceptMap-1'!$I$15:$N$286,Q281+1,R281)</f>
        <v>* group[=].element[=].target.code = #Composition.section:sectionAdvanceDirectives</v>
      </c>
    </row>
    <row r="282" spans="16:19" x14ac:dyDescent="0.75">
      <c r="P282" s="9">
        <v>268</v>
      </c>
      <c r="Q282" s="9">
        <f t="shared" si="18"/>
        <v>44</v>
      </c>
      <c r="R282" s="9">
        <f t="shared" si="19"/>
        <v>4</v>
      </c>
      <c r="S282" s="14" t="str" cm="1">
        <f t="array" ref="S282">INDEX('PS-ConceptMap-1'!$I$15:$N$286,Q282+1,R282)</f>
        <v>* group[=].element[=].target.display = ##34###34#</v>
      </c>
    </row>
    <row r="283" spans="16:19" x14ac:dyDescent="0.75">
      <c r="P283" s="9">
        <v>269</v>
      </c>
      <c r="Q283" s="9">
        <f t="shared" si="18"/>
        <v>44</v>
      </c>
      <c r="R283" s="9">
        <f t="shared" si="19"/>
        <v>5</v>
      </c>
      <c r="S283" s="14" t="str" cm="1">
        <f t="array" ref="S283">INDEX('PS-ConceptMap-1'!$I$15:$N$286,Q283+1,R283)</f>
        <v>* group[=].element[=].target.equivalence = #relatedto</v>
      </c>
    </row>
    <row r="284" spans="16:19" x14ac:dyDescent="0.75">
      <c r="P284" s="9">
        <v>270</v>
      </c>
      <c r="Q284" s="9">
        <f t="shared" si="18"/>
        <v>44</v>
      </c>
      <c r="R284" s="9">
        <f t="shared" si="19"/>
        <v>6</v>
      </c>
      <c r="S284" s="14" t="str" cm="1">
        <f t="array" ref="S284">INDEX('PS-ConceptMap-1'!$I$15:$N$286,Q284+1,R284)</f>
        <v>* group[=].element[=].target.comment = ##34#to be reviewed##34#</v>
      </c>
    </row>
    <row r="285" spans="16:19" x14ac:dyDescent="0.75">
      <c r="P285" s="9">
        <v>271</v>
      </c>
      <c r="Q285" s="9">
        <f t="shared" si="18"/>
        <v>45</v>
      </c>
      <c r="R285" s="9">
        <f t="shared" si="19"/>
        <v>1</v>
      </c>
      <c r="S285" s="14" t="str" cm="1">
        <f t="array" ref="S285">INDEX('PS-ConceptMap-1'!$I$15:$N$286,Q285+1,R285)</f>
        <v>* group[=].element[+].code = #PatientSummary.body.results</v>
      </c>
    </row>
    <row r="286" spans="16:19" x14ac:dyDescent="0.75">
      <c r="P286" s="9">
        <v>272</v>
      </c>
      <c r="Q286" s="9">
        <f t="shared" si="18"/>
        <v>45</v>
      </c>
      <c r="R286" s="9">
        <f t="shared" si="19"/>
        <v>2</v>
      </c>
      <c r="S286" s="14" t="str" cm="1">
        <f t="array" ref="S286">INDEX('PS-ConceptMap-1'!$I$15:$N$286,Q286+1,R286)</f>
        <v>* group[=].element[=].display = ##34#A.2.8 Results##34#</v>
      </c>
    </row>
    <row r="287" spans="16:19" x14ac:dyDescent="0.75">
      <c r="P287" s="9">
        <v>273</v>
      </c>
      <c r="Q287" s="9">
        <f t="shared" si="18"/>
        <v>45</v>
      </c>
      <c r="R287" s="9">
        <f t="shared" si="19"/>
        <v>3</v>
      </c>
      <c r="S287" s="14" t="str" cm="1">
        <f t="array" ref="S287">INDEX('PS-ConceptMap-1'!$I$15:$N$286,Q287+1,R287)</f>
        <v>* group[=].element[=].target.code = #Composition.section:sectionResults</v>
      </c>
    </row>
    <row r="288" spans="16:19" x14ac:dyDescent="0.75">
      <c r="P288" s="9">
        <v>274</v>
      </c>
      <c r="Q288" s="9">
        <f t="shared" si="18"/>
        <v>45</v>
      </c>
      <c r="R288" s="9">
        <f t="shared" si="19"/>
        <v>4</v>
      </c>
      <c r="S288" s="14" t="str" cm="1">
        <f t="array" ref="S288">INDEX('PS-ConceptMap-1'!$I$15:$N$286,Q288+1,R288)</f>
        <v>* group[=].element[=].target.display = ##34###34#</v>
      </c>
    </row>
    <row r="289" spans="16:19" x14ac:dyDescent="0.75">
      <c r="P289" s="9">
        <v>275</v>
      </c>
      <c r="Q289" s="9">
        <f t="shared" si="18"/>
        <v>45</v>
      </c>
      <c r="R289" s="9">
        <f t="shared" si="19"/>
        <v>5</v>
      </c>
      <c r="S289" s="14" t="str" cm="1">
        <f t="array" ref="S289">INDEX('PS-ConceptMap-1'!$I$15:$N$286,Q289+1,R289)</f>
        <v>* group[=].element[=].target.equivalence = #equivalent</v>
      </c>
    </row>
    <row r="290" spans="16:19" x14ac:dyDescent="0.75">
      <c r="P290" s="9">
        <v>276</v>
      </c>
      <c r="Q290" s="9">
        <f t="shared" si="18"/>
        <v>45</v>
      </c>
      <c r="R290" s="9">
        <f t="shared" si="19"/>
        <v>6</v>
      </c>
      <c r="S290" s="14" t="str" cm="1">
        <f t="array" ref="S290">INDEX('PS-ConceptMap-1'!$I$15:$N$286,Q290+1,R290)</f>
        <v/>
      </c>
    </row>
    <row r="291" spans="16:19" x14ac:dyDescent="0.75">
      <c r="P291" s="9">
        <v>277</v>
      </c>
      <c r="Q291" s="9">
        <f t="shared" si="18"/>
        <v>46</v>
      </c>
      <c r="R291" s="9">
        <f t="shared" si="19"/>
        <v>1</v>
      </c>
      <c r="S291" s="14" t="str" cm="1">
        <f t="array" ref="S291">INDEX('PS-ConceptMap-1'!$I$15:$N$286,Q291+1,R291)</f>
        <v>* group[=].element[+].code = #PatientSummary.body.planOfCare</v>
      </c>
    </row>
    <row r="292" spans="16:19" x14ac:dyDescent="0.75">
      <c r="P292" s="9">
        <v>278</v>
      </c>
      <c r="Q292" s="9">
        <f t="shared" si="18"/>
        <v>46</v>
      </c>
      <c r="R292" s="9">
        <f t="shared" si="19"/>
        <v>2</v>
      </c>
      <c r="S292" s="14" t="str" cm="1">
        <f t="array" ref="S292">INDEX('PS-ConceptMap-1'!$I$15:$N$286,Q292+1,R292)</f>
        <v>* group[=].element[=].display = ##34#A.2.9 Plan of Care##34#</v>
      </c>
    </row>
    <row r="293" spans="16:19" x14ac:dyDescent="0.75">
      <c r="P293" s="9">
        <v>279</v>
      </c>
      <c r="Q293" s="9">
        <f t="shared" si="18"/>
        <v>46</v>
      </c>
      <c r="R293" s="9">
        <f t="shared" si="19"/>
        <v>3</v>
      </c>
      <c r="S293" s="14" t="str" cm="1">
        <f t="array" ref="S293">INDEX('PS-ConceptMap-1'!$I$15:$N$286,Q293+1,R293)</f>
        <v>* group[=].element[=].target.code = #Composition.section:sectionPlanOfCare</v>
      </c>
    </row>
    <row r="294" spans="16:19" x14ac:dyDescent="0.75">
      <c r="P294" s="9">
        <v>280</v>
      </c>
      <c r="Q294" s="9">
        <f t="shared" si="18"/>
        <v>46</v>
      </c>
      <c r="R294" s="9">
        <f t="shared" si="19"/>
        <v>4</v>
      </c>
      <c r="S294" s="14" t="str" cm="1">
        <f t="array" ref="S294">INDEX('PS-ConceptMap-1'!$I$15:$N$286,Q294+1,R294)</f>
        <v>* group[=].element[=].target.display = ##34###34#</v>
      </c>
    </row>
    <row r="295" spans="16:19" x14ac:dyDescent="0.75">
      <c r="P295" s="9">
        <v>281</v>
      </c>
      <c r="Q295" s="9">
        <f t="shared" si="18"/>
        <v>46</v>
      </c>
      <c r="R295" s="9">
        <f t="shared" si="19"/>
        <v>5</v>
      </c>
      <c r="S295" s="14" t="str" cm="1">
        <f t="array" ref="S295">INDEX('PS-ConceptMap-1'!$I$15:$N$286,Q295+1,R295)</f>
        <v>* group[=].element[=].target.equivalence = #equivalent</v>
      </c>
    </row>
    <row r="296" spans="16:19" x14ac:dyDescent="0.75">
      <c r="P296" s="9">
        <v>282</v>
      </c>
      <c r="Q296" s="9">
        <f t="shared" si="18"/>
        <v>46</v>
      </c>
      <c r="R296" s="9">
        <f t="shared" si="19"/>
        <v>6</v>
      </c>
      <c r="S296" s="14" t="str" cm="1">
        <f t="array" ref="S296">INDEX('PS-ConceptMap-1'!$I$15:$N$286,Q296+1,R296)</f>
        <v/>
      </c>
    </row>
    <row r="297" spans="16:19" x14ac:dyDescent="0.75">
      <c r="P297" s="9">
        <v>283</v>
      </c>
      <c r="Q297" s="9">
        <f t="shared" si="18"/>
        <v>47</v>
      </c>
      <c r="R297" s="9">
        <f t="shared" si="19"/>
        <v>1</v>
      </c>
      <c r="S297" s="14" t="str" cm="1">
        <f t="array" ref="S297">INDEX('PS-ConceptMap-1'!$I$15:$N$286,Q297+1,R297)</f>
        <v>* group[=].element[+].code = #PatientSummary.body.planOfCare.carePlan</v>
      </c>
    </row>
    <row r="298" spans="16:19" x14ac:dyDescent="0.75">
      <c r="P298" s="9">
        <v>284</v>
      </c>
      <c r="Q298" s="9">
        <f t="shared" si="18"/>
        <v>47</v>
      </c>
      <c r="R298" s="9">
        <f t="shared" si="19"/>
        <v>2</v>
      </c>
      <c r="S298" s="14" t="str" cm="1">
        <f t="array" ref="S298">INDEX('PS-ConceptMap-1'!$I$15:$N$286,Q298+1,R298)</f>
        <v>* group[=].element[=].display = ##34#A.2.9.1 Plan of care##34#</v>
      </c>
    </row>
    <row r="299" spans="16:19" x14ac:dyDescent="0.75">
      <c r="P299" s="9">
        <v>285</v>
      </c>
      <c r="Q299" s="9">
        <f t="shared" si="18"/>
        <v>47</v>
      </c>
      <c r="R299" s="9">
        <f t="shared" si="19"/>
        <v>3</v>
      </c>
      <c r="S299" s="14" t="str" cm="1">
        <f t="array" ref="S299">INDEX('PS-ConceptMap-1'!$I$15:$N$286,Q299+1,R299)</f>
        <v>* group[=].element[=].target.code = #Composition.section:sectionPlanOfCare.text</v>
      </c>
    </row>
    <row r="300" spans="16:19" x14ac:dyDescent="0.75">
      <c r="P300" s="9">
        <v>286</v>
      </c>
      <c r="Q300" s="9">
        <f t="shared" si="18"/>
        <v>47</v>
      </c>
      <c r="R300" s="9">
        <f t="shared" si="19"/>
        <v>4</v>
      </c>
      <c r="S300" s="14" t="str" cm="1">
        <f t="array" ref="S300">INDEX('PS-ConceptMap-1'!$I$15:$N$286,Q300+1,R300)</f>
        <v>* group[=].element[=].target.display = ##34###34#</v>
      </c>
    </row>
    <row r="301" spans="16:19" x14ac:dyDescent="0.75">
      <c r="P301" s="9">
        <v>287</v>
      </c>
      <c r="Q301" s="9">
        <f t="shared" si="18"/>
        <v>47</v>
      </c>
      <c r="R301" s="9">
        <f t="shared" si="19"/>
        <v>5</v>
      </c>
      <c r="S301" s="14" t="str" cm="1">
        <f t="array" ref="S301">INDEX('PS-ConceptMap-1'!$I$15:$N$286,Q301+1,R301)</f>
        <v>* group[=].element[=].target.equivalence = #equivalent</v>
      </c>
    </row>
    <row r="302" spans="16:19" x14ac:dyDescent="0.75">
      <c r="P302" s="9">
        <v>288</v>
      </c>
      <c r="Q302" s="9">
        <f t="shared" si="18"/>
        <v>47</v>
      </c>
      <c r="R302" s="9">
        <f t="shared" si="19"/>
        <v>6</v>
      </c>
      <c r="S302" s="14" t="str" cm="1">
        <f t="array" ref="S302">INDEX('PS-ConceptMap-1'!$I$15:$N$286,Q302+1,R302)</f>
        <v/>
      </c>
    </row>
    <row r="303" spans="16:19" x14ac:dyDescent="0.75">
      <c r="P303" s="9">
        <v>289</v>
      </c>
      <c r="Q303" s="9">
        <f t="shared" si="18"/>
        <v>48</v>
      </c>
      <c r="R303" s="9">
        <f t="shared" si="19"/>
        <v>1</v>
      </c>
      <c r="S303" s="14" cm="1">
        <f t="array" ref="S303">INDEX('PS-ConceptMap-1'!$I$15:$N$286,Q303+1,R303)</f>
        <v>0</v>
      </c>
    </row>
    <row r="304" spans="16:19" x14ac:dyDescent="0.75">
      <c r="P304" s="9">
        <v>290</v>
      </c>
      <c r="Q304" s="9">
        <f t="shared" si="18"/>
        <v>48</v>
      </c>
      <c r="R304" s="9">
        <f t="shared" si="19"/>
        <v>2</v>
      </c>
      <c r="S304" s="14" cm="1">
        <f t="array" ref="S304">INDEX('PS-ConceptMap-1'!$I$15:$N$286,Q304+1,R304)</f>
        <v>0</v>
      </c>
    </row>
    <row r="305" spans="16:19" x14ac:dyDescent="0.75">
      <c r="P305" s="9">
        <v>291</v>
      </c>
      <c r="Q305" s="9">
        <f t="shared" si="18"/>
        <v>48</v>
      </c>
      <c r="R305" s="9">
        <f t="shared" si="19"/>
        <v>3</v>
      </c>
      <c r="S305" s="14" cm="1">
        <f t="array" ref="S305">INDEX('PS-ConceptMap-1'!$I$15:$N$286,Q305+1,R305)</f>
        <v>0</v>
      </c>
    </row>
    <row r="306" spans="16:19" x14ac:dyDescent="0.75">
      <c r="P306" s="9">
        <v>292</v>
      </c>
      <c r="Q306" s="9">
        <f t="shared" si="18"/>
        <v>48</v>
      </c>
      <c r="R306" s="9">
        <f t="shared" si="19"/>
        <v>4</v>
      </c>
      <c r="S306" s="14" cm="1">
        <f t="array" ref="S306">INDEX('PS-ConceptMap-1'!$I$15:$N$286,Q306+1,R306)</f>
        <v>0</v>
      </c>
    </row>
    <row r="307" spans="16:19" x14ac:dyDescent="0.75">
      <c r="P307" s="9">
        <v>293</v>
      </c>
      <c r="Q307" s="9">
        <f t="shared" si="18"/>
        <v>48</v>
      </c>
      <c r="R307" s="9">
        <f t="shared" si="19"/>
        <v>5</v>
      </c>
      <c r="S307" s="14" cm="1">
        <f t="array" ref="S307">INDEX('PS-ConceptMap-1'!$I$15:$N$286,Q307+1,R307)</f>
        <v>0</v>
      </c>
    </row>
    <row r="308" spans="16:19" x14ac:dyDescent="0.75">
      <c r="P308" s="9">
        <v>294</v>
      </c>
      <c r="Q308" s="9">
        <f t="shared" si="18"/>
        <v>48</v>
      </c>
      <c r="R308" s="9">
        <f t="shared" si="19"/>
        <v>6</v>
      </c>
      <c r="S308" s="14" cm="1">
        <f t="array" ref="S308">INDEX('PS-ConceptMap-1'!$I$15:$N$286,Q308+1,R308)</f>
        <v>0</v>
      </c>
    </row>
    <row r="309" spans="16:19" x14ac:dyDescent="0.75">
      <c r="P309" s="9">
        <v>295</v>
      </c>
      <c r="Q309" s="9">
        <f t="shared" si="18"/>
        <v>49</v>
      </c>
      <c r="R309" s="9">
        <f t="shared" si="19"/>
        <v>1</v>
      </c>
      <c r="S309" s="14" cm="1">
        <f t="array" ref="S309">INDEX('PS-ConceptMap-1'!$I$15:$N$286,Q309+1,R309)</f>
        <v>0</v>
      </c>
    </row>
    <row r="310" spans="16:19" x14ac:dyDescent="0.75">
      <c r="P310" s="9">
        <v>296</v>
      </c>
      <c r="Q310" s="9">
        <f t="shared" si="18"/>
        <v>49</v>
      </c>
      <c r="R310" s="9">
        <f t="shared" si="19"/>
        <v>2</v>
      </c>
      <c r="S310" s="14" cm="1">
        <f t="array" ref="S310">INDEX('PS-ConceptMap-1'!$I$15:$N$286,Q310+1,R310)</f>
        <v>0</v>
      </c>
    </row>
    <row r="311" spans="16:19" x14ac:dyDescent="0.75">
      <c r="P311" s="9">
        <v>297</v>
      </c>
      <c r="Q311" s="9">
        <f t="shared" si="18"/>
        <v>49</v>
      </c>
      <c r="R311" s="9">
        <f t="shared" si="19"/>
        <v>3</v>
      </c>
      <c r="S311" s="14" cm="1">
        <f t="array" ref="S311">INDEX('PS-ConceptMap-1'!$I$15:$N$286,Q311+1,R311)</f>
        <v>0</v>
      </c>
    </row>
    <row r="312" spans="16:19" x14ac:dyDescent="0.75">
      <c r="P312" s="9">
        <v>298</v>
      </c>
      <c r="Q312" s="9">
        <f t="shared" si="18"/>
        <v>49</v>
      </c>
      <c r="R312" s="9">
        <f t="shared" si="19"/>
        <v>4</v>
      </c>
      <c r="S312" s="14" cm="1">
        <f t="array" ref="S312">INDEX('PS-ConceptMap-1'!$I$15:$N$286,Q312+1,R312)</f>
        <v>0</v>
      </c>
    </row>
    <row r="313" spans="16:19" x14ac:dyDescent="0.75">
      <c r="P313" s="9">
        <v>299</v>
      </c>
      <c r="Q313" s="9">
        <f t="shared" si="18"/>
        <v>49</v>
      </c>
      <c r="R313" s="9">
        <f t="shared" si="19"/>
        <v>5</v>
      </c>
      <c r="S313" s="14" cm="1">
        <f t="array" ref="S313">INDEX('PS-ConceptMap-1'!$I$15:$N$286,Q313+1,R313)</f>
        <v>0</v>
      </c>
    </row>
    <row r="314" spans="16:19" x14ac:dyDescent="0.75">
      <c r="P314" s="9">
        <v>300</v>
      </c>
      <c r="Q314" s="9">
        <f t="shared" si="18"/>
        <v>49</v>
      </c>
      <c r="R314" s="9">
        <f t="shared" si="19"/>
        <v>6</v>
      </c>
      <c r="S314" s="14" cm="1">
        <f t="array" ref="S314">INDEX('PS-ConceptMap-1'!$I$15:$N$286,Q314+1,R314)</f>
        <v>0</v>
      </c>
    </row>
    <row r="315" spans="16:19" x14ac:dyDescent="0.75">
      <c r="P315" s="9">
        <v>301</v>
      </c>
      <c r="Q315" s="9">
        <f t="shared" si="18"/>
        <v>50</v>
      </c>
      <c r="R315" s="9">
        <f t="shared" si="19"/>
        <v>1</v>
      </c>
      <c r="S315" s="14" cm="1">
        <f t="array" ref="S315">INDEX('PS-ConceptMap-1'!$I$15:$N$286,Q315+1,R315)</f>
        <v>0</v>
      </c>
    </row>
    <row r="316" spans="16:19" x14ac:dyDescent="0.75">
      <c r="P316" s="9">
        <v>302</v>
      </c>
      <c r="Q316" s="9">
        <f t="shared" si="18"/>
        <v>50</v>
      </c>
      <c r="R316" s="9">
        <f t="shared" si="19"/>
        <v>2</v>
      </c>
      <c r="S316" s="14" cm="1">
        <f t="array" ref="S316">INDEX('PS-ConceptMap-1'!$I$15:$N$286,Q316+1,R316)</f>
        <v>0</v>
      </c>
    </row>
    <row r="317" spans="16:19" x14ac:dyDescent="0.75">
      <c r="P317" s="9">
        <v>303</v>
      </c>
      <c r="Q317" s="9">
        <f t="shared" si="18"/>
        <v>50</v>
      </c>
      <c r="R317" s="9">
        <f t="shared" si="19"/>
        <v>3</v>
      </c>
      <c r="S317" s="14" cm="1">
        <f t="array" ref="S317">INDEX('PS-ConceptMap-1'!$I$15:$N$286,Q317+1,R317)</f>
        <v>0</v>
      </c>
    </row>
    <row r="318" spans="16:19" x14ac:dyDescent="0.75">
      <c r="P318" s="9">
        <v>304</v>
      </c>
      <c r="Q318" s="9">
        <f t="shared" si="18"/>
        <v>50</v>
      </c>
      <c r="R318" s="9">
        <f t="shared" si="19"/>
        <v>4</v>
      </c>
      <c r="S318" s="14" cm="1">
        <f t="array" ref="S318">INDEX('PS-ConceptMap-1'!$I$15:$N$286,Q318+1,R318)</f>
        <v>0</v>
      </c>
    </row>
    <row r="319" spans="16:19" x14ac:dyDescent="0.75">
      <c r="P319" s="9">
        <v>305</v>
      </c>
      <c r="Q319" s="9">
        <f t="shared" si="18"/>
        <v>50</v>
      </c>
      <c r="R319" s="9">
        <f t="shared" si="19"/>
        <v>5</v>
      </c>
      <c r="S319" s="14" cm="1">
        <f t="array" ref="S319">INDEX('PS-ConceptMap-1'!$I$15:$N$286,Q319+1,R319)</f>
        <v>0</v>
      </c>
    </row>
    <row r="320" spans="16:19" x14ac:dyDescent="0.75">
      <c r="P320" s="9">
        <v>306</v>
      </c>
      <c r="Q320" s="9">
        <f t="shared" si="18"/>
        <v>50</v>
      </c>
      <c r="R320" s="9">
        <f t="shared" si="19"/>
        <v>6</v>
      </c>
      <c r="S320" s="14" cm="1">
        <f t="array" ref="S320">INDEX('PS-ConceptMap-1'!$I$15:$N$286,Q320+1,R320)</f>
        <v>0</v>
      </c>
    </row>
    <row r="321" spans="16:19" x14ac:dyDescent="0.75">
      <c r="P321" s="9">
        <v>307</v>
      </c>
      <c r="Q321" s="9">
        <f t="shared" si="18"/>
        <v>51</v>
      </c>
      <c r="R321" s="9">
        <f t="shared" si="19"/>
        <v>1</v>
      </c>
      <c r="S321" s="14" cm="1">
        <f t="array" ref="S321">INDEX('PS-ConceptMap-1'!$I$15:$N$286,Q321+1,R321)</f>
        <v>0</v>
      </c>
    </row>
    <row r="322" spans="16:19" x14ac:dyDescent="0.75">
      <c r="P322" s="9">
        <v>308</v>
      </c>
      <c r="Q322" s="9">
        <f t="shared" si="18"/>
        <v>51</v>
      </c>
      <c r="R322" s="9">
        <f t="shared" si="19"/>
        <v>2</v>
      </c>
      <c r="S322" s="14" cm="1">
        <f t="array" ref="S322">INDEX('PS-ConceptMap-1'!$I$15:$N$286,Q322+1,R322)</f>
        <v>0</v>
      </c>
    </row>
    <row r="323" spans="16:19" x14ac:dyDescent="0.75">
      <c r="P323" s="9">
        <v>309</v>
      </c>
      <c r="Q323" s="9">
        <f t="shared" si="18"/>
        <v>51</v>
      </c>
      <c r="R323" s="9">
        <f t="shared" si="19"/>
        <v>3</v>
      </c>
      <c r="S323" s="14" cm="1">
        <f t="array" ref="S323">INDEX('PS-ConceptMap-1'!$I$15:$N$286,Q323+1,R323)</f>
        <v>0</v>
      </c>
    </row>
    <row r="324" spans="16:19" x14ac:dyDescent="0.75">
      <c r="P324" s="9">
        <v>310</v>
      </c>
      <c r="Q324" s="9">
        <f t="shared" si="18"/>
        <v>51</v>
      </c>
      <c r="R324" s="9">
        <f t="shared" si="19"/>
        <v>4</v>
      </c>
      <c r="S324" s="14" cm="1">
        <f t="array" ref="S324">INDEX('PS-ConceptMap-1'!$I$15:$N$286,Q324+1,R324)</f>
        <v>0</v>
      </c>
    </row>
    <row r="325" spans="16:19" x14ac:dyDescent="0.75">
      <c r="P325" s="9">
        <v>311</v>
      </c>
      <c r="Q325" s="9">
        <f t="shared" si="18"/>
        <v>51</v>
      </c>
      <c r="R325" s="9">
        <f t="shared" si="19"/>
        <v>5</v>
      </c>
      <c r="S325" s="14" cm="1">
        <f t="array" ref="S325">INDEX('PS-ConceptMap-1'!$I$15:$N$286,Q325+1,R325)</f>
        <v>0</v>
      </c>
    </row>
    <row r="326" spans="16:19" x14ac:dyDescent="0.75">
      <c r="P326" s="9">
        <v>312</v>
      </c>
      <c r="Q326" s="9">
        <f t="shared" si="18"/>
        <v>51</v>
      </c>
      <c r="R326" s="9">
        <f t="shared" si="19"/>
        <v>6</v>
      </c>
      <c r="S326" s="14" cm="1">
        <f t="array" ref="S326">INDEX('PS-ConceptMap-1'!$I$15:$N$286,Q326+1,R326)</f>
        <v>0</v>
      </c>
    </row>
    <row r="327" spans="16:19" x14ac:dyDescent="0.75">
      <c r="P327" s="9">
        <v>313</v>
      </c>
      <c r="Q327" s="9">
        <f t="shared" si="18"/>
        <v>52</v>
      </c>
      <c r="R327" s="9">
        <f t="shared" si="19"/>
        <v>1</v>
      </c>
      <c r="S327" s="14" cm="1">
        <f t="array" ref="S327">INDEX('PS-ConceptMap-1'!$I$15:$N$286,Q327+1,R327)</f>
        <v>0</v>
      </c>
    </row>
    <row r="328" spans="16:19" x14ac:dyDescent="0.75">
      <c r="P328" s="9">
        <v>314</v>
      </c>
      <c r="Q328" s="9">
        <f t="shared" si="18"/>
        <v>52</v>
      </c>
      <c r="R328" s="9">
        <f t="shared" si="19"/>
        <v>2</v>
      </c>
      <c r="S328" s="14" cm="1">
        <f t="array" ref="S328">INDEX('PS-ConceptMap-1'!$I$15:$N$286,Q328+1,R328)</f>
        <v>0</v>
      </c>
    </row>
    <row r="329" spans="16:19" x14ac:dyDescent="0.75">
      <c r="P329" s="9">
        <v>315</v>
      </c>
      <c r="Q329" s="9">
        <f t="shared" si="18"/>
        <v>52</v>
      </c>
      <c r="R329" s="9">
        <f t="shared" si="19"/>
        <v>3</v>
      </c>
      <c r="S329" s="14" cm="1">
        <f t="array" ref="S329">INDEX('PS-ConceptMap-1'!$I$15:$N$286,Q329+1,R329)</f>
        <v>0</v>
      </c>
    </row>
    <row r="330" spans="16:19" x14ac:dyDescent="0.75">
      <c r="P330" s="9">
        <v>316</v>
      </c>
      <c r="Q330" s="9">
        <f t="shared" si="18"/>
        <v>52</v>
      </c>
      <c r="R330" s="9">
        <f t="shared" si="19"/>
        <v>4</v>
      </c>
      <c r="S330" s="14" cm="1">
        <f t="array" ref="S330">INDEX('PS-ConceptMap-1'!$I$15:$N$286,Q330+1,R330)</f>
        <v>0</v>
      </c>
    </row>
    <row r="331" spans="16:19" x14ac:dyDescent="0.75">
      <c r="P331" s="9">
        <v>317</v>
      </c>
      <c r="Q331" s="9">
        <f t="shared" si="18"/>
        <v>52</v>
      </c>
      <c r="R331" s="9">
        <f t="shared" si="19"/>
        <v>5</v>
      </c>
      <c r="S331" s="14" cm="1">
        <f t="array" ref="S331">INDEX('PS-ConceptMap-1'!$I$15:$N$286,Q331+1,R331)</f>
        <v>0</v>
      </c>
    </row>
    <row r="332" spans="16:19" x14ac:dyDescent="0.75">
      <c r="P332" s="9">
        <v>318</v>
      </c>
      <c r="Q332" s="9">
        <f t="shared" si="18"/>
        <v>52</v>
      </c>
      <c r="R332" s="9">
        <f t="shared" si="19"/>
        <v>6</v>
      </c>
      <c r="S332" s="14" cm="1">
        <f t="array" ref="S332">INDEX('PS-ConceptMap-1'!$I$15:$N$286,Q332+1,R332)</f>
        <v>0</v>
      </c>
    </row>
    <row r="333" spans="16:19" x14ac:dyDescent="0.75">
      <c r="P333" s="9">
        <v>319</v>
      </c>
      <c r="Q333" s="9">
        <f t="shared" si="18"/>
        <v>53</v>
      </c>
      <c r="R333" s="9">
        <f t="shared" si="19"/>
        <v>1</v>
      </c>
      <c r="S333" s="14" cm="1">
        <f t="array" ref="S333">INDEX('PS-ConceptMap-1'!$I$15:$N$286,Q333+1,R333)</f>
        <v>0</v>
      </c>
    </row>
    <row r="334" spans="16:19" x14ac:dyDescent="0.75">
      <c r="P334" s="9">
        <v>320</v>
      </c>
      <c r="Q334" s="9">
        <f t="shared" si="18"/>
        <v>53</v>
      </c>
      <c r="R334" s="9">
        <f t="shared" si="19"/>
        <v>2</v>
      </c>
      <c r="S334" s="14" cm="1">
        <f t="array" ref="S334">INDEX('PS-ConceptMap-1'!$I$15:$N$286,Q334+1,R334)</f>
        <v>0</v>
      </c>
    </row>
    <row r="335" spans="16:19" x14ac:dyDescent="0.75">
      <c r="P335" s="9">
        <v>321</v>
      </c>
      <c r="Q335" s="9">
        <f t="shared" si="18"/>
        <v>53</v>
      </c>
      <c r="R335" s="9">
        <f t="shared" si="19"/>
        <v>3</v>
      </c>
      <c r="S335" s="14" cm="1">
        <f t="array" ref="S335">INDEX('PS-ConceptMap-1'!$I$15:$N$286,Q335+1,R335)</f>
        <v>0</v>
      </c>
    </row>
    <row r="336" spans="16:19" x14ac:dyDescent="0.75">
      <c r="P336" s="9">
        <v>322</v>
      </c>
      <c r="Q336" s="9">
        <f t="shared" ref="Q336:Q372" si="20">IF(MOD(P336,$Q$8)=0,P336/$Q$8-1,INT(P336/$Q$8))</f>
        <v>53</v>
      </c>
      <c r="R336" s="9">
        <f t="shared" ref="R336:R372" si="21">IF(MOD(P336,$Q$8)=0,$Q$8,MOD(P336,$Q$8))</f>
        <v>4</v>
      </c>
      <c r="S336" s="14" cm="1">
        <f t="array" ref="S336">INDEX('PS-ConceptMap-1'!$I$15:$N$286,Q336+1,R336)</f>
        <v>0</v>
      </c>
    </row>
    <row r="337" spans="16:19" x14ac:dyDescent="0.75">
      <c r="P337" s="9">
        <v>323</v>
      </c>
      <c r="Q337" s="9">
        <f t="shared" si="20"/>
        <v>53</v>
      </c>
      <c r="R337" s="9">
        <f t="shared" si="21"/>
        <v>5</v>
      </c>
      <c r="S337" s="14" cm="1">
        <f t="array" ref="S337">INDEX('PS-ConceptMap-1'!$I$15:$N$286,Q337+1,R337)</f>
        <v>0</v>
      </c>
    </row>
    <row r="338" spans="16:19" x14ac:dyDescent="0.75">
      <c r="P338" s="9">
        <v>324</v>
      </c>
      <c r="Q338" s="9">
        <f t="shared" si="20"/>
        <v>53</v>
      </c>
      <c r="R338" s="9">
        <f t="shared" si="21"/>
        <v>6</v>
      </c>
      <c r="S338" s="14" cm="1">
        <f t="array" ref="S338">INDEX('PS-ConceptMap-1'!$I$15:$N$286,Q338+1,R338)</f>
        <v>0</v>
      </c>
    </row>
    <row r="339" spans="16:19" x14ac:dyDescent="0.75">
      <c r="P339" s="9">
        <v>325</v>
      </c>
      <c r="Q339" s="9">
        <f t="shared" si="20"/>
        <v>54</v>
      </c>
      <c r="R339" s="9">
        <f t="shared" si="21"/>
        <v>1</v>
      </c>
      <c r="S339" s="14" cm="1">
        <f t="array" ref="S339">INDEX('PS-ConceptMap-1'!$I$15:$N$286,Q339+1,R339)</f>
        <v>0</v>
      </c>
    </row>
    <row r="340" spans="16:19" x14ac:dyDescent="0.75">
      <c r="P340" s="9">
        <v>326</v>
      </c>
      <c r="Q340" s="9">
        <f t="shared" si="20"/>
        <v>54</v>
      </c>
      <c r="R340" s="9">
        <f t="shared" si="21"/>
        <v>2</v>
      </c>
      <c r="S340" s="14" cm="1">
        <f t="array" ref="S340">INDEX('PS-ConceptMap-1'!$I$15:$N$286,Q340+1,R340)</f>
        <v>0</v>
      </c>
    </row>
    <row r="341" spans="16:19" x14ac:dyDescent="0.75">
      <c r="P341" s="9">
        <v>327</v>
      </c>
      <c r="Q341" s="9">
        <f t="shared" si="20"/>
        <v>54</v>
      </c>
      <c r="R341" s="9">
        <f t="shared" si="21"/>
        <v>3</v>
      </c>
      <c r="S341" s="14" cm="1">
        <f t="array" ref="S341">INDEX('PS-ConceptMap-1'!$I$15:$N$286,Q341+1,R341)</f>
        <v>0</v>
      </c>
    </row>
    <row r="342" spans="16:19" x14ac:dyDescent="0.75">
      <c r="P342" s="9">
        <v>328</v>
      </c>
      <c r="Q342" s="9">
        <f t="shared" si="20"/>
        <v>54</v>
      </c>
      <c r="R342" s="9">
        <f t="shared" si="21"/>
        <v>4</v>
      </c>
      <c r="S342" s="14" cm="1">
        <f t="array" ref="S342">INDEX('PS-ConceptMap-1'!$I$15:$N$286,Q342+1,R342)</f>
        <v>0</v>
      </c>
    </row>
    <row r="343" spans="16:19" x14ac:dyDescent="0.75">
      <c r="P343" s="9">
        <v>329</v>
      </c>
      <c r="Q343" s="9">
        <f t="shared" si="20"/>
        <v>54</v>
      </c>
      <c r="R343" s="9">
        <f t="shared" si="21"/>
        <v>5</v>
      </c>
      <c r="S343" s="14" cm="1">
        <f t="array" ref="S343">INDEX('PS-ConceptMap-1'!$I$15:$N$286,Q343+1,R343)</f>
        <v>0</v>
      </c>
    </row>
    <row r="344" spans="16:19" x14ac:dyDescent="0.75">
      <c r="P344" s="9">
        <v>330</v>
      </c>
      <c r="Q344" s="9">
        <f t="shared" si="20"/>
        <v>54</v>
      </c>
      <c r="R344" s="9">
        <f t="shared" si="21"/>
        <v>6</v>
      </c>
      <c r="S344" s="14" cm="1">
        <f t="array" ref="S344">INDEX('PS-ConceptMap-1'!$I$15:$N$286,Q344+1,R344)</f>
        <v>0</v>
      </c>
    </row>
    <row r="345" spans="16:19" x14ac:dyDescent="0.75">
      <c r="P345" s="9">
        <v>331</v>
      </c>
      <c r="Q345" s="9">
        <f t="shared" si="20"/>
        <v>55</v>
      </c>
      <c r="R345" s="9">
        <f t="shared" si="21"/>
        <v>1</v>
      </c>
      <c r="S345" s="14" cm="1">
        <f t="array" ref="S345">INDEX('PS-ConceptMap-1'!$I$15:$N$286,Q345+1,R345)</f>
        <v>0</v>
      </c>
    </row>
    <row r="346" spans="16:19" x14ac:dyDescent="0.75">
      <c r="P346" s="9">
        <v>332</v>
      </c>
      <c r="Q346" s="9">
        <f t="shared" si="20"/>
        <v>55</v>
      </c>
      <c r="R346" s="9">
        <f t="shared" si="21"/>
        <v>2</v>
      </c>
      <c r="S346" s="14" cm="1">
        <f t="array" ref="S346">INDEX('PS-ConceptMap-1'!$I$15:$N$286,Q346+1,R346)</f>
        <v>0</v>
      </c>
    </row>
    <row r="347" spans="16:19" x14ac:dyDescent="0.75">
      <c r="P347" s="9">
        <v>333</v>
      </c>
      <c r="Q347" s="9">
        <f t="shared" si="20"/>
        <v>55</v>
      </c>
      <c r="R347" s="9">
        <f t="shared" si="21"/>
        <v>3</v>
      </c>
      <c r="S347" s="14" cm="1">
        <f t="array" ref="S347">INDEX('PS-ConceptMap-1'!$I$15:$N$286,Q347+1,R347)</f>
        <v>0</v>
      </c>
    </row>
    <row r="348" spans="16:19" x14ac:dyDescent="0.75">
      <c r="P348" s="9">
        <v>334</v>
      </c>
      <c r="Q348" s="9">
        <f t="shared" si="20"/>
        <v>55</v>
      </c>
      <c r="R348" s="9">
        <f t="shared" si="21"/>
        <v>4</v>
      </c>
      <c r="S348" s="14" cm="1">
        <f t="array" ref="S348">INDEX('PS-ConceptMap-1'!$I$15:$N$286,Q348+1,R348)</f>
        <v>0</v>
      </c>
    </row>
    <row r="349" spans="16:19" x14ac:dyDescent="0.75">
      <c r="P349" s="9">
        <v>335</v>
      </c>
      <c r="Q349" s="9">
        <f t="shared" si="20"/>
        <v>55</v>
      </c>
      <c r="R349" s="9">
        <f t="shared" si="21"/>
        <v>5</v>
      </c>
      <c r="S349" s="14" cm="1">
        <f t="array" ref="S349">INDEX('PS-ConceptMap-1'!$I$15:$N$286,Q349+1,R349)</f>
        <v>0</v>
      </c>
    </row>
    <row r="350" spans="16:19" x14ac:dyDescent="0.75">
      <c r="P350" s="9">
        <v>336</v>
      </c>
      <c r="Q350" s="9">
        <f t="shared" si="20"/>
        <v>55</v>
      </c>
      <c r="R350" s="9">
        <f t="shared" si="21"/>
        <v>6</v>
      </c>
      <c r="S350" s="14" cm="1">
        <f t="array" ref="S350">INDEX('PS-ConceptMap-1'!$I$15:$N$286,Q350+1,R350)</f>
        <v>0</v>
      </c>
    </row>
    <row r="351" spans="16:19" x14ac:dyDescent="0.75">
      <c r="P351" s="9">
        <v>337</v>
      </c>
      <c r="Q351" s="9">
        <f t="shared" si="20"/>
        <v>56</v>
      </c>
      <c r="R351" s="9">
        <f t="shared" si="21"/>
        <v>1</v>
      </c>
      <c r="S351" s="14" cm="1">
        <f t="array" ref="S351">INDEX('PS-ConceptMap-1'!$I$15:$N$286,Q351+1,R351)</f>
        <v>0</v>
      </c>
    </row>
    <row r="352" spans="16:19" x14ac:dyDescent="0.75">
      <c r="P352" s="9">
        <v>338</v>
      </c>
      <c r="Q352" s="9">
        <f t="shared" si="20"/>
        <v>56</v>
      </c>
      <c r="R352" s="9">
        <f t="shared" si="21"/>
        <v>2</v>
      </c>
      <c r="S352" s="14" cm="1">
        <f t="array" ref="S352">INDEX('PS-ConceptMap-1'!$I$15:$N$286,Q352+1,R352)</f>
        <v>0</v>
      </c>
    </row>
    <row r="353" spans="16:19" x14ac:dyDescent="0.75">
      <c r="P353" s="9">
        <v>339</v>
      </c>
      <c r="Q353" s="9">
        <f t="shared" si="20"/>
        <v>56</v>
      </c>
      <c r="R353" s="9">
        <f t="shared" si="21"/>
        <v>3</v>
      </c>
      <c r="S353" s="14" cm="1">
        <f t="array" ref="S353">INDEX('PS-ConceptMap-1'!$I$15:$N$286,Q353+1,R353)</f>
        <v>0</v>
      </c>
    </row>
    <row r="354" spans="16:19" x14ac:dyDescent="0.75">
      <c r="P354" s="9">
        <v>340</v>
      </c>
      <c r="Q354" s="9">
        <f t="shared" si="20"/>
        <v>56</v>
      </c>
      <c r="R354" s="9">
        <f t="shared" si="21"/>
        <v>4</v>
      </c>
      <c r="S354" s="14" cm="1">
        <f t="array" ref="S354">INDEX('PS-ConceptMap-1'!$I$15:$N$286,Q354+1,R354)</f>
        <v>0</v>
      </c>
    </row>
    <row r="355" spans="16:19" x14ac:dyDescent="0.75">
      <c r="P355" s="9">
        <v>341</v>
      </c>
      <c r="Q355" s="9">
        <f t="shared" si="20"/>
        <v>56</v>
      </c>
      <c r="R355" s="9">
        <f t="shared" si="21"/>
        <v>5</v>
      </c>
      <c r="S355" s="14" cm="1">
        <f t="array" ref="S355">INDEX('PS-ConceptMap-1'!$I$15:$N$286,Q355+1,R355)</f>
        <v>0</v>
      </c>
    </row>
    <row r="356" spans="16:19" x14ac:dyDescent="0.75">
      <c r="P356" s="9">
        <v>342</v>
      </c>
      <c r="Q356" s="9">
        <f t="shared" si="20"/>
        <v>56</v>
      </c>
      <c r="R356" s="9">
        <f t="shared" si="21"/>
        <v>6</v>
      </c>
      <c r="S356" s="14" cm="1">
        <f t="array" ref="S356">INDEX('PS-ConceptMap-1'!$I$15:$N$286,Q356+1,R356)</f>
        <v>0</v>
      </c>
    </row>
    <row r="357" spans="16:19" x14ac:dyDescent="0.75">
      <c r="P357" s="9">
        <v>343</v>
      </c>
      <c r="Q357" s="9">
        <f t="shared" si="20"/>
        <v>57</v>
      </c>
      <c r="R357" s="9">
        <f t="shared" si="21"/>
        <v>1</v>
      </c>
      <c r="S357" s="14" cm="1">
        <f t="array" ref="S357">INDEX('PS-ConceptMap-1'!$I$15:$N$286,Q357+1,R357)</f>
        <v>0</v>
      </c>
    </row>
    <row r="358" spans="16:19" x14ac:dyDescent="0.75">
      <c r="P358" s="9">
        <v>344</v>
      </c>
      <c r="Q358" s="9">
        <f t="shared" si="20"/>
        <v>57</v>
      </c>
      <c r="R358" s="9">
        <f t="shared" si="21"/>
        <v>2</v>
      </c>
      <c r="S358" s="14" cm="1">
        <f t="array" ref="S358">INDEX('PS-ConceptMap-1'!$I$15:$N$286,Q358+1,R358)</f>
        <v>0</v>
      </c>
    </row>
    <row r="359" spans="16:19" x14ac:dyDescent="0.75">
      <c r="P359" s="9">
        <v>345</v>
      </c>
      <c r="Q359" s="9">
        <f t="shared" si="20"/>
        <v>57</v>
      </c>
      <c r="R359" s="9">
        <f t="shared" si="21"/>
        <v>3</v>
      </c>
      <c r="S359" s="14" cm="1">
        <f t="array" ref="S359">INDEX('PS-ConceptMap-1'!$I$15:$N$286,Q359+1,R359)</f>
        <v>0</v>
      </c>
    </row>
    <row r="360" spans="16:19" x14ac:dyDescent="0.75">
      <c r="P360" s="9">
        <v>346</v>
      </c>
      <c r="Q360" s="9">
        <f t="shared" si="20"/>
        <v>57</v>
      </c>
      <c r="R360" s="9">
        <f t="shared" si="21"/>
        <v>4</v>
      </c>
      <c r="S360" s="14" cm="1">
        <f t="array" ref="S360">INDEX('PS-ConceptMap-1'!$I$15:$N$286,Q360+1,R360)</f>
        <v>0</v>
      </c>
    </row>
    <row r="361" spans="16:19" x14ac:dyDescent="0.75">
      <c r="P361" s="9">
        <v>347</v>
      </c>
      <c r="Q361" s="9">
        <f t="shared" si="20"/>
        <v>57</v>
      </c>
      <c r="R361" s="9">
        <f t="shared" si="21"/>
        <v>5</v>
      </c>
      <c r="S361" s="14" cm="1">
        <f t="array" ref="S361">INDEX('PS-ConceptMap-1'!$I$15:$N$286,Q361+1,R361)</f>
        <v>0</v>
      </c>
    </row>
    <row r="362" spans="16:19" x14ac:dyDescent="0.75">
      <c r="P362" s="9">
        <v>348</v>
      </c>
      <c r="Q362" s="9">
        <f t="shared" si="20"/>
        <v>57</v>
      </c>
      <c r="R362" s="9">
        <f t="shared" si="21"/>
        <v>6</v>
      </c>
      <c r="S362" s="14" cm="1">
        <f t="array" ref="S362">INDEX('PS-ConceptMap-1'!$I$15:$N$286,Q362+1,R362)</f>
        <v>0</v>
      </c>
    </row>
    <row r="363" spans="16:19" x14ac:dyDescent="0.75">
      <c r="P363" s="9">
        <v>349</v>
      </c>
      <c r="Q363" s="9">
        <f t="shared" si="20"/>
        <v>58</v>
      </c>
      <c r="R363" s="9">
        <f t="shared" si="21"/>
        <v>1</v>
      </c>
      <c r="S363" s="14" cm="1">
        <f t="array" ref="S363">INDEX('PS-ConceptMap-1'!$I$15:$N$286,Q363+1,R363)</f>
        <v>0</v>
      </c>
    </row>
    <row r="364" spans="16:19" x14ac:dyDescent="0.75">
      <c r="P364" s="9">
        <v>350</v>
      </c>
      <c r="Q364" s="9">
        <f t="shared" si="20"/>
        <v>58</v>
      </c>
      <c r="R364" s="9">
        <f t="shared" si="21"/>
        <v>2</v>
      </c>
      <c r="S364" s="14" cm="1">
        <f t="array" ref="S364">INDEX('PS-ConceptMap-1'!$I$15:$N$286,Q364+1,R364)</f>
        <v>0</v>
      </c>
    </row>
    <row r="365" spans="16:19" x14ac:dyDescent="0.75">
      <c r="P365" s="9">
        <v>351</v>
      </c>
      <c r="Q365" s="9">
        <f t="shared" si="20"/>
        <v>58</v>
      </c>
      <c r="R365" s="9">
        <f t="shared" si="21"/>
        <v>3</v>
      </c>
      <c r="S365" s="14" cm="1">
        <f t="array" ref="S365">INDEX('PS-ConceptMap-1'!$I$15:$N$286,Q365+1,R365)</f>
        <v>0</v>
      </c>
    </row>
    <row r="366" spans="16:19" x14ac:dyDescent="0.75">
      <c r="P366" s="9">
        <v>352</v>
      </c>
      <c r="Q366" s="9">
        <f t="shared" si="20"/>
        <v>58</v>
      </c>
      <c r="R366" s="9">
        <f t="shared" si="21"/>
        <v>4</v>
      </c>
      <c r="S366" s="14" cm="1">
        <f t="array" ref="S366">INDEX('PS-ConceptMap-1'!$I$15:$N$286,Q366+1,R366)</f>
        <v>0</v>
      </c>
    </row>
    <row r="367" spans="16:19" x14ac:dyDescent="0.75">
      <c r="P367" s="9">
        <v>353</v>
      </c>
      <c r="Q367" s="9">
        <f t="shared" si="20"/>
        <v>58</v>
      </c>
      <c r="R367" s="9">
        <f t="shared" si="21"/>
        <v>5</v>
      </c>
      <c r="S367" s="14" cm="1">
        <f t="array" ref="S367">INDEX('PS-ConceptMap-1'!$I$15:$N$286,Q367+1,R367)</f>
        <v>0</v>
      </c>
    </row>
    <row r="368" spans="16:19" x14ac:dyDescent="0.75">
      <c r="P368" s="9">
        <v>354</v>
      </c>
      <c r="Q368" s="9">
        <f t="shared" si="20"/>
        <v>58</v>
      </c>
      <c r="R368" s="9">
        <f t="shared" si="21"/>
        <v>6</v>
      </c>
      <c r="S368" s="14" cm="1">
        <f t="array" ref="S368">INDEX('PS-ConceptMap-1'!$I$15:$N$286,Q368+1,R368)</f>
        <v>0</v>
      </c>
    </row>
    <row r="369" spans="16:19" x14ac:dyDescent="0.75">
      <c r="P369" s="9">
        <v>355</v>
      </c>
      <c r="Q369" s="9">
        <f t="shared" si="20"/>
        <v>59</v>
      </c>
      <c r="R369" s="9">
        <f t="shared" si="21"/>
        <v>1</v>
      </c>
      <c r="S369" s="14" cm="1">
        <f t="array" ref="S369">INDEX('PS-ConceptMap-1'!$I$15:$N$286,Q369+1,R369)</f>
        <v>0</v>
      </c>
    </row>
    <row r="370" spans="16:19" x14ac:dyDescent="0.75">
      <c r="P370" s="9">
        <v>356</v>
      </c>
      <c r="Q370" s="9">
        <f t="shared" si="20"/>
        <v>59</v>
      </c>
      <c r="R370" s="9">
        <f t="shared" si="21"/>
        <v>2</v>
      </c>
      <c r="S370" s="14" cm="1">
        <f t="array" ref="S370">INDEX('PS-ConceptMap-1'!$I$15:$N$286,Q370+1,R370)</f>
        <v>0</v>
      </c>
    </row>
    <row r="371" spans="16:19" x14ac:dyDescent="0.75">
      <c r="P371" s="9">
        <v>357</v>
      </c>
      <c r="Q371" s="9">
        <f t="shared" si="20"/>
        <v>59</v>
      </c>
      <c r="R371" s="9">
        <f t="shared" si="21"/>
        <v>3</v>
      </c>
      <c r="S371" s="14" cm="1">
        <f t="array" ref="S371">INDEX('PS-ConceptMap-1'!$I$15:$N$286,Q371+1,R371)</f>
        <v>0</v>
      </c>
    </row>
    <row r="372" spans="16:19" x14ac:dyDescent="0.75">
      <c r="P372" s="9">
        <v>358</v>
      </c>
      <c r="Q372" s="9">
        <f t="shared" si="20"/>
        <v>59</v>
      </c>
      <c r="R372" s="9">
        <f t="shared" si="21"/>
        <v>4</v>
      </c>
      <c r="S372" s="14" cm="1">
        <f t="array" ref="S372">INDEX('PS-ConceptMap-1'!$I$15:$N$286,Q372+1,R372)</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 ref="E7" r:id="rId3" xr:uid="{6FE253B3-5B68-4521-A3B1-FE097D22DA88}"/>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B4549-C828-478F-9AB1-48431C6444DE}">
  <sheetPr codeName="Foglio77">
    <tabColor theme="0" tint="-0.499984740745262"/>
  </sheetPr>
  <dimension ref="A2:S40"/>
  <sheetViews>
    <sheetView topLeftCell="M30" zoomScale="80" zoomScaleNormal="80" workbookViewId="0">
      <selection activeCell="P41" sqref="P41:S309"/>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844</v>
      </c>
      <c r="D3" s="61" t="s">
        <v>208</v>
      </c>
      <c r="E3" t="s">
        <v>900</v>
      </c>
    </row>
    <row r="4" spans="1:19" x14ac:dyDescent="0.75">
      <c r="B4" s="61" t="s">
        <v>19</v>
      </c>
      <c r="C4" s="47" t="s">
        <v>848</v>
      </c>
      <c r="D4" s="61" t="s">
        <v>209</v>
      </c>
      <c r="E4" s="72" t="s">
        <v>901</v>
      </c>
    </row>
    <row r="5" spans="1:19" x14ac:dyDescent="0.75">
      <c r="B5" s="61" t="s">
        <v>13</v>
      </c>
      <c r="C5" s="21" t="s">
        <v>850</v>
      </c>
      <c r="D5" s="61"/>
      <c r="E5" s="10"/>
    </row>
    <row r="6" spans="1:19" ht="29.5" x14ac:dyDescent="0.75">
      <c r="B6" s="61" t="s">
        <v>35</v>
      </c>
      <c r="C6" s="105" t="s">
        <v>900</v>
      </c>
      <c r="D6" s="61" t="s">
        <v>206</v>
      </c>
      <c r="E6" s="164" t="s">
        <v>900</v>
      </c>
      <c r="F6" s="164"/>
      <c r="G6" s="164"/>
    </row>
    <row r="7" spans="1:19" x14ac:dyDescent="0.75">
      <c r="B7" s="61" t="s">
        <v>18</v>
      </c>
      <c r="C7" s="106" t="s">
        <v>540</v>
      </c>
      <c r="D7" s="61" t="s">
        <v>207</v>
      </c>
      <c r="E7" s="165" t="s">
        <v>1308</v>
      </c>
      <c r="F7" s="164"/>
      <c r="G7" s="164"/>
    </row>
    <row r="8" spans="1:19" ht="44.25" x14ac:dyDescent="0.75">
      <c r="B8" s="61" t="s">
        <v>204</v>
      </c>
      <c r="C8" s="21" t="s">
        <v>850</v>
      </c>
      <c r="D8" s="61"/>
      <c r="E8" s="10"/>
      <c r="I8" s="14" t="s">
        <v>181</v>
      </c>
      <c r="J8" s="14" t="s">
        <v>182</v>
      </c>
      <c r="K8" s="14" t="s">
        <v>183</v>
      </c>
      <c r="L8" s="14" t="s">
        <v>184</v>
      </c>
      <c r="M8" s="9" t="s">
        <v>185</v>
      </c>
      <c r="P8" s="57" t="s">
        <v>186</v>
      </c>
      <c r="Q8" s="57">
        <v>6</v>
      </c>
    </row>
    <row r="9" spans="1:19" ht="29.5" x14ac:dyDescent="0.75">
      <c r="B9" s="61" t="s">
        <v>205</v>
      </c>
      <c r="C9" s="1" t="s">
        <v>460</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
        <v>560</v>
      </c>
      <c r="C14" s="14"/>
      <c r="D14" s="4" t="s">
        <v>1131</v>
      </c>
      <c r="E14" s="8"/>
      <c r="F14" s="9"/>
      <c r="G14" s="9"/>
      <c r="I14" s="14"/>
      <c r="J14" s="9"/>
      <c r="K14" s="9"/>
      <c r="L14" s="9"/>
      <c r="M14" s="59"/>
      <c r="N14" s="62"/>
    </row>
    <row r="15" spans="1:19" ht="44.25" x14ac:dyDescent="0.75">
      <c r="A15" s="22"/>
      <c r="B15" s="9" t="str">
        <f>PS!B19</f>
        <v>header.additionalInfo</v>
      </c>
      <c r="C15" s="9" t="str">
        <f>PS!C19</f>
        <v>A.1.6 Additional information / Knowledge resources</v>
      </c>
      <c r="D15" s="14" t="s">
        <v>1326</v>
      </c>
      <c r="E15" s="9"/>
      <c r="F15" s="63" t="s">
        <v>193</v>
      </c>
      <c r="G15" s="63"/>
      <c r="H15" s="64"/>
      <c r="I15" s="14" t="str">
        <f>"* group[=].element[+].code = #"&amp;$B$14&amp;"."&amp;B15</f>
        <v>* group[=].element[+].code = #PatientSummary.header.additionalInfo</v>
      </c>
      <c r="J15" s="14" t="str">
        <f t="shared" ref="J15" si="0">"* group[=].element[=].display = ##34#"&amp;C15&amp;"##34#"</f>
        <v>* group[=].element[=].display = ##34#A.1.6 Additional information / Knowledge resources##34#</v>
      </c>
      <c r="K15" s="14" t="str">
        <f>IF(F15="unmatched","//-- unmatched",IF(D15="","* group[=].element[=].target.code = #"&amp;$D$14,"* group[=].element[=].target.code = #"&amp;$D$14&amp;"."&amp;D15))</f>
        <v>* group[=].element[=].target.code = #Condition.extension:supporintInfo</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INDEX('PS-ConceptMap-2'!$I$15:$N$40,Q15+1,R15)</f>
        <v>* group[=].element[+].code = #PatientSummary.header.additionalInfo</v>
      </c>
    </row>
    <row r="16" spans="1:19" ht="88.5" x14ac:dyDescent="0.75">
      <c r="A16" s="22"/>
      <c r="B16" s="9" t="str">
        <f>PS!B20</f>
        <v>header.additionalInfo.reference</v>
      </c>
      <c r="C16" s="9" t="str">
        <f>PS!C20</f>
        <v>A.1.6.1 External reference</v>
      </c>
      <c r="D16" s="14" t="s">
        <v>1326</v>
      </c>
      <c r="E16" s="14"/>
      <c r="F16" s="63" t="s">
        <v>193</v>
      </c>
      <c r="G16" s="91" t="s">
        <v>1327</v>
      </c>
      <c r="H16" s="64"/>
      <c r="I16" s="14" t="str">
        <f t="shared" ref="I16:I17" si="4">"* group[=].element[+].code = #"&amp;$B$14&amp;"."&amp;B16</f>
        <v>* group[=].element[+].code = #PatientSummary.header.additionalInfo.reference</v>
      </c>
      <c r="J16" s="14" t="str">
        <f t="shared" ref="J16:J17" si="5">"* group[=].element[=].display = ##34#"&amp;C16&amp;"##34#"</f>
        <v>* group[=].element[=].display = ##34#A.1.6.1 External reference##34#</v>
      </c>
      <c r="K16" s="14" t="str">
        <f t="shared" ref="K16:K17" si="6">IF(F16="unmatched","//-- unmatched",IF(D16="","* group[=].element[=].target.code = #"&amp;$D$14,"* group[=].element[=].target.code = #"&amp;$D$14&amp;"."&amp;D16))</f>
        <v>* group[=].element[=].target.code = #Condition.extension:supporintInfo</v>
      </c>
      <c r="L16" s="14" t="str">
        <f t="shared" ref="L16:L17" si="7">IF(F16="unmatched","//-- unmatched","* group[=].element[=].target.display = ##34#"&amp;E16&amp;"##34#")</f>
        <v>* group[=].element[=].target.display = ##34###34#</v>
      </c>
      <c r="M16" s="14" t="str">
        <f t="shared" ref="M16:M17" si="8">"* group[=].element[=].target.equivalence = #"&amp;F16</f>
        <v>* group[=].element[=].target.equivalence = #relatedto</v>
      </c>
      <c r="N16" s="14" t="str">
        <f t="shared" ref="N16:N17" si="9">IF(G16&lt;&gt;"",CONCATENATE("* group[=].element[=].target.comment = ","##34#",G16,"##34#"),"")</f>
        <v>* group[=].element[=].target.comment = ##34#extension[supporintInfo].resolve().ofType(DocumentReference)##34#</v>
      </c>
      <c r="P16" s="9">
        <v>2</v>
      </c>
      <c r="Q16" s="9">
        <f t="shared" ref="Q16:Q40" si="10">IF(MOD(P16,$Q$8)=0,P16/$Q$8-1,INT(P16/$Q$8))</f>
        <v>0</v>
      </c>
      <c r="R16" s="9">
        <f t="shared" ref="R16:R40" si="11">IF(MOD(P16,$Q$8)=0,$Q$8,MOD(P16,$Q$8))</f>
        <v>2</v>
      </c>
      <c r="S16" s="14" t="str" cm="1">
        <f t="array" ref="S16">INDEX('PS-ConceptMap-2'!$I$15:$N$40,Q16+1,R16)</f>
        <v>* group[=].element[=].display = ##34#A.1.6 Additional information / Knowledge resources##34#</v>
      </c>
    </row>
    <row r="17" spans="2:19" ht="73.75" x14ac:dyDescent="0.75">
      <c r="B17" s="9" t="str">
        <f>PS!B21</f>
        <v>header.additionalInfo.relatedWith</v>
      </c>
      <c r="C17" s="9" t="str">
        <f>PS!C21</f>
        <v>A.1.6.2 Related with</v>
      </c>
      <c r="D17" s="14"/>
      <c r="E17" s="14"/>
      <c r="F17" s="63" t="s">
        <v>193</v>
      </c>
      <c r="G17" s="91" t="s">
        <v>1328</v>
      </c>
      <c r="H17" s="64"/>
      <c r="I17" s="14" t="str">
        <f t="shared" si="4"/>
        <v>* group[=].element[+].code = #PatientSummary.header.additionalInfo.relatedWith</v>
      </c>
      <c r="J17" s="14" t="str">
        <f t="shared" si="5"/>
        <v>* group[=].element[=].display = ##34#A.1.6.2 Related with##34#</v>
      </c>
      <c r="K17" s="14" t="str">
        <f t="shared" si="6"/>
        <v>* group[=].element[=].target.code = #Condition</v>
      </c>
      <c r="L17" s="14" t="str">
        <f t="shared" si="7"/>
        <v>* group[=].element[=].target.display = ##34###34#</v>
      </c>
      <c r="M17" s="14" t="str">
        <f t="shared" si="8"/>
        <v>* group[=].element[=].target.equivalence = #relatedto</v>
      </c>
      <c r="N17" s="14" t="str">
        <f t="shared" si="9"/>
        <v>* group[=].element[=].target.comment = ##34#the containing resource describes the context in this case the Condition##34#</v>
      </c>
      <c r="P17" s="9">
        <v>3</v>
      </c>
      <c r="Q17" s="9">
        <f t="shared" si="10"/>
        <v>0</v>
      </c>
      <c r="R17" s="9">
        <f t="shared" si="11"/>
        <v>3</v>
      </c>
      <c r="S17" s="14" t="str" cm="1">
        <f t="array" ref="S17">INDEX('PS-ConceptMap-2'!$I$15:$N$40,Q17+1,R17)</f>
        <v>* group[=].element[=].target.code = #Condition.extension:supporintInfo</v>
      </c>
    </row>
    <row r="18" spans="2:19" x14ac:dyDescent="0.75">
      <c r="P18" s="9">
        <v>4</v>
      </c>
      <c r="Q18" s="9">
        <f t="shared" si="10"/>
        <v>0</v>
      </c>
      <c r="R18" s="9">
        <f t="shared" si="11"/>
        <v>4</v>
      </c>
      <c r="S18" s="14" t="str" cm="1">
        <f t="array" ref="S18">INDEX('PS-ConceptMap-2'!$I$15:$N$40,Q18+1,R18)</f>
        <v>* group[=].element[=].target.display = ##34###34#</v>
      </c>
    </row>
    <row r="19" spans="2:19" x14ac:dyDescent="0.75">
      <c r="P19" s="9">
        <v>5</v>
      </c>
      <c r="Q19" s="9">
        <f t="shared" si="10"/>
        <v>0</v>
      </c>
      <c r="R19" s="9">
        <f t="shared" si="11"/>
        <v>5</v>
      </c>
      <c r="S19" s="14" t="str" cm="1">
        <f t="array" ref="S19">INDEX('PS-ConceptMap-2'!$I$15:$N$40,Q19+1,R19)</f>
        <v>* group[=].element[=].target.equivalence = #relatedto</v>
      </c>
    </row>
    <row r="20" spans="2:19" x14ac:dyDescent="0.75">
      <c r="P20" s="9">
        <v>6</v>
      </c>
      <c r="Q20" s="9">
        <f t="shared" si="10"/>
        <v>0</v>
      </c>
      <c r="R20" s="9">
        <f t="shared" si="11"/>
        <v>6</v>
      </c>
      <c r="S20" s="14" t="str" cm="1">
        <f t="array" ref="S20">INDEX('PS-ConceptMap-2'!$I$15:$N$40,Q20+1,R20)</f>
        <v/>
      </c>
    </row>
    <row r="21" spans="2:19" x14ac:dyDescent="0.75">
      <c r="P21" s="9">
        <v>7</v>
      </c>
      <c r="Q21" s="9">
        <f t="shared" si="10"/>
        <v>1</v>
      </c>
      <c r="R21" s="9">
        <f t="shared" si="11"/>
        <v>1</v>
      </c>
      <c r="S21" s="14" t="str" cm="1">
        <f t="array" ref="S21">INDEX('PS-ConceptMap-2'!$I$15:$N$40,Q21+1,R21)</f>
        <v>* group[=].element[+].code = #PatientSummary.header.additionalInfo.reference</v>
      </c>
    </row>
    <row r="22" spans="2:19" x14ac:dyDescent="0.75">
      <c r="P22" s="9">
        <v>8</v>
      </c>
      <c r="Q22" s="9">
        <f t="shared" si="10"/>
        <v>1</v>
      </c>
      <c r="R22" s="9">
        <f t="shared" si="11"/>
        <v>2</v>
      </c>
      <c r="S22" s="14" t="str" cm="1">
        <f t="array" ref="S22">INDEX('PS-ConceptMap-2'!$I$15:$N$40,Q22+1,R22)</f>
        <v>* group[=].element[=].display = ##34#A.1.6.1 External reference##34#</v>
      </c>
    </row>
    <row r="23" spans="2:19" x14ac:dyDescent="0.75">
      <c r="P23" s="9">
        <v>9</v>
      </c>
      <c r="Q23" s="9">
        <f t="shared" si="10"/>
        <v>1</v>
      </c>
      <c r="R23" s="9">
        <f t="shared" si="11"/>
        <v>3</v>
      </c>
      <c r="S23" s="14" t="str" cm="1">
        <f t="array" ref="S23">INDEX('PS-ConceptMap-2'!$I$15:$N$40,Q23+1,R23)</f>
        <v>* group[=].element[=].target.code = #Condition.extension:supporintInfo</v>
      </c>
    </row>
    <row r="24" spans="2:19" x14ac:dyDescent="0.75">
      <c r="P24" s="9">
        <v>10</v>
      </c>
      <c r="Q24" s="9">
        <f t="shared" si="10"/>
        <v>1</v>
      </c>
      <c r="R24" s="9">
        <f t="shared" si="11"/>
        <v>4</v>
      </c>
      <c r="S24" s="14" t="str" cm="1">
        <f t="array" ref="S24">INDEX('PS-ConceptMap-2'!$I$15:$N$40,Q24+1,R24)</f>
        <v>* group[=].element[=].target.display = ##34###34#</v>
      </c>
    </row>
    <row r="25" spans="2:19" x14ac:dyDescent="0.75">
      <c r="P25" s="9">
        <v>11</v>
      </c>
      <c r="Q25" s="9">
        <f t="shared" si="10"/>
        <v>1</v>
      </c>
      <c r="R25" s="9">
        <f t="shared" si="11"/>
        <v>5</v>
      </c>
      <c r="S25" s="14" t="str" cm="1">
        <f t="array" ref="S25">INDEX('PS-ConceptMap-2'!$I$15:$N$40,Q25+1,R25)</f>
        <v>* group[=].element[=].target.equivalence = #relatedto</v>
      </c>
    </row>
    <row r="26" spans="2:19" x14ac:dyDescent="0.75">
      <c r="P26" s="9">
        <v>12</v>
      </c>
      <c r="Q26" s="9">
        <f t="shared" si="10"/>
        <v>1</v>
      </c>
      <c r="R26" s="9">
        <f t="shared" si="11"/>
        <v>6</v>
      </c>
      <c r="S26" s="14" t="str" cm="1">
        <f t="array" ref="S26">INDEX('PS-ConceptMap-2'!$I$15:$N$40,Q26+1,R26)</f>
        <v>* group[=].element[=].target.comment = ##34#extension[supporintInfo].resolve().ofType(DocumentReference)##34#</v>
      </c>
    </row>
    <row r="27" spans="2:19" x14ac:dyDescent="0.75">
      <c r="P27" s="9">
        <v>13</v>
      </c>
      <c r="Q27" s="9">
        <f t="shared" si="10"/>
        <v>2</v>
      </c>
      <c r="R27" s="9">
        <f t="shared" si="11"/>
        <v>1</v>
      </c>
      <c r="S27" s="14" t="str" cm="1">
        <f t="array" ref="S27">INDEX('PS-ConceptMap-2'!$I$15:$N$40,Q27+1,R27)</f>
        <v>* group[=].element[+].code = #PatientSummary.header.additionalInfo.relatedWith</v>
      </c>
    </row>
    <row r="28" spans="2:19" x14ac:dyDescent="0.75">
      <c r="P28" s="9">
        <v>14</v>
      </c>
      <c r="Q28" s="9">
        <f t="shared" si="10"/>
        <v>2</v>
      </c>
      <c r="R28" s="9">
        <f t="shared" si="11"/>
        <v>2</v>
      </c>
      <c r="S28" s="14" t="str" cm="1">
        <f t="array" ref="S28">INDEX('PS-ConceptMap-2'!$I$15:$N$40,Q28+1,R28)</f>
        <v>* group[=].element[=].display = ##34#A.1.6.2 Related with##34#</v>
      </c>
    </row>
    <row r="29" spans="2:19" x14ac:dyDescent="0.75">
      <c r="P29" s="9">
        <v>15</v>
      </c>
      <c r="Q29" s="9">
        <f t="shared" si="10"/>
        <v>2</v>
      </c>
      <c r="R29" s="9">
        <f t="shared" si="11"/>
        <v>3</v>
      </c>
      <c r="S29" s="14" t="str" cm="1">
        <f t="array" ref="S29">INDEX('PS-ConceptMap-2'!$I$15:$N$40,Q29+1,R29)</f>
        <v>* group[=].element[=].target.code = #Condition</v>
      </c>
    </row>
    <row r="30" spans="2:19" x14ac:dyDescent="0.75">
      <c r="P30" s="9">
        <v>16</v>
      </c>
      <c r="Q30" s="9">
        <f t="shared" si="10"/>
        <v>2</v>
      </c>
      <c r="R30" s="9">
        <f t="shared" si="11"/>
        <v>4</v>
      </c>
      <c r="S30" s="14" t="str" cm="1">
        <f t="array" ref="S30">INDEX('PS-ConceptMap-2'!$I$15:$N$40,Q30+1,R30)</f>
        <v>* group[=].element[=].target.display = ##34###34#</v>
      </c>
    </row>
    <row r="31" spans="2:19" x14ac:dyDescent="0.75">
      <c r="P31" s="9">
        <v>17</v>
      </c>
      <c r="Q31" s="9">
        <f t="shared" si="10"/>
        <v>2</v>
      </c>
      <c r="R31" s="9">
        <f t="shared" si="11"/>
        <v>5</v>
      </c>
      <c r="S31" s="14" t="str" cm="1">
        <f t="array" ref="S31">INDEX('PS-ConceptMap-2'!$I$15:$N$40,Q31+1,R31)</f>
        <v>* group[=].element[=].target.equivalence = #relatedto</v>
      </c>
    </row>
    <row r="32" spans="2:19" x14ac:dyDescent="0.75">
      <c r="P32" s="9">
        <v>18</v>
      </c>
      <c r="Q32" s="9">
        <f t="shared" si="10"/>
        <v>2</v>
      </c>
      <c r="R32" s="9">
        <f t="shared" si="11"/>
        <v>6</v>
      </c>
      <c r="S32" s="14" t="str" cm="1">
        <f t="array" ref="S32">INDEX('PS-ConceptMap-2'!$I$15:$N$40,Q32+1,R32)</f>
        <v>* group[=].element[=].target.comment = ##34#the containing resource describes the context in this case the Condition##34#</v>
      </c>
    </row>
    <row r="33" spans="16:19" x14ac:dyDescent="0.75">
      <c r="P33" s="9">
        <v>19</v>
      </c>
      <c r="Q33" s="9">
        <f t="shared" si="10"/>
        <v>3</v>
      </c>
      <c r="R33" s="9">
        <f t="shared" si="11"/>
        <v>1</v>
      </c>
      <c r="S33" s="14" cm="1">
        <f t="array" ref="S33">INDEX('PS-ConceptMap-2'!$I$15:$N$40,Q33+1,R33)</f>
        <v>0</v>
      </c>
    </row>
    <row r="34" spans="16:19" x14ac:dyDescent="0.75">
      <c r="P34" s="9">
        <v>20</v>
      </c>
      <c r="Q34" s="9">
        <f t="shared" si="10"/>
        <v>3</v>
      </c>
      <c r="R34" s="9">
        <f t="shared" si="11"/>
        <v>2</v>
      </c>
      <c r="S34" s="14" cm="1">
        <f t="array" ref="S34">INDEX('PS-ConceptMap-2'!$I$15:$N$40,Q34+1,R34)</f>
        <v>0</v>
      </c>
    </row>
    <row r="35" spans="16:19" x14ac:dyDescent="0.75">
      <c r="P35" s="9">
        <v>21</v>
      </c>
      <c r="Q35" s="9">
        <f t="shared" si="10"/>
        <v>3</v>
      </c>
      <c r="R35" s="9">
        <f t="shared" si="11"/>
        <v>3</v>
      </c>
      <c r="S35" s="14" cm="1">
        <f t="array" ref="S35">INDEX('PS-ConceptMap-2'!$I$15:$N$40,Q35+1,R35)</f>
        <v>0</v>
      </c>
    </row>
    <row r="36" spans="16:19" x14ac:dyDescent="0.75">
      <c r="P36" s="9">
        <v>22</v>
      </c>
      <c r="Q36" s="9">
        <f t="shared" si="10"/>
        <v>3</v>
      </c>
      <c r="R36" s="9">
        <f t="shared" si="11"/>
        <v>4</v>
      </c>
      <c r="S36" s="14" cm="1">
        <f t="array" ref="S36">INDEX('PS-ConceptMap-2'!$I$15:$N$40,Q36+1,R36)</f>
        <v>0</v>
      </c>
    </row>
    <row r="37" spans="16:19" x14ac:dyDescent="0.75">
      <c r="P37" s="9">
        <v>23</v>
      </c>
      <c r="Q37" s="9">
        <f t="shared" si="10"/>
        <v>3</v>
      </c>
      <c r="R37" s="9">
        <f t="shared" si="11"/>
        <v>5</v>
      </c>
      <c r="S37" s="14" cm="1">
        <f t="array" ref="S37">INDEX('PS-ConceptMap-2'!$I$15:$N$40,Q37+1,R37)</f>
        <v>0</v>
      </c>
    </row>
    <row r="38" spans="16:19" x14ac:dyDescent="0.75">
      <c r="P38" s="9">
        <v>24</v>
      </c>
      <c r="Q38" s="9">
        <f t="shared" si="10"/>
        <v>3</v>
      </c>
      <c r="R38" s="9">
        <f t="shared" si="11"/>
        <v>6</v>
      </c>
      <c r="S38" s="14" cm="1">
        <f t="array" ref="S38">INDEX('PS-ConceptMap-2'!$I$15:$N$40,Q38+1,R38)</f>
        <v>0</v>
      </c>
    </row>
    <row r="39" spans="16:19" x14ac:dyDescent="0.75">
      <c r="P39" s="9">
        <v>25</v>
      </c>
      <c r="Q39" s="9">
        <f t="shared" si="10"/>
        <v>4</v>
      </c>
      <c r="R39" s="9">
        <f t="shared" si="11"/>
        <v>1</v>
      </c>
      <c r="S39" s="14" cm="1">
        <f t="array" ref="S39">INDEX('PS-ConceptMap-2'!$I$15:$N$40,Q39+1,R39)</f>
        <v>0</v>
      </c>
    </row>
    <row r="40" spans="16:19" x14ac:dyDescent="0.75">
      <c r="P40" s="9">
        <v>26</v>
      </c>
      <c r="Q40" s="9">
        <f t="shared" si="10"/>
        <v>4</v>
      </c>
      <c r="R40" s="9">
        <f t="shared" si="11"/>
        <v>2</v>
      </c>
      <c r="S40" s="14" cm="1">
        <f t="array" ref="S40">INDEX('PS-ConceptMap-2'!$I$15:$N$40,Q40+1,R40)</f>
        <v>0</v>
      </c>
    </row>
  </sheetData>
  <mergeCells count="2">
    <mergeCell ref="E6:G6"/>
    <mergeCell ref="E7:G7"/>
  </mergeCells>
  <hyperlinks>
    <hyperlink ref="C6" r:id="rId1" display="http://hl7.eu/fhir/laboratory/StructureDefinition/LabReport" xr:uid="{045FE3A8-9356-4316-BB52-696D70E0E325}"/>
    <hyperlink ref="E4" r:id="rId2" display="http://hl7.eu/fhir/laboratory/StructureDefinition/Bundle-eu-lab" xr:uid="{DE9669A6-4764-4A9A-9A43-EED043E56A71}"/>
    <hyperlink ref="E7" r:id="rId3" xr:uid="{CA6EE17A-D9B1-439F-87CD-AB747DD42239}"/>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39"/>
  <sheetViews>
    <sheetView workbookViewId="0">
      <selection activeCell="B316" sqref="B316:B3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849</v>
      </c>
    </row>
    <row r="3" spans="2:7" x14ac:dyDescent="0.75">
      <c r="B3" s="32" t="s">
        <v>37</v>
      </c>
    </row>
    <row r="4" spans="2:7" x14ac:dyDescent="0.75">
      <c r="B4" s="65" t="str">
        <f>"Instance: "&amp;'PS-ConceptMap-1'!C4</f>
        <v>Instance: patientSummary2FHIR-eu-ps</v>
      </c>
    </row>
    <row r="5" spans="2:7" x14ac:dyDescent="0.75">
      <c r="B5" s="65" t="s">
        <v>196</v>
      </c>
    </row>
    <row r="6" spans="2:7" x14ac:dyDescent="0.75">
      <c r="B6" s="65" t="s">
        <v>197</v>
      </c>
    </row>
    <row r="7" spans="2:7" x14ac:dyDescent="0.75">
      <c r="B7" s="65" t="s">
        <v>203</v>
      </c>
    </row>
    <row r="8" spans="2:7" x14ac:dyDescent="0.75">
      <c r="B8" s="65" t="str">
        <f>"* name = ##34#"&amp;'PS-ConceptMap-1'!C3&amp;"##34#"</f>
        <v>* name = ##34#PatientSummary2FHIR##34#</v>
      </c>
    </row>
    <row r="9" spans="2:7" x14ac:dyDescent="0.75">
      <c r="B9" s="65" t="str">
        <f>"* title = ##34#"&amp;'PS-ConceptMap-1'!C5&amp;"##34#"</f>
        <v>* title = ##34#eHN Patient Summary to this guide Map##34#</v>
      </c>
    </row>
    <row r="10" spans="2:7" x14ac:dyDescent="0.75">
      <c r="B10" s="65" t="s">
        <v>198</v>
      </c>
    </row>
    <row r="11" spans="2:7" x14ac:dyDescent="0.75">
      <c r="B11" s="65" t="s">
        <v>199</v>
      </c>
    </row>
    <row r="12" spans="2:7" x14ac:dyDescent="0.75">
      <c r="B12" s="65" t="str">
        <f>"* description = ##34#"&amp;'PS-ConceptMap-1'!C8&amp;"##34#"</f>
        <v>* description = ##34#eHN Patient Summary to this guide Map##34#</v>
      </c>
    </row>
    <row r="13" spans="2:7" x14ac:dyDescent="0.75">
      <c r="B13" s="65" t="str">
        <f>"* purpose = ##34#"&amp;'PS-ConceptMap-1'!C9&amp;"##34#"</f>
        <v>* purpose = ##34#It shows how the Patient Summary data set defined by the EU eHN guidelines is mapped into this guide##34#</v>
      </c>
    </row>
    <row r="14" spans="2:7" x14ac:dyDescent="0.75">
      <c r="B14" s="66" t="str">
        <f>"* sourceUri = ##34#"&amp;'PS-ConceptMap-1'!E3&amp;"##34#"</f>
        <v>* sourceUri = ##34#http://hl7.eu/fhir/ig/xpandh/ps/StructureDefinition/PatientSummary##34#</v>
      </c>
    </row>
    <row r="15" spans="2:7" x14ac:dyDescent="0.75">
      <c r="B15" s="66" t="str">
        <f>"* targetUri = ##34#"&amp;'PS-ConceptMap-1'!E4&amp;"##34#"</f>
        <v>* targetUri = ##34#http://hl7.eu/fhir/ig/xpandh/ps/StructureDefinition/Bundle-eu-ps##34#</v>
      </c>
    </row>
    <row r="16" spans="2:7" x14ac:dyDescent="0.75">
      <c r="B16" s="65"/>
    </row>
    <row r="17" spans="2:7" x14ac:dyDescent="0.75">
      <c r="B17" s="67" t="str">
        <f>"* group[+].source = ##34#"&amp;'PS-ConceptMap-1'!E6&amp;"##34#"</f>
        <v>* group[+].source = ##34#http://hl7.eu/fhir/ig/xpandh/ps/StructureDefinition/PatientSummary##34#</v>
      </c>
    </row>
    <row r="18" spans="2:7" x14ac:dyDescent="0.75">
      <c r="B18" s="67" t="str">
        <f>"* group[=].target = ##34#"&amp;'PS-ConceptMap-1'!E7&amp;"##34#"</f>
        <v>* group[=].target = ##34#http://hl7.eu/fhir/ig/xpandh/ps/StructureDefinition/Composition-ps-xpandh##34#</v>
      </c>
    </row>
    <row r="19" spans="2:7" x14ac:dyDescent="0.75">
      <c r="B19" s="69"/>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c>
    </row>
    <row r="38" spans="2:2" x14ac:dyDescent="0.75">
      <c r="B38" s="14" t="str">
        <f>IF('PS-ConceptMap-1'!S33=0,"//---END",'PS-ConceptMap-1'!S33)</f>
        <v>* group[=].element[+].code = #PatientSummary.header.insuranceInfo.insuranceNumber</v>
      </c>
    </row>
    <row r="39" spans="2:2" x14ac:dyDescent="0.75">
      <c r="B39" s="14" t="str">
        <f>IF('PS-ConceptMap-1'!S34=0,"//---END",'PS-ConceptMap-1'!S34)</f>
        <v>* group[=].element[=].display = ##34#A.1.3.1  Insurance number##34#</v>
      </c>
    </row>
    <row r="40" spans="2:2" x14ac:dyDescent="0.75">
      <c r="B40" s="14" t="str">
        <f>IF('PS-ConceptMap-1'!S35=0,"//---END",'PS-ConceptMap-1'!S35)</f>
        <v>* group[=].element[=].target.code = #Composition.subject.identifier</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ht="44.25" x14ac:dyDescent="0.75">
      <c r="B43" s="14" t="str">
        <f>IF('PS-ConceptMap-1'!S38=0,"//---END",'PS-ConceptMap-1'!S38)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44" spans="2:2" x14ac:dyDescent="0.75">
      <c r="B44" s="14" t="str">
        <f>IF('PS-ConceptMap-1'!S39=0,"//---END",'PS-ConceptMap-1'!S39)</f>
        <v>* group[=].element[+].code = #PatientSummary.header.documentData</v>
      </c>
    </row>
    <row r="45" spans="2:2" x14ac:dyDescent="0.75">
      <c r="B45" s="14" t="str">
        <f>IF('PS-ConceptMap-1'!S40=0,"//---END",'PS-ConceptMap-1'!S40)</f>
        <v>* group[=].element[=].display = ##34#A.1.4 Document data##34#</v>
      </c>
    </row>
    <row r="46" spans="2:2" x14ac:dyDescent="0.75">
      <c r="B46" s="14" t="str">
        <f>IF('PS-ConceptMap-1'!S41=0,"//---END",'PS-ConceptMap-1'!S41)</f>
        <v>* group[=].element[=].target.code = #Composition</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#PatientSummary.header.documentData.created</v>
      </c>
    </row>
    <row r="51" spans="2:2" x14ac:dyDescent="0.75">
      <c r="B51" s="14" t="str">
        <f>IF('PS-ConceptMap-1'!S46=0,"//---END",'PS-ConceptMap-1'!S46)</f>
        <v>* group[=].element[=].display = ##34#A.1.4.1 Date created##34#</v>
      </c>
    </row>
    <row r="52" spans="2:2" x14ac:dyDescent="0.75">
      <c r="B52" s="14" t="str">
        <f>IF('PS-ConceptMap-1'!S47=0,"//---END",'PS-ConceptMap-1'!S47)</f>
        <v>* group[=].element[=].target.code = #Composition.date</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c>
    </row>
    <row r="56" spans="2:2" x14ac:dyDescent="0.75">
      <c r="B56" s="14" t="str">
        <f>IF('PS-ConceptMap-1'!S51=0,"//---END",'PS-ConceptMap-1'!S51)</f>
        <v>* group[=].element[+].code = #PatientSummary.header.documentData.lastUpdate</v>
      </c>
    </row>
    <row r="57" spans="2:2" x14ac:dyDescent="0.75">
      <c r="B57" s="14" t="str">
        <f>IF('PS-ConceptMap-1'!S52=0,"//---END",'PS-ConceptMap-1'!S52)</f>
        <v>* group[=].element[=].display = ##34#A.1.4.2 Date of last update##34#</v>
      </c>
    </row>
    <row r="58" spans="2:2" x14ac:dyDescent="0.75">
      <c r="B58" s="14" t="str">
        <f>IF('PS-ConceptMap-1'!S53=0,"//---END",'PS-ConceptMap-1'!S53)</f>
        <v>* group[=].element[=].target.code = #Composition.event:careProvisioningEvent.period.end</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x14ac:dyDescent="0.75">
      <c r="B61" s="14" t="str">
        <f>IF('PS-ConceptMap-1'!S56=0,"//---END",'PS-ConceptMap-1'!S56)</f>
        <v>* group[=].element[=].target.comment = ##34#If it represents the period of time this Patient Summary is covering##34#</v>
      </c>
    </row>
    <row r="62" spans="2:2" x14ac:dyDescent="0.75">
      <c r="B62" s="14" t="str">
        <f>IF('PS-ConceptMap-1'!S57=0,"//---END",'PS-ConceptMap-1'!S57)</f>
        <v>* group[=].element[+].code = #PatientSummary.header.documentData.lastUpdate</v>
      </c>
    </row>
    <row r="63" spans="2:2" x14ac:dyDescent="0.75">
      <c r="B63" s="14" t="str">
        <f>IF('PS-ConceptMap-1'!S58=0,"//---END",'PS-ConceptMap-1'!S58)</f>
        <v>* group[=].element[=].display = ##34#A.1.4.2 Date of last update##34#</v>
      </c>
    </row>
    <row r="64" spans="2:2" x14ac:dyDescent="0.75">
      <c r="B64" s="14" t="str">
        <f>IF('PS-ConceptMap-1'!S59=0,"//---END",'PS-ConceptMap-1'!S59)</f>
        <v>* group[=].element[=].target.code = #Composition.meta.lastUpdated</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group[=].element[=].target.comment = ##34#If it represents the last update of this FHIR resource##34#</v>
      </c>
    </row>
    <row r="68" spans="2:4" x14ac:dyDescent="0.75">
      <c r="B68" s="14" t="str">
        <f>IF('PS-ConceptMap-1'!S63=0,"//---END",'PS-ConceptMap-1'!S63)</f>
        <v>* group[=].element[+].code = #PatientSummary.header.documentData.natureOfIPS</v>
      </c>
    </row>
    <row r="69" spans="2:4" x14ac:dyDescent="0.75">
      <c r="B69" s="14" t="str">
        <f>IF('PS-ConceptMap-1'!S64=0,"//---END",'PS-ConceptMap-1'!S64)</f>
        <v>* group[=].element[=].display = ##34#A.1.4.3 Nature of the PS##34#</v>
      </c>
    </row>
    <row r="70" spans="2:4" x14ac:dyDescent="0.75">
      <c r="B70" s="14" t="str">
        <f>IF('PS-ConceptMap-1'!S65=0,"//---END",'PS-ConceptMap-1'!S65)</f>
        <v>* group[=].element[=].target.code = #Composition.author</v>
      </c>
      <c r="D70" s="64"/>
    </row>
    <row r="71" spans="2:4" x14ac:dyDescent="0.75">
      <c r="B71" s="14" t="str">
        <f>IF('PS-ConceptMap-1'!S66=0,"//---END",'PS-ConceptMap-1'!S66)</f>
        <v>* group[=].element[=].target.display = ##34###34#</v>
      </c>
    </row>
    <row r="72" spans="2:4" x14ac:dyDescent="0.75">
      <c r="B72" s="14" t="str">
        <f>IF('PS-ConceptMap-1'!S67=0,"//---END",'PS-ConceptMap-1'!S67)</f>
        <v>* group[=].element[=].target.equivalence = #relatedto</v>
      </c>
    </row>
    <row r="73" spans="2:4" ht="29.5" x14ac:dyDescent="0.75">
      <c r="B73" s="14" t="str">
        <f>IF('PS-ConceptMap-1'!S68=0,"//---END",'PS-ConceptMap-1'!S68)</f>
        <v>* group[=].element[=].target.comment = ##34#the nature of a PS is determined as a comobination of type if author and legal authenticator. Future versions may cosndier to use Provenance data for this scope##34#</v>
      </c>
    </row>
    <row r="74" spans="2:4" x14ac:dyDescent="0.75">
      <c r="B74" s="14" t="str">
        <f>IF('PS-ConceptMap-1'!S69=0,"//---END",'PS-ConceptMap-1'!S69)</f>
        <v>* group[=].element[+].code = #PatientSummary.header.participant</v>
      </c>
    </row>
    <row r="75" spans="2:4" x14ac:dyDescent="0.75">
      <c r="B75" s="14" t="str">
        <f>IF('PS-ConceptMap-1'!S70=0,"//---END",'PS-ConceptMap-1'!S70)</f>
        <v>* group[=].element[=].display = ##34#A.1.5 Author and Organisation##34#</v>
      </c>
    </row>
    <row r="76" spans="2:4" x14ac:dyDescent="0.75">
      <c r="B76" s="14" t="str">
        <f>IF('PS-ConceptMap-1'!S71=0,"//---END",'PS-ConceptMap-1'!S71)</f>
        <v>* group[=].element[=].target.code = #Composition</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c>
    </row>
    <row r="80" spans="2:4" x14ac:dyDescent="0.75">
      <c r="B80" s="14" t="str">
        <f>IF('PS-ConceptMap-1'!S75=0,"//---END",'PS-ConceptMap-1'!S75)</f>
        <v>* group[=].element[+].code = #PatientSummary.header.participant.author</v>
      </c>
    </row>
    <row r="81" spans="2:2" x14ac:dyDescent="0.75">
      <c r="B81" s="14" t="str">
        <f>IF('PS-ConceptMap-1'!S76=0,"//---END",'PS-ConceptMap-1'!S76)</f>
        <v>* group[=].element[=].display = ##34#A.1.5.1 Author organization##34#</v>
      </c>
    </row>
    <row r="82" spans="2:2" x14ac:dyDescent="0.75">
      <c r="B82" s="14" t="str">
        <f>IF('PS-ConceptMap-1'!S77=0,"//---END",'PS-ConceptMap-1'!S77)</f>
        <v>* group[=].element[=].target.code = #Composition.author</v>
      </c>
    </row>
    <row r="83" spans="2:2" x14ac:dyDescent="0.75">
      <c r="B83" s="14" t="str">
        <f>IF('PS-ConceptMap-1'!S78=0,"//---END",'PS-ConceptMap-1'!S78)</f>
        <v>* group[=].element[=].target.display = ##34###34#</v>
      </c>
    </row>
    <row r="84" spans="2:2" x14ac:dyDescent="0.75">
      <c r="B84" s="14" t="str">
        <f>IF('PS-ConceptMap-1'!S79=0,"//---END",'PS-ConceptMap-1'!S79)</f>
        <v>* group[=].element[=].target.equivalence = #equivalent</v>
      </c>
    </row>
    <row r="85" spans="2:2" x14ac:dyDescent="0.75">
      <c r="B85" s="14" t="str">
        <f>IF('PS-ConceptMap-1'!S80=0,"//---END",'PS-ConceptMap-1'!S80)</f>
        <v>* group[=].element[=].target.comment = ##34#author can be of type Organziation, Pracitctioner or PractictionerRole##34#</v>
      </c>
    </row>
    <row r="86" spans="2:2" x14ac:dyDescent="0.75">
      <c r="B86" s="14" t="str">
        <f>IF('PS-ConceptMap-1'!S81=0,"//---END",'PS-ConceptMap-1'!S81)</f>
        <v>* group[=].element[+].code = #PatientSummary.header.participant.legalAuth</v>
      </c>
    </row>
    <row r="87" spans="2:2" x14ac:dyDescent="0.75">
      <c r="B87" s="14" t="str">
        <f>IF('PS-ConceptMap-1'!S82=0,"//---END",'PS-ConceptMap-1'!S82)</f>
        <v>* group[=].element[=].display = ##34#A.1.5.2 Legal authenticator##34#</v>
      </c>
    </row>
    <row r="88" spans="2:2" x14ac:dyDescent="0.75">
      <c r="B88" s="14" t="str">
        <f>IF('PS-ConceptMap-1'!S83=0,"//---END",'PS-ConceptMap-1'!S83)</f>
        <v>* group[=].element[=].target.code = #Composition.attester</v>
      </c>
    </row>
    <row r="89" spans="2:2" x14ac:dyDescent="0.75">
      <c r="B89" s="14" t="str">
        <f>IF('PS-ConceptMap-1'!S84=0,"//---END",'PS-ConceptMap-1'!S84)</f>
        <v>* group[=].element[=].target.display = ##34###34#</v>
      </c>
    </row>
    <row r="90" spans="2:2" x14ac:dyDescent="0.75">
      <c r="B90" s="14" t="str">
        <f>IF('PS-ConceptMap-1'!S85=0,"//---END",'PS-ConceptMap-1'!S85)</f>
        <v>* group[=].element[=].target.equivalence = #relatedto</v>
      </c>
    </row>
    <row r="91" spans="2:2" x14ac:dyDescent="0.75">
      <c r="B91" s="14" t="str">
        <f>IF('PS-ConceptMap-1'!S86=0,"//---END",'PS-ConceptMap-1'!S86)</f>
        <v>* group[=].element[=].target.comment = ##34#attester.mode = 'legal'##34#</v>
      </c>
    </row>
    <row r="92" spans="2:2" x14ac:dyDescent="0.75">
      <c r="B92" s="14" t="str">
        <f>IF('PS-ConceptMap-1'!S87=0,"//---END",'PS-ConceptMap-1'!S87)</f>
        <v>* group[=].element[+].code = #PatientSummary.header.additionalInfo</v>
      </c>
    </row>
    <row r="93" spans="2:2" x14ac:dyDescent="0.75">
      <c r="B93" s="14" t="str">
        <f>IF('PS-ConceptMap-1'!S88=0,"//---END",'PS-ConceptMap-1'!S88)</f>
        <v>* group[=].element[=].display = ##34#A.1.6 Additional information / Knowledge resources##34#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#PatientSummary.header.additionalInfo.reference</v>
      </c>
    </row>
    <row r="99" spans="2:2" x14ac:dyDescent="0.75">
      <c r="B99" s="14" t="str">
        <f>IF('PS-ConceptMap-1'!S94=0,"//---END",'PS-ConceptMap-1'!S94)</f>
        <v>* group[=].element[=].display = ##34#A.1.6.1 External reference##34#</v>
      </c>
    </row>
    <row r="100" spans="2:2" x14ac:dyDescent="0.75">
      <c r="B100" s="14" t="str">
        <f>IF('PS-ConceptMap-1'!S95=0,"//---END",'PS-ConceptMap-1'!S95)</f>
        <v>//-- unmatched</v>
      </c>
    </row>
    <row r="101" spans="2:2" x14ac:dyDescent="0.75">
      <c r="B101" s="14" t="str">
        <f>IF('PS-ConceptMap-1'!S96=0,"//---END",'PS-ConceptMap-1'!S96)</f>
        <v>//-- unmatched</v>
      </c>
    </row>
    <row r="102" spans="2:2" x14ac:dyDescent="0.75">
      <c r="B102" s="14" t="str">
        <f>IF('PS-ConceptMap-1'!S97=0,"//---END",'PS-ConceptMap-1'!S97)</f>
        <v>* group[=].element[=].target.equivalence = #unmatched</v>
      </c>
    </row>
    <row r="103" spans="2:2" x14ac:dyDescent="0.75">
      <c r="B103" s="14" t="str">
        <f>IF('PS-ConceptMap-1'!S98=0,"//---END",'PS-ConceptMap-1'!S98)</f>
        <v>* group[=].element[=].target.comment = ##34#Covered by other resources##34#</v>
      </c>
    </row>
    <row r="104" spans="2:2" x14ac:dyDescent="0.75">
      <c r="B104" s="14" t="str">
        <f>IF('PS-ConceptMap-1'!S99=0,"//---END",'PS-ConceptMap-1'!S99)</f>
        <v>* group[=].element[+].code = #PatientSummary.header.additionalInfo.relatedWith</v>
      </c>
    </row>
    <row r="105" spans="2:2" x14ac:dyDescent="0.75">
      <c r="B105" s="14" t="str">
        <f>IF('PS-ConceptMap-1'!S100=0,"//---END",'PS-ConceptMap-1'!S100)</f>
        <v>* group[=].element[=].display = ##34#A.1.6.2 Related with##34#</v>
      </c>
    </row>
    <row r="106" spans="2:2" x14ac:dyDescent="0.75">
      <c r="B106" s="14" t="str">
        <f>IF('PS-ConceptMap-1'!S101=0,"//---END",'PS-ConceptMap-1'!S101)</f>
        <v>//-- unmatched</v>
      </c>
    </row>
    <row r="107" spans="2:2" x14ac:dyDescent="0.75">
      <c r="B107" s="14" t="str">
        <f>IF('PS-ConceptMap-1'!S102=0,"//---END",'PS-ConceptMap-1'!S102)</f>
        <v>//-- unmatched</v>
      </c>
    </row>
    <row r="108" spans="2:2" x14ac:dyDescent="0.75">
      <c r="B108" s="14" t="str">
        <f>IF('PS-ConceptMap-1'!S103=0,"//---END",'PS-ConceptMap-1'!S103)</f>
        <v>* group[=].element[=].target.equivalence = #unmatched</v>
      </c>
    </row>
    <row r="109" spans="2:2" x14ac:dyDescent="0.75">
      <c r="B109" s="14" t="str">
        <f>IF('PS-ConceptMap-1'!S104=0,"//---END",'PS-ConceptMap-1'!S104)</f>
        <v>* group[=].element[=].target.comment = ##34#Covered by other resources##34#</v>
      </c>
    </row>
    <row r="110" spans="2:2" x14ac:dyDescent="0.75">
      <c r="B110" s="14" t="str">
        <f>IF('PS-ConceptMap-1'!S105=0,"//---END",'PS-ConceptMap-1'!S105)</f>
        <v>* group[=].element[+].code = #PatientSummary.body</v>
      </c>
    </row>
    <row r="111" spans="2:2" x14ac:dyDescent="0.75">
      <c r="B111" s="14" t="str">
        <f>IF('PS-ConceptMap-1'!S106=0,"//---END",'PS-ConceptMap-1'!S106)</f>
        <v>* group[=].element[=].display = ##34#A.2 Patient summary body data elements##34#</v>
      </c>
    </row>
    <row r="112" spans="2:2" x14ac:dyDescent="0.75">
      <c r="B112" s="14" t="str">
        <f>IF('PS-ConceptMap-1'!S107=0,"//---END",'PS-ConceptMap-1'!S107)</f>
        <v>* group[=].element[=].target.code = #Composition.section</v>
      </c>
    </row>
    <row r="113" spans="2:2" x14ac:dyDescent="0.75">
      <c r="B113" s="14" t="str">
        <f>IF('PS-ConceptMap-1'!S108=0,"//---END",'PS-ConceptMap-1'!S108)</f>
        <v>* group[=].element[=].target.display = ##34###34#</v>
      </c>
    </row>
    <row r="114" spans="2:2" x14ac:dyDescent="0.75">
      <c r="B114" s="14" t="str">
        <f>IF('PS-ConceptMap-1'!S109=0,"//---END",'PS-ConceptMap-1'!S109)</f>
        <v>* group[=].element[=].target.equivalence = #relatedto</v>
      </c>
    </row>
    <row r="115" spans="2:2" x14ac:dyDescent="0.75">
      <c r="B115" s="14" t="str">
        <f>IF('PS-ConceptMap-1'!S110=0,"//---END",'PS-ConceptMap-1'!S110)</f>
        <v/>
      </c>
    </row>
    <row r="116" spans="2:2" x14ac:dyDescent="0.75">
      <c r="B116" s="14" t="str">
        <f>IF('PS-ConceptMap-1'!S111=0,"//---END",'PS-ConceptMap-1'!S111)</f>
        <v>* group[=].element[+].code = #PatientSummary.body.alerts</v>
      </c>
    </row>
    <row r="117" spans="2:2" x14ac:dyDescent="0.75">
      <c r="B117" s="14" t="str">
        <f>IF('PS-ConceptMap-1'!S112=0,"//---END",'PS-ConceptMap-1'!S112)</f>
        <v>* group[=].element[=].display = ##34#A.2.1 Alerts##34#</v>
      </c>
    </row>
    <row r="118" spans="2:2" x14ac:dyDescent="0.75">
      <c r="B118" s="14" t="str">
        <f>IF('PS-ConceptMap-1'!S113=0,"//---END",'PS-ConceptMap-1'!S113)</f>
        <v>* group[=].element[=].target.code = #Composition.section</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c>
    </row>
    <row r="122" spans="2:2" x14ac:dyDescent="0.75">
      <c r="B122" s="14" t="str">
        <f>IF('PS-ConceptMap-1'!S117=0,"//---END",'PS-ConceptMap-1'!S117)</f>
        <v>* group[=].element[+].code = #PatientSummary.body.alerts.allergy</v>
      </c>
    </row>
    <row r="123" spans="2:2" x14ac:dyDescent="0.75">
      <c r="B123" s="14" t="str">
        <f>IF('PS-ConceptMap-1'!S118=0,"//---END",'PS-ConceptMap-1'!S118)</f>
        <v>* group[=].element[=].display = ##34#A.2.1.1 Allergy##34#</v>
      </c>
    </row>
    <row r="124" spans="2:2" x14ac:dyDescent="0.75">
      <c r="B124" s="14" t="str">
        <f>IF('PS-ConceptMap-1'!S119=0,"//---END",'PS-ConceptMap-1'!S119)</f>
        <v>* group[=].element[=].target.code = #Composition.section:sectionAllergies</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#PatientSummary.body.alerts.alert</v>
      </c>
    </row>
    <row r="129" spans="2:2" x14ac:dyDescent="0.75">
      <c r="B129" s="14" t="str">
        <f>IF('PS-ConceptMap-1'!S124=0,"//---END",'PS-ConceptMap-1'!S124)</f>
        <v>* group[=].element[=].display = ##34#A.2.1.2 Medical alert information (other alerts not included in allergies)##34#</v>
      </c>
    </row>
    <row r="130" spans="2:2" x14ac:dyDescent="0.75">
      <c r="B130" s="14" t="str">
        <f>IF('PS-ConceptMap-1'!S125=0,"//---END",'PS-ConceptMap-1'!S125)</f>
        <v>* group[=].element[=].target.code = #Composition.section:sectionAlert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c>
    </row>
    <row r="134" spans="2:2" x14ac:dyDescent="0.75">
      <c r="B134" s="14" t="str">
        <f>IF('PS-ConceptMap-1'!S129=0,"//---END",'PS-ConceptMap-1'!S129)</f>
        <v>* group[=].element[+].code = #PatientSummary.body.alerts.alert.description</v>
      </c>
    </row>
    <row r="135" spans="2:2" x14ac:dyDescent="0.75">
      <c r="B135" s="14" t="str">
        <f>IF('PS-ConceptMap-1'!S130=0,"//---END",'PS-ConceptMap-1'!S130)</f>
        <v>* group[=].element[=].display = ##34#A.2.1.2.1 Healthcare alert description##34#</v>
      </c>
    </row>
    <row r="136" spans="2:2" x14ac:dyDescent="0.75">
      <c r="B136" s="14" t="str">
        <f>IF('PS-ConceptMap-1'!S131=0,"//---END",'PS-ConceptMap-1'!S131)</f>
        <v>* group[=].element[=].target.code = #Composition.section:sectionAlert.text</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group[=].element[=].target.comment = ##34#Common textual descirption##34#</v>
      </c>
    </row>
    <row r="140" spans="2:2" x14ac:dyDescent="0.75">
      <c r="B140" s="14" t="str">
        <f>IF('PS-ConceptMap-1'!S135=0,"//---END",'PS-ConceptMap-1'!S135)</f>
        <v>* group[=].element[+].code = #PatientSummary.body.alerts.alert.description</v>
      </c>
    </row>
    <row r="141" spans="2:2" x14ac:dyDescent="0.75">
      <c r="B141" s="14" t="str">
        <f>IF('PS-ConceptMap-1'!S136=0,"//---END",'PS-ConceptMap-1'!S136)</f>
        <v>* group[=].element[=].display = ##34#A.2.1.2.1 Healthcare alert description##34#</v>
      </c>
    </row>
    <row r="142" spans="2:2" x14ac:dyDescent="0.75">
      <c r="B142" s="14" t="str">
        <f>IF('PS-ConceptMap-1'!S137=0,"//---END",'PS-ConceptMap-1'!S137)</f>
        <v>* group[=].element[=].target.code = #Composition.section:sectionAlert.entry.code.text</v>
      </c>
    </row>
    <row r="143" spans="2:2" x14ac:dyDescent="0.75">
      <c r="B143" s="14" t="str">
        <f>IF('PS-ConceptMap-1'!S138=0,"//---END",'PS-ConceptMap-1'!S138)</f>
        <v>* group[=].element[=].target.display = ##34###34#</v>
      </c>
    </row>
    <row r="144" spans="2:2" x14ac:dyDescent="0.75">
      <c r="B144" s="14" t="str">
        <f>IF('PS-ConceptMap-1'!S139=0,"//---END",'PS-ConceptMap-1'!S139)</f>
        <v>* group[=].element[=].target.equivalence = #relatedto</v>
      </c>
    </row>
    <row r="145" spans="2:2" x14ac:dyDescent="0.75">
      <c r="B145" s="14" t="str">
        <f>IF('PS-ConceptMap-1'!S140=0,"//---END",'PS-ConceptMap-1'!S140)</f>
        <v>* group[=].element[=].target.comment = ##34#entry level description##34#</v>
      </c>
    </row>
    <row r="146" spans="2:2" x14ac:dyDescent="0.75">
      <c r="B146" s="14" t="str">
        <f>IF('PS-ConceptMap-1'!S141=0,"//---END",'PS-ConceptMap-1'!S141)</f>
        <v>* group[=].element[+].code = #PatientSummary.body.medicalHistory</v>
      </c>
    </row>
    <row r="147" spans="2:2" x14ac:dyDescent="0.75">
      <c r="B147" s="14" t="str">
        <f>IF('PS-ConceptMap-1'!S142=0,"//---END",'PS-ConceptMap-1'!S142)</f>
        <v>* group[=].element[=].display = ##34#A.2.2 Medical history##34#</v>
      </c>
    </row>
    <row r="148" spans="2:2" x14ac:dyDescent="0.75">
      <c r="B148" s="14" t="str">
        <f>IF('PS-ConceptMap-1'!S143=0,"//---END",'PS-ConceptMap-1'!S143)</f>
        <v>* group[=].element[=].target.code = #Composition.section</v>
      </c>
    </row>
    <row r="149" spans="2:2" x14ac:dyDescent="0.75">
      <c r="B149" s="14" t="str">
        <f>IF('PS-ConceptMap-1'!S144=0,"//---END",'PS-ConceptMap-1'!S144)</f>
        <v>* group[=].element[=].target.display = ##34###34#</v>
      </c>
    </row>
    <row r="150" spans="2:2" x14ac:dyDescent="0.75">
      <c r="B150" s="14" t="str">
        <f>IF('PS-ConceptMap-1'!S145=0,"//---END",'PS-ConceptMap-1'!S145)</f>
        <v>* group[=].element[=].target.equivalence = #relatedto</v>
      </c>
    </row>
    <row r="151" spans="2:2" x14ac:dyDescent="0.75">
      <c r="B151" s="14" t="str">
        <f>IF('PS-ConceptMap-1'!S146=0,"//---END",'PS-ConceptMap-1'!S146)</f>
        <v/>
      </c>
    </row>
    <row r="152" spans="2:2" x14ac:dyDescent="0.75">
      <c r="B152" s="14" t="str">
        <f>IF('PS-ConceptMap-1'!S147=0,"//---END",'PS-ConceptMap-1'!S147)</f>
        <v>* group[=].element[+].code = #PatientSummary.body.medicalHistory.vaccination</v>
      </c>
    </row>
    <row r="153" spans="2:2" x14ac:dyDescent="0.75">
      <c r="B153" s="14" t="str">
        <f>IF('PS-ConceptMap-1'!S148=0,"//---END",'PS-ConceptMap-1'!S148)</f>
        <v>* group[=].element[=].display = ##34#A.2.2.1 Vaccination/ prophylaxis information##34#</v>
      </c>
    </row>
    <row r="154" spans="2:2" x14ac:dyDescent="0.75">
      <c r="B154" s="14" t="str">
        <f>IF('PS-ConceptMap-1'!S149=0,"//---END",'PS-ConceptMap-1'!S149)</f>
        <v>* group[=].element[=].target.code = #Composition.section:sectionImmunizations</v>
      </c>
    </row>
    <row r="155" spans="2:2" x14ac:dyDescent="0.75">
      <c r="B155" s="14" t="str">
        <f>IF('PS-ConceptMap-1'!S150=0,"//---END",'PS-ConceptMap-1'!S150)</f>
        <v>* group[=].element[=].target.display = ##34###34#</v>
      </c>
    </row>
    <row r="156" spans="2:2" x14ac:dyDescent="0.75">
      <c r="B156" s="14" t="str">
        <f>IF('PS-ConceptMap-1'!S151=0,"//---END",'PS-ConceptMap-1'!S151)</f>
        <v>* group[=].element[=].target.equivalence = #equivalent</v>
      </c>
    </row>
    <row r="157" spans="2:2" x14ac:dyDescent="0.75">
      <c r="B157" s="14" t="str">
        <f>IF('PS-ConceptMap-1'!S152=0,"//---END",'PS-ConceptMap-1'!S152)</f>
        <v/>
      </c>
    </row>
    <row r="158" spans="2:2" x14ac:dyDescent="0.75">
      <c r="B158" s="14" t="str">
        <f>IF('PS-ConceptMap-1'!S153=0,"//---END",'PS-ConceptMap-1'!S153)</f>
        <v>* group[=].element[+].code = #PatientSummary.body.medicalHistory.inactiveProblem</v>
      </c>
    </row>
    <row r="159" spans="2:2" x14ac:dyDescent="0.75">
      <c r="B159" s="14" t="str">
        <f>IF('PS-ConceptMap-1'!S154=0,"//---END",'PS-ConceptMap-1'!S154)</f>
        <v>* group[=].element[=].display = ##34#A.2.2.2 Resolved, closed or inactive problems##34#</v>
      </c>
    </row>
    <row r="160" spans="2:2" x14ac:dyDescent="0.75">
      <c r="B160" s="14" t="str">
        <f>IF('PS-ConceptMap-1'!S155=0,"//---END",'PS-ConceptMap-1'!S155)</f>
        <v>* group[=].element[=].target.code = #Composition.section:sectionPastIllnessHx</v>
      </c>
    </row>
    <row r="161" spans="2:2" x14ac:dyDescent="0.75">
      <c r="B161" s="14" t="str">
        <f>IF('PS-ConceptMap-1'!S156=0,"//---END",'PS-ConceptMap-1'!S156)</f>
        <v>* group[=].element[=].target.display = ##34###34#</v>
      </c>
    </row>
    <row r="162" spans="2:2" x14ac:dyDescent="0.75">
      <c r="B162" s="14" t="str">
        <f>IF('PS-ConceptMap-1'!S157=0,"//---END",'PS-ConceptMap-1'!S157)</f>
        <v>* group[=].element[=].target.equivalence = #equivalent</v>
      </c>
    </row>
    <row r="163" spans="2:2" x14ac:dyDescent="0.75">
      <c r="B163" s="14" t="str">
        <f>IF('PS-ConceptMap-1'!S158=0,"//---END",'PS-ConceptMap-1'!S158)</f>
        <v/>
      </c>
    </row>
    <row r="164" spans="2:2" x14ac:dyDescent="0.75">
      <c r="B164" s="14" t="str">
        <f>IF('PS-ConceptMap-1'!S159=0,"//---END",'PS-ConceptMap-1'!S159)</f>
        <v>* group[=].element[+].code = #PatientSummary.body.medicalHistory.anamnesis</v>
      </c>
    </row>
    <row r="165" spans="2:2" x14ac:dyDescent="0.75">
      <c r="B165" s="14" t="str">
        <f>IF('PS-ConceptMap-1'!S160=0,"//---END",'PS-ConceptMap-1'!S160)</f>
        <v>* group[=].element[=].display = ##34#A.2.2.3 Medical history##34#</v>
      </c>
    </row>
    <row r="166" spans="2:2" x14ac:dyDescent="0.75">
      <c r="B166" s="14" t="str">
        <f>IF('PS-ConceptMap-1'!S161=0,"//---END",'PS-ConceptMap-1'!S161)</f>
        <v>* group[=].element[=].target.code = #Composition.section</v>
      </c>
    </row>
    <row r="167" spans="2:2" x14ac:dyDescent="0.75">
      <c r="B167" s="14" t="str">
        <f>IF('PS-ConceptMap-1'!S162=0,"//---END",'PS-ConceptMap-1'!S162)</f>
        <v>* group[=].element[=].target.display = ##34###34#</v>
      </c>
    </row>
    <row r="168" spans="2:2" x14ac:dyDescent="0.75">
      <c r="B168" s="14" t="str">
        <f>IF('PS-ConceptMap-1'!S163=0,"//---END",'PS-ConceptMap-1'!S163)</f>
        <v>* group[=].element[=].target.equivalence = #relatedto</v>
      </c>
    </row>
    <row r="169" spans="2:2" x14ac:dyDescent="0.75">
      <c r="B169" s="14" t="str">
        <f>IF('PS-ConceptMap-1'!S164=0,"//---END",'PS-ConceptMap-1'!S164)</f>
        <v/>
      </c>
    </row>
    <row r="170" spans="2:2" x14ac:dyDescent="0.75">
      <c r="B170" s="14" t="str">
        <f>IF('PS-ConceptMap-1'!S165=0,"//---END",'PS-ConceptMap-1'!S165)</f>
        <v>* group[=].element[+].code = #PatientSummary.body.medicalHistory.anamnesis.details</v>
      </c>
    </row>
    <row r="171" spans="2:2" x14ac:dyDescent="0.75">
      <c r="B171" s="14" t="str">
        <f>IF('PS-ConceptMap-1'!S166=0,"//---END",'PS-ConceptMap-1'!S166)</f>
        <v>* group[=].element[=].display = ##34#A.2.2.3.1 Medical history##34#</v>
      </c>
    </row>
    <row r="172" spans="2:2" x14ac:dyDescent="0.75">
      <c r="B172" s="14" t="str">
        <f>IF('PS-ConceptMap-1'!S167=0,"//---END",'PS-ConceptMap-1'!S167)</f>
        <v>* group[=].element[=].target.code = #Composition.section:section:sectionPatientHx</v>
      </c>
    </row>
    <row r="173" spans="2:2" x14ac:dyDescent="0.75">
      <c r="B173" s="14" t="str">
        <f>IF('PS-ConceptMap-1'!S168=0,"//---END",'PS-ConceptMap-1'!S168)</f>
        <v>* group[=].element[=].target.display = ##34###34#</v>
      </c>
    </row>
    <row r="174" spans="2:2" x14ac:dyDescent="0.75">
      <c r="B174" s="14" t="str">
        <f>IF('PS-ConceptMap-1'!S169=0,"//---END",'PS-ConceptMap-1'!S169)</f>
        <v>* group[=].element[=].target.equivalence = #relatedto</v>
      </c>
    </row>
    <row r="175" spans="2:2" x14ac:dyDescent="0.75">
      <c r="B175" s="14" t="str">
        <f>IF('PS-ConceptMap-1'!S170=0,"//---END",'PS-ConceptMap-1'!S170)</f>
        <v/>
      </c>
    </row>
    <row r="176" spans="2:2" x14ac:dyDescent="0.75">
      <c r="B176" s="14" t="str">
        <f>IF('PS-ConceptMap-1'!S171=0,"//---END",'PS-ConceptMap-1'!S171)</f>
        <v>* group[=].element[+].code = #PatientSummary.body.medicalProblems</v>
      </c>
    </row>
    <row r="177" spans="2:2" x14ac:dyDescent="0.75">
      <c r="B177" s="14" t="str">
        <f>IF('PS-ConceptMap-1'!S172=0,"//---END",'PS-ConceptMap-1'!S172)</f>
        <v>* group[=].element[=].display = ##34#A.2.3 Medical problems##34#</v>
      </c>
    </row>
    <row r="178" spans="2:2" x14ac:dyDescent="0.75">
      <c r="B178" s="14" t="str">
        <f>IF('PS-ConceptMap-1'!S173=0,"//---END",'PS-ConceptMap-1'!S173)</f>
        <v>* group[=].element[=].target.code = #Composition.section</v>
      </c>
    </row>
    <row r="179" spans="2:2" x14ac:dyDescent="0.75">
      <c r="B179" s="14" t="str">
        <f>IF('PS-ConceptMap-1'!S174=0,"//---END",'PS-ConceptMap-1'!S174)</f>
        <v>* group[=].element[=].target.display = ##34###34#</v>
      </c>
    </row>
    <row r="180" spans="2:2" x14ac:dyDescent="0.75">
      <c r="B180" s="14" t="str">
        <f>IF('PS-ConceptMap-1'!S175=0,"//---END",'PS-ConceptMap-1'!S175)</f>
        <v>* group[=].element[=].target.equivalence = #relatedto</v>
      </c>
    </row>
    <row r="181" spans="2:2" x14ac:dyDescent="0.75">
      <c r="B181" s="14" t="str">
        <f>IF('PS-ConceptMap-1'!S176=0,"//---END",'PS-ConceptMap-1'!S176)</f>
        <v/>
      </c>
    </row>
    <row r="182" spans="2:2" x14ac:dyDescent="0.75">
      <c r="B182" s="14" t="str">
        <f>IF('PS-ConceptMap-1'!S177=0,"//---END",'PS-ConceptMap-1'!S177)</f>
        <v>* group[=].element[+].code = #PatientSummary.body.medicalProblems.problems</v>
      </c>
    </row>
    <row r="183" spans="2:2" x14ac:dyDescent="0.75">
      <c r="B183" s="14" t="str">
        <f>IF('PS-ConceptMap-1'!S178=0,"//---END",'PS-ConceptMap-1'!S178)</f>
        <v>* group[=].element[=].display = ##34#A.2.3.1 Current problems##34#</v>
      </c>
    </row>
    <row r="184" spans="2:2" x14ac:dyDescent="0.75">
      <c r="B184" s="14" t="str">
        <f>IF('PS-ConceptMap-1'!S179=0,"//---END",'PS-ConceptMap-1'!S179)</f>
        <v>* group[=].element[=].target.code = #Composition.section:section:sectionProblems</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#PatientSummary.body.medicalProblems.medicalDevices</v>
      </c>
    </row>
    <row r="189" spans="2:2" x14ac:dyDescent="0.75">
      <c r="B189" s="14" t="str">
        <f>IF('PS-ConceptMap-1'!S184=0,"//---END",'PS-ConceptMap-1'!S184)</f>
        <v>* group[=].element[=].display = ##34#A.2.3.2 Medical devices and implants##34#</v>
      </c>
    </row>
    <row r="190" spans="2:2" x14ac:dyDescent="0.75">
      <c r="B190" s="14" t="str">
        <f>IF('PS-ConceptMap-1'!S185=0,"//---END",'PS-ConceptMap-1'!S185)</f>
        <v>* group[=].element[=].target.code = #Composition.section:sectionMedicalDevices</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#PatientSummary.body.medicalProblems.procedures</v>
      </c>
    </row>
    <row r="195" spans="2:2" x14ac:dyDescent="0.75">
      <c r="B195" s="14" t="str">
        <f>IF('PS-ConceptMap-1'!S190=0,"//---END",'PS-ConceptMap-1'!S190)</f>
        <v>* group[=].element[=].display = ##34#A.2.3.3 Procedures##34#</v>
      </c>
    </row>
    <row r="196" spans="2:2" x14ac:dyDescent="0.75">
      <c r="B196" s="14" t="str">
        <f>IF('PS-ConceptMap-1'!S191=0,"//---END",'PS-ConceptMap-1'!S191)</f>
        <v>* group[=].element[=].target.code = #Composition.section:sectionProceduresHx</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#PatientSummary.body.medicalProblems.functionalStatus</v>
      </c>
    </row>
    <row r="201" spans="2:2" x14ac:dyDescent="0.75">
      <c r="B201" s="14" t="str">
        <f>IF('PS-ConceptMap-1'!S196=0,"//---END",'PS-ConceptMap-1'!S196)</f>
        <v>* group[=].element[=].display = ##34#A.2.3.4 Functional status##34#</v>
      </c>
    </row>
    <row r="202" spans="2:2" x14ac:dyDescent="0.75">
      <c r="B202" s="14" t="str">
        <f>IF('PS-ConceptMap-1'!S197=0,"//---END",'PS-ConceptMap-1'!S197)</f>
        <v>* group[=].element[=].target.code = #Composition.section:sectionFunctionalStatus</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#PatientSummary.body.medicationSummary</v>
      </c>
    </row>
    <row r="207" spans="2:2" x14ac:dyDescent="0.75">
      <c r="B207" s="14" t="str">
        <f>IF('PS-ConceptMap-1'!S202=0,"//---END",'PS-ConceptMap-1'!S202)</f>
        <v>* group[=].element[=].display = ##34#A.2.4 Medication summary##34#</v>
      </c>
    </row>
    <row r="208" spans="2:2" x14ac:dyDescent="0.75">
      <c r="B208" s="14" t="str">
        <f>IF('PS-ConceptMap-1'!S203=0,"//---END",'PS-ConceptMap-1'!S203)</f>
        <v>* group[=].element[=].target.code = #Composition.section:sectionMedications</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 group[=].element[+].code = #PatientSummary.body.medicationSummary.medication</v>
      </c>
    </row>
    <row r="213" spans="2:2" x14ac:dyDescent="0.75">
      <c r="B213" s="14" t="str">
        <f>IF('PS-ConceptMap-1'!S208=0,"//---END",'PS-ConceptMap-1'!S208)</f>
        <v>* group[=].element[=].display = ##34#A.2.4.1 Current and relevant past medicines##34#</v>
      </c>
    </row>
    <row r="214" spans="2:2" x14ac:dyDescent="0.75">
      <c r="B214" s="14" t="str">
        <f>IF('PS-ConceptMap-1'!S209=0,"//---END",'PS-ConceptMap-1'!S209)</f>
        <v>* group[=].element[=].target.code = #Composition.section:sectionMedications.entry</v>
      </c>
    </row>
    <row r="215" spans="2:2" x14ac:dyDescent="0.75">
      <c r="B215" s="14" t="str">
        <f>IF('PS-ConceptMap-1'!S210=0,"//---END",'PS-ConceptMap-1'!S210)</f>
        <v>* group[=].element[=].target.display = ##34###34#</v>
      </c>
    </row>
    <row r="216" spans="2:2" x14ac:dyDescent="0.75">
      <c r="B216" s="14" t="str">
        <f>IF('PS-ConceptMap-1'!S211=0,"//---END",'PS-ConceptMap-1'!S211)</f>
        <v>* group[=].element[=].target.equivalence = #equivalent</v>
      </c>
    </row>
    <row r="217" spans="2:2" x14ac:dyDescent="0.75">
      <c r="B217" s="14" t="str">
        <f>IF('PS-ConceptMap-1'!S212=0,"//---END",'PS-ConceptMap-1'!S212)</f>
        <v/>
      </c>
    </row>
    <row r="218" spans="2:2" x14ac:dyDescent="0.75">
      <c r="B218" s="14" t="str">
        <f>IF('PS-ConceptMap-1'!S213=0,"//---END",'PS-ConceptMap-1'!S213)</f>
        <v>* group[=].element[+].code = #PatientSummary.body.socialHistory</v>
      </c>
    </row>
    <row r="219" spans="2:2" x14ac:dyDescent="0.75">
      <c r="B219" s="14" t="str">
        <f>IF('PS-ConceptMap-1'!S214=0,"//---END",'PS-ConceptMap-1'!S214)</f>
        <v>* group[=].element[=].display = ##34#A.2.5 Social history##34#</v>
      </c>
    </row>
    <row r="220" spans="2:2" x14ac:dyDescent="0.75">
      <c r="B220" s="14" t="str">
        <f>IF('PS-ConceptMap-1'!S215=0,"//---END",'PS-ConceptMap-1'!S215)</f>
        <v>* group[=].element[=].target.code = #Composition.section:sectionSocialHistory</v>
      </c>
    </row>
    <row r="221" spans="2:2" x14ac:dyDescent="0.75">
      <c r="B221" s="14" t="str">
        <f>IF('PS-ConceptMap-1'!S216=0,"//---END",'PS-ConceptMap-1'!S216)</f>
        <v>* group[=].element[=].target.display = ##34###34#</v>
      </c>
    </row>
    <row r="222" spans="2:2" x14ac:dyDescent="0.75">
      <c r="B222" s="14" t="str">
        <f>IF('PS-ConceptMap-1'!S217=0,"//---END",'PS-ConceptMap-1'!S217)</f>
        <v>* group[=].element[=].target.equivalence = #equivalent</v>
      </c>
    </row>
    <row r="223" spans="2:2" x14ac:dyDescent="0.75">
      <c r="B223" s="14" t="str">
        <f>IF('PS-ConceptMap-1'!S218=0,"//---END",'PS-ConceptMap-1'!S218)</f>
        <v/>
      </c>
    </row>
    <row r="224" spans="2:2" x14ac:dyDescent="0.75">
      <c r="B224" s="14" t="str">
        <f>IF('PS-ConceptMap-1'!S219=0,"//---END",'PS-ConceptMap-1'!S219)</f>
        <v>* group[=].element[+].code = #PatientSummary.body.socialHistory.observation</v>
      </c>
    </row>
    <row r="225" spans="2:2" x14ac:dyDescent="0.75">
      <c r="B225" s="14" t="str">
        <f>IF('PS-ConceptMap-1'!S220=0,"//---END",'PS-ConceptMap-1'!S220)</f>
        <v>* group[=].element[=].display = ##34#A.2.5.1 Social history observations related to health##34#</v>
      </c>
    </row>
    <row r="226" spans="2:2" x14ac:dyDescent="0.75">
      <c r="B226" s="14" t="str">
        <f>IF('PS-ConceptMap-1'!S221=0,"//---END",'PS-ConceptMap-1'!S221)</f>
        <v>* group[=].element[=].target.code = #Composition.section:sectionSocialHistory.entry</v>
      </c>
    </row>
    <row r="227" spans="2:2" x14ac:dyDescent="0.75">
      <c r="B227" s="14" t="str">
        <f>IF('PS-ConceptMap-1'!S222=0,"//---END",'PS-ConceptMap-1'!S222)</f>
        <v>* group[=].element[=].target.display = ##34###34#</v>
      </c>
    </row>
    <row r="228" spans="2:2" x14ac:dyDescent="0.75">
      <c r="B228" s="14" t="str">
        <f>IF('PS-ConceptMap-1'!S223=0,"//---END",'PS-ConceptMap-1'!S223)</f>
        <v>* group[=].element[=].target.equivalence = #equivalent</v>
      </c>
    </row>
    <row r="229" spans="2:2" x14ac:dyDescent="0.75">
      <c r="B229" s="14" t="str">
        <f>IF('PS-ConceptMap-1'!S224=0,"//---END",'PS-ConceptMap-1'!S224)</f>
        <v/>
      </c>
    </row>
    <row r="230" spans="2:2" x14ac:dyDescent="0.75">
      <c r="B230" s="14" t="str">
        <f>IF('PS-ConceptMap-1'!S225=0,"//---END",'PS-ConceptMap-1'!S225)</f>
        <v>* group[=].element[+].code = #PatientSummary.body.socialHistory.referenceRange</v>
      </c>
    </row>
    <row r="231" spans="2:2" x14ac:dyDescent="0.75">
      <c r="B231" s="14" t="str">
        <f>IF('PS-ConceptMap-1'!S226=0,"//---END",'PS-ConceptMap-1'!S226)</f>
        <v>* group[=].element[=].display = ##34#A.2.5.2 Reference date range##34#</v>
      </c>
    </row>
    <row r="232" spans="2:2" x14ac:dyDescent="0.75">
      <c r="B232" s="14" t="str">
        <f>IF('PS-ConceptMap-1'!S227=0,"//---END",'PS-ConceptMap-1'!S227)</f>
        <v>* group[=].element[=].target.code = #Composition.section:sectionSocialHistory.entry.effective[x]</v>
      </c>
    </row>
    <row r="233" spans="2:2" x14ac:dyDescent="0.75">
      <c r="B233" s="14" t="str">
        <f>IF('PS-ConceptMap-1'!S228=0,"//---END",'PS-ConceptMap-1'!S228)</f>
        <v>* group[=].element[=].target.display = ##34###34#</v>
      </c>
    </row>
    <row r="234" spans="2:2" x14ac:dyDescent="0.75">
      <c r="B234" s="14" t="str">
        <f>IF('PS-ConceptMap-1'!S229=0,"//---END",'PS-ConceptMap-1'!S229)</f>
        <v>* group[=].element[=].target.equivalence = #equivalent</v>
      </c>
    </row>
    <row r="235" spans="2:2" x14ac:dyDescent="0.75">
      <c r="B235" s="14" t="str">
        <f>IF('PS-ConceptMap-1'!S230=0,"//---END",'PS-ConceptMap-1'!S230)</f>
        <v/>
      </c>
    </row>
    <row r="236" spans="2:2" x14ac:dyDescent="0.75">
      <c r="B236" s="14" t="str">
        <f>IF('PS-ConceptMap-1'!S231=0,"//---END",'PS-ConceptMap-1'!S231)</f>
        <v>* group[=].element[+].code = #PatientSummary.body.pregnancyHistory</v>
      </c>
    </row>
    <row r="237" spans="2:2" x14ac:dyDescent="0.75">
      <c r="B237" s="14" t="str">
        <f>IF('PS-ConceptMap-1'!S232=0,"//---END",'PS-ConceptMap-1'!S232)</f>
        <v>* group[=].element[=].display = ##34#A.2.6 Pregnancy history##34#</v>
      </c>
    </row>
    <row r="238" spans="2:2" x14ac:dyDescent="0.75">
      <c r="B238" s="14" t="str">
        <f>IF('PS-ConceptMap-1'!S233=0,"//---END",'PS-ConceptMap-1'!S233)</f>
        <v>* group[=].element[=].target.code = #Composition.section:sectionPregnancyHx</v>
      </c>
    </row>
    <row r="239" spans="2:2" x14ac:dyDescent="0.75">
      <c r="B239" s="14" t="str">
        <f>IF('PS-ConceptMap-1'!S234=0,"//---END",'PS-ConceptMap-1'!S234)</f>
        <v>* group[=].element[=].target.display = ##34###34#</v>
      </c>
    </row>
    <row r="240" spans="2:2" x14ac:dyDescent="0.75">
      <c r="B240" s="14" t="str">
        <f>IF('PS-ConceptMap-1'!S235=0,"//---END",'PS-ConceptMap-1'!S235)</f>
        <v>* group[=].element[=].target.equivalence = #equivalent</v>
      </c>
    </row>
    <row r="241" spans="2:2" x14ac:dyDescent="0.75">
      <c r="B241" s="14" t="str">
        <f>IF('PS-ConceptMap-1'!S236=0,"//---END",'PS-ConceptMap-1'!S236)</f>
        <v/>
      </c>
    </row>
    <row r="242" spans="2:2" x14ac:dyDescent="0.75">
      <c r="B242" s="14" t="str">
        <f>IF('PS-ConceptMap-1'!S237=0,"//---END",'PS-ConceptMap-1'!S237)</f>
        <v>* group[=].element[+].code = #PatientSummary.body.patientData</v>
      </c>
    </row>
    <row r="243" spans="2:2" x14ac:dyDescent="0.75">
      <c r="B243" s="14" t="str">
        <f>IF('PS-ConceptMap-1'!S238=0,"//---END",'PS-ConceptMap-1'!S238)</f>
        <v>* group[=].element[=].display = ##34#A.2.7 Patient provided data##34#</v>
      </c>
    </row>
    <row r="244" spans="2:2" x14ac:dyDescent="0.75">
      <c r="B244" s="14" t="str">
        <f>IF('PS-ConceptMap-1'!S239=0,"//---END",'PS-ConceptMap-1'!S239)</f>
        <v>* group[=].element[=].target.code = #Composition.section</v>
      </c>
    </row>
    <row r="245" spans="2:2" x14ac:dyDescent="0.75">
      <c r="B245" s="14" t="str">
        <f>IF('PS-ConceptMap-1'!S240=0,"//---END",'PS-ConceptMap-1'!S240)</f>
        <v>* group[=].element[=].target.display = ##34###34#</v>
      </c>
    </row>
    <row r="246" spans="2:2" x14ac:dyDescent="0.75">
      <c r="B246" s="14" t="str">
        <f>IF('PS-ConceptMap-1'!S241=0,"//---END",'PS-ConceptMap-1'!S241)</f>
        <v>* group[=].element[=].target.equivalence = #relatedto</v>
      </c>
    </row>
    <row r="247" spans="2:2" x14ac:dyDescent="0.75">
      <c r="B247" s="14" t="str">
        <f>IF('PS-ConceptMap-1'!S242=0,"//---END",'PS-ConceptMap-1'!S242)</f>
        <v/>
      </c>
    </row>
    <row r="248" spans="2:2" x14ac:dyDescent="0.75">
      <c r="B248" s="14" t="str">
        <f>IF('PS-ConceptMap-1'!S243=0,"//---END",'PS-ConceptMap-1'!S243)</f>
        <v>* group[=].element[+].code = #PatientSummary.body.patientData.travelHistory</v>
      </c>
    </row>
    <row r="249" spans="2:2" x14ac:dyDescent="0.75">
      <c r="B249" s="14" t="str">
        <f>IF('PS-ConceptMap-1'!S244=0,"//---END",'PS-ConceptMap-1'!S244)</f>
        <v>* group[=].element[=].display = ##34#A.2.7.1 Travel history##34#</v>
      </c>
    </row>
    <row r="250" spans="2:2" x14ac:dyDescent="0.75">
      <c r="B250" s="14" t="str">
        <f>IF('PS-ConceptMap-1'!S245=0,"//---END",'PS-ConceptMap-1'!S245)</f>
        <v>* group[=].element[=].target.code = #Composition.section:sectionTravelHx</v>
      </c>
    </row>
    <row r="251" spans="2:2" x14ac:dyDescent="0.75">
      <c r="B251" s="14" t="str">
        <f>IF('PS-ConceptMap-1'!S246=0,"//---END",'PS-ConceptMap-1'!S246)</f>
        <v>* group[=].element[=].target.display = ##34###34#</v>
      </c>
    </row>
    <row r="252" spans="2:2" x14ac:dyDescent="0.75">
      <c r="B252" s="14" t="str">
        <f>IF('PS-ConceptMap-1'!S247=0,"//---END",'PS-ConceptMap-1'!S247)</f>
        <v>* group[=].element[=].target.equivalence = #relatedto</v>
      </c>
    </row>
    <row r="253" spans="2:2" x14ac:dyDescent="0.75">
      <c r="B253" s="14" t="str">
        <f>IF('PS-ConceptMap-1'!S248=0,"//---END",'PS-ConceptMap-1'!S248)</f>
        <v/>
      </c>
    </row>
    <row r="254" spans="2:2" x14ac:dyDescent="0.75">
      <c r="B254" s="14" t="str">
        <f>IF('PS-ConceptMap-1'!S249=0,"//---END",'PS-ConceptMap-1'!S249)</f>
        <v>* group[=].element[+].code = #PatientSummary.body.patientData.travelHistory.country</v>
      </c>
    </row>
    <row r="255" spans="2:2" x14ac:dyDescent="0.75">
      <c r="B255" s="14" t="str">
        <f>IF('PS-ConceptMap-1'!S250=0,"//---END",'PS-ConceptMap-1'!S250)</f>
        <v>* group[=].element[=].display = ##34#A.2.7.1.1 Country##34#</v>
      </c>
    </row>
    <row r="256" spans="2:2" x14ac:dyDescent="0.75">
      <c r="B256" s="14" t="str">
        <f>IF('PS-ConceptMap-1'!S251=0,"//---END",'PS-ConceptMap-1'!S251)</f>
        <v>* group[=].element[=].target.code = #Composition.section:sectionTravelHx.text</v>
      </c>
    </row>
    <row r="257" spans="2:2" x14ac:dyDescent="0.75">
      <c r="B257" s="14" t="str">
        <f>IF('PS-ConceptMap-1'!S252=0,"//---END",'PS-ConceptMap-1'!S252)</f>
        <v>* group[=].element[=].target.display = ##34###34#</v>
      </c>
    </row>
    <row r="258" spans="2:2" x14ac:dyDescent="0.75">
      <c r="B258" s="14" t="str">
        <f>IF('PS-ConceptMap-1'!S253=0,"//---END",'PS-ConceptMap-1'!S253)</f>
        <v>* group[=].element[=].target.equivalence = #relatedto</v>
      </c>
    </row>
    <row r="259" spans="2:2" x14ac:dyDescent="0.75">
      <c r="B259" s="14" t="str">
        <f>IF('PS-ConceptMap-1'!S254=0,"//---END",'PS-ConceptMap-1'!S254)</f>
        <v>* group[=].element[=].target.comment = ##34#if textual description##34#</v>
      </c>
    </row>
    <row r="260" spans="2:2" x14ac:dyDescent="0.75">
      <c r="B260" s="14" t="str">
        <f>IF('PS-ConceptMap-1'!S255=0,"//---END",'PS-ConceptMap-1'!S255)</f>
        <v>* group[=].element[+].code = #PatientSummary.body.patientData.travelHistory.period</v>
      </c>
    </row>
    <row r="261" spans="2:2" x14ac:dyDescent="0.75">
      <c r="B261" s="14" t="str">
        <f>IF('PS-ConceptMap-1'!S256=0,"//---END",'PS-ConceptMap-1'!S256)</f>
        <v>* group[=].element[=].display = ##34#A.2.7.1.2 Period##34#</v>
      </c>
    </row>
    <row r="262" spans="2:2" x14ac:dyDescent="0.75">
      <c r="B262" s="14" t="str">
        <f>IF('PS-ConceptMap-1'!S257=0,"//---END",'PS-ConceptMap-1'!S257)</f>
        <v>* group[=].element[=].target.code = #Composition.section:sectionTravelHx.text</v>
      </c>
    </row>
    <row r="263" spans="2:2" x14ac:dyDescent="0.75">
      <c r="B263" s="14" t="str">
        <f>IF('PS-ConceptMap-1'!S258=0,"//---END",'PS-ConceptMap-1'!S258)</f>
        <v>* group[=].element[=].target.display = ##34###34#</v>
      </c>
    </row>
    <row r="264" spans="2:2" x14ac:dyDescent="0.75">
      <c r="B264" s="14" t="str">
        <f>IF('PS-ConceptMap-1'!S259=0,"//---END",'PS-ConceptMap-1'!S259)</f>
        <v>* group[=].element[=].target.equivalence = #relatedto</v>
      </c>
    </row>
    <row r="265" spans="2:2" x14ac:dyDescent="0.75">
      <c r="B265" s="14" t="str">
        <f>IF('PS-ConceptMap-1'!S260=0,"//---END",'PS-ConceptMap-1'!S260)</f>
        <v>* group[=].element[=].target.comment = ##34#if textual description##34#</v>
      </c>
    </row>
    <row r="266" spans="2:2" x14ac:dyDescent="0.75">
      <c r="B266" s="14" t="str">
        <f>IF('PS-ConceptMap-1'!S261=0,"//---END",'PS-ConceptMap-1'!S261)</f>
        <v>* group[=].element[+].code = #PatientSummary.body.patientData.travelHistory.country</v>
      </c>
    </row>
    <row r="267" spans="2:2" x14ac:dyDescent="0.75">
      <c r="B267" s="14" t="str">
        <f>IF('PS-ConceptMap-1'!S262=0,"//---END",'PS-ConceptMap-1'!S262)</f>
        <v>* group[=].element[=].display = ##34#A.2.7.1.1 Country##34#</v>
      </c>
    </row>
    <row r="268" spans="2:2" x14ac:dyDescent="0.75">
      <c r="B268" s="14" t="str">
        <f>IF('PS-ConceptMap-1'!S263=0,"//---END",'PS-ConceptMap-1'!S263)</f>
        <v>* group[=].element[=].target.code = #Composition.section:sectionTravelHx.entry.valueCodeableConcept</v>
      </c>
    </row>
    <row r="269" spans="2:2" x14ac:dyDescent="0.75">
      <c r="B269" s="14" t="str">
        <f>IF('PS-ConceptMap-1'!S264=0,"//---END",'PS-ConceptMap-1'!S264)</f>
        <v>* group[=].element[=].target.display = ##34###34#</v>
      </c>
    </row>
    <row r="270" spans="2:2" x14ac:dyDescent="0.75">
      <c r="B270" s="14" t="str">
        <f>IF('PS-ConceptMap-1'!S265=0,"//---END",'PS-ConceptMap-1'!S265)</f>
        <v>* group[=].element[=].target.equivalence = #relatedto</v>
      </c>
    </row>
    <row r="271" spans="2:2" ht="29.5" x14ac:dyDescent="0.75">
      <c r="B271" s="14" t="str">
        <f>IF('PS-ConceptMap-1'!S266=0,"//---END",'PS-ConceptMap-1'!S266)</f>
        <v>* group[=].element[=].target.comment = ##34#entry of type Observation and Obseravtion.code = http://loinc.org#94651-7 'Country of travel [Location]'
TBD##34#</v>
      </c>
    </row>
    <row r="272" spans="2:2" x14ac:dyDescent="0.75">
      <c r="B272" s="14" t="str">
        <f>IF('PS-ConceptMap-1'!S267=0,"//---END",'PS-ConceptMap-1'!S267)</f>
        <v>* group[=].element[+].code = #PatientSummary.body.patientData.travelHistory.period</v>
      </c>
    </row>
    <row r="273" spans="2:2" x14ac:dyDescent="0.75">
      <c r="B273" s="14" t="str">
        <f>IF('PS-ConceptMap-1'!S268=0,"//---END",'PS-ConceptMap-1'!S268)</f>
        <v>* group[=].element[=].display = ##34#A.2.7.1.2 Period##34#</v>
      </c>
    </row>
    <row r="274" spans="2:2" x14ac:dyDescent="0.75">
      <c r="B274" s="14" t="str">
        <f>IF('PS-ConceptMap-1'!S269=0,"//---END",'PS-ConceptMap-1'!S269)</f>
        <v>* group[=].element[=].target.code = #Composition.section:sectionTravelHx.entry.effectivePeriod</v>
      </c>
    </row>
    <row r="275" spans="2:2" x14ac:dyDescent="0.75">
      <c r="B275" s="14" t="str">
        <f>IF('PS-ConceptMap-1'!S270=0,"//---END",'PS-ConceptMap-1'!S270)</f>
        <v>* group[=].element[=].target.display = ##34###34#</v>
      </c>
    </row>
    <row r="276" spans="2:2" x14ac:dyDescent="0.75">
      <c r="B276" s="14" t="str">
        <f>IF('PS-ConceptMap-1'!S271=0,"//---END",'PS-ConceptMap-1'!S271)</f>
        <v>* group[=].element[=].target.equivalence = #relatedto</v>
      </c>
    </row>
    <row r="277" spans="2:2" x14ac:dyDescent="0.75">
      <c r="B277" s="14" t="str">
        <f>IF('PS-ConceptMap-1'!S272=0,"//---END",'PS-ConceptMap-1'!S272)</f>
        <v>* group[=].element[=].target.comment = ##34#OBSERVATION PROFILE TO BE SPECIFIED##34#</v>
      </c>
    </row>
    <row r="278" spans="2:2" x14ac:dyDescent="0.75">
      <c r="B278" s="14" t="str">
        <f>IF('PS-ConceptMap-1'!S273=0,"//---END",'PS-ConceptMap-1'!S273)</f>
        <v>* group[=].element[+].code = #PatientSummary.body.patientData.advanceDirective</v>
      </c>
    </row>
    <row r="279" spans="2:2" x14ac:dyDescent="0.75">
      <c r="B279" s="14" t="str">
        <f>IF('PS-ConceptMap-1'!S274=0,"//---END",'PS-ConceptMap-1'!S274)</f>
        <v>* group[=].element[=].display = ##34#A.2.7.2 Advance Directive##34#</v>
      </c>
    </row>
    <row r="280" spans="2:2" x14ac:dyDescent="0.75">
      <c r="B280" s="14" t="str">
        <f>IF('PS-ConceptMap-1'!S275=0,"//---END",'PS-ConceptMap-1'!S275)</f>
        <v>* group[=].element[=].target.code = #Composition.section:sectionAdvanceDirectives</v>
      </c>
    </row>
    <row r="281" spans="2:2" x14ac:dyDescent="0.75">
      <c r="B281" s="14" t="str">
        <f>IF('PS-ConceptMap-1'!S276=0,"//---END",'PS-ConceptMap-1'!S276)</f>
        <v>* group[=].element[=].target.display = ##34###34#</v>
      </c>
    </row>
    <row r="282" spans="2:2" x14ac:dyDescent="0.75">
      <c r="B282" s="14" t="str">
        <f>IF('PS-ConceptMap-1'!S277=0,"//---END",'PS-ConceptMap-1'!S277)</f>
        <v>* group[=].element[=].target.equivalence = #equivalent</v>
      </c>
    </row>
    <row r="283" spans="2:2" x14ac:dyDescent="0.75">
      <c r="B283" s="14" t="str">
        <f>IF('PS-ConceptMap-1'!S278=0,"//---END",'PS-ConceptMap-1'!S278)</f>
        <v/>
      </c>
    </row>
    <row r="284" spans="2:2" x14ac:dyDescent="0.75">
      <c r="B284" s="14" t="str">
        <f>IF('PS-ConceptMap-1'!S279=0,"//---END",'PS-ConceptMap-1'!S279)</f>
        <v>* group[=].element[+].code = #PatientSummary.body.patientData.advanceDirective.documentation</v>
      </c>
    </row>
    <row r="285" spans="2:2" x14ac:dyDescent="0.75">
      <c r="B285" s="14" t="str">
        <f>IF('PS-ConceptMap-1'!S280=0,"//---END",'PS-ConceptMap-1'!S280)</f>
        <v>* group[=].element[=].display = ##34#A.2.7.2.1 Documentation##34#</v>
      </c>
    </row>
    <row r="286" spans="2:2" x14ac:dyDescent="0.75">
      <c r="B286" s="14" t="str">
        <f>IF('PS-ConceptMap-1'!S281=0,"//---END",'PS-ConceptMap-1'!S281)</f>
        <v>* group[=].element[=].target.code = #Composition.section:sectionAdvanceDirectives</v>
      </c>
    </row>
    <row r="287" spans="2:2" x14ac:dyDescent="0.75">
      <c r="B287" s="14" t="str">
        <f>IF('PS-ConceptMap-1'!S282=0,"//---END",'PS-ConceptMap-1'!S282)</f>
        <v>* group[=].element[=].target.display = ##34###34#</v>
      </c>
    </row>
    <row r="288" spans="2:2" x14ac:dyDescent="0.75">
      <c r="B288" s="14" t="str">
        <f>IF('PS-ConceptMap-1'!S283=0,"//---END",'PS-ConceptMap-1'!S283)</f>
        <v>* group[=].element[=].target.equivalence = #relatedto</v>
      </c>
    </row>
    <row r="289" spans="2:2" x14ac:dyDescent="0.75">
      <c r="B289" s="14" t="str">
        <f>IF('PS-ConceptMap-1'!S284=0,"//---END",'PS-ConceptMap-1'!S284)</f>
        <v>* group[=].element[=].target.comment = ##34#to be reviewed##34#</v>
      </c>
    </row>
    <row r="290" spans="2:2" x14ac:dyDescent="0.75">
      <c r="B290" s="14" t="str">
        <f>IF('PS-ConceptMap-1'!S285=0,"//---END",'PS-ConceptMap-1'!S285)</f>
        <v>* group[=].element[+].code = #PatientSummary.body.results</v>
      </c>
    </row>
    <row r="291" spans="2:2" x14ac:dyDescent="0.75">
      <c r="B291" s="14" t="str">
        <f>IF('PS-ConceptMap-1'!S286=0,"//---END",'PS-ConceptMap-1'!S286)</f>
        <v>* group[=].element[=].display = ##34#A.2.8 Results##34#</v>
      </c>
    </row>
    <row r="292" spans="2:2" x14ac:dyDescent="0.75">
      <c r="B292" s="14" t="str">
        <f>IF('PS-ConceptMap-1'!S287=0,"//---END",'PS-ConceptMap-1'!S287)</f>
        <v>* group[=].element[=].target.code = #Composition.section:sectionResults</v>
      </c>
    </row>
    <row r="293" spans="2:2" x14ac:dyDescent="0.75">
      <c r="B293" s="14" t="str">
        <f>IF('PS-ConceptMap-1'!S288=0,"//---END",'PS-ConceptMap-1'!S288)</f>
        <v>* group[=].element[=].target.display = ##34###34#</v>
      </c>
    </row>
    <row r="294" spans="2:2" x14ac:dyDescent="0.75">
      <c r="B294" s="14" t="str">
        <f>IF('PS-ConceptMap-1'!S289=0,"//---END",'PS-ConceptMap-1'!S289)</f>
        <v>* group[=].element[=].target.equivalence = #equivalent</v>
      </c>
    </row>
    <row r="295" spans="2:2" x14ac:dyDescent="0.75">
      <c r="B295" s="14" t="str">
        <f>IF('PS-ConceptMap-1'!S290=0,"//---END",'PS-ConceptMap-1'!S290)</f>
        <v/>
      </c>
    </row>
    <row r="296" spans="2:2" x14ac:dyDescent="0.75">
      <c r="B296" s="14" t="str">
        <f>IF('PS-ConceptMap-1'!S291=0,"//---END",'PS-ConceptMap-1'!S291)</f>
        <v>* group[=].element[+].code = #PatientSummary.body.planOfCare</v>
      </c>
    </row>
    <row r="297" spans="2:2" x14ac:dyDescent="0.75">
      <c r="B297" s="14" t="str">
        <f>IF('PS-ConceptMap-1'!S292=0,"//---END",'PS-ConceptMap-1'!S292)</f>
        <v>* group[=].element[=].display = ##34#A.2.9 Plan of Care##34#</v>
      </c>
    </row>
    <row r="298" spans="2:2" x14ac:dyDescent="0.75">
      <c r="B298" s="14" t="str">
        <f>IF('PS-ConceptMap-1'!S293=0,"//---END",'PS-ConceptMap-1'!S293)</f>
        <v>* group[=].element[=].target.code = #Composition.section:sectionPlanOfCare</v>
      </c>
    </row>
    <row r="299" spans="2:2" x14ac:dyDescent="0.75">
      <c r="B299" s="14" t="str">
        <f>IF('PS-ConceptMap-1'!S294=0,"//---END",'PS-ConceptMap-1'!S294)</f>
        <v>* group[=].element[=].target.display = ##34###34#</v>
      </c>
    </row>
    <row r="300" spans="2:2" x14ac:dyDescent="0.75">
      <c r="B300" s="14" t="str">
        <f>IF('PS-ConceptMap-1'!S295=0,"//---END",'PS-ConceptMap-1'!S295)</f>
        <v>* group[=].element[=].target.equivalence = #equivalent</v>
      </c>
    </row>
    <row r="301" spans="2:2" x14ac:dyDescent="0.75">
      <c r="B301" s="14" t="str">
        <f>IF('PS-ConceptMap-1'!S296=0,"//---END",'PS-ConceptMap-1'!S296)</f>
        <v/>
      </c>
    </row>
    <row r="302" spans="2:2" x14ac:dyDescent="0.75">
      <c r="B302" s="14" t="str">
        <f>IF('PS-ConceptMap-1'!S297=0,"//---END",'PS-ConceptMap-1'!S297)</f>
        <v>* group[=].element[+].code = #PatientSummary.body.planOfCare.carePlan</v>
      </c>
    </row>
    <row r="303" spans="2:2" x14ac:dyDescent="0.75">
      <c r="B303" s="14" t="str">
        <f>IF('PS-ConceptMap-1'!S298=0,"//---END",'PS-ConceptMap-1'!S298)</f>
        <v>* group[=].element[=].display = ##34#A.2.9.1 Plan of care##34#</v>
      </c>
    </row>
    <row r="304" spans="2:2" x14ac:dyDescent="0.75">
      <c r="B304" s="14" t="str">
        <f>IF('PS-ConceptMap-1'!S299=0,"//---END",'PS-ConceptMap-1'!S299)</f>
        <v>* group[=].element[=].target.code = #Composition.section:sectionPlanOfCare.text</v>
      </c>
    </row>
    <row r="305" spans="2:2" x14ac:dyDescent="0.75">
      <c r="B305" s="14" t="str">
        <f>IF('PS-ConceptMap-1'!S300=0,"//---END",'PS-ConceptMap-1'!S300)</f>
        <v>* group[=].element[=].target.display = ##34###34#</v>
      </c>
    </row>
    <row r="306" spans="2:2" x14ac:dyDescent="0.75">
      <c r="B306" s="14" t="str">
        <f>IF('PS-ConceptMap-1'!S301=0,"//---END",'PS-ConceptMap-1'!S301)</f>
        <v>* group[=].element[=].target.equivalence = #equivalent</v>
      </c>
    </row>
    <row r="307" spans="2:2" x14ac:dyDescent="0.75">
      <c r="B307" s="14" t="str">
        <f>IF('PS-ConceptMap-1'!S302=0,"//---END",'PS-ConceptMap-1'!S302)</f>
        <v/>
      </c>
    </row>
    <row r="308" spans="2:2" x14ac:dyDescent="0.75">
      <c r="B308" s="14" t="str">
        <f>IF('PS-ConceptMap-1'!S303=0,"//---END",'PS-ConceptMap-1'!S303)</f>
        <v>//---END</v>
      </c>
    </row>
    <row r="309" spans="2:2" x14ac:dyDescent="0.75">
      <c r="B309" s="14" t="str">
        <f>IF('PS-ConceptMap-1'!S304=0,"//---END",'PS-ConceptMap-1'!S304)</f>
        <v>//---END</v>
      </c>
    </row>
    <row r="310" spans="2:2" x14ac:dyDescent="0.75">
      <c r="B310" s="14" t="str">
        <f>IF('PS-ConceptMap-1'!S305=0,"//---END",'PS-ConceptMap-1'!S305)</f>
        <v>//---END</v>
      </c>
    </row>
    <row r="311" spans="2:2" x14ac:dyDescent="0.75">
      <c r="B311" s="14"/>
    </row>
    <row r="312" spans="2:2" x14ac:dyDescent="0.75">
      <c r="B312" s="65"/>
    </row>
    <row r="313" spans="2:2" x14ac:dyDescent="0.75">
      <c r="B313" s="67" t="str">
        <f>"* group[+].source = ##34#"&amp;'PS-ConceptMap-2'!E6&amp;"##34#"</f>
        <v>* group[+].source = ##34#http://hl7.eu/fhir/ig/xpandh/ps/StructureDefinition/PatientSummary##34#</v>
      </c>
    </row>
    <row r="314" spans="2:2" x14ac:dyDescent="0.75">
      <c r="B314" s="67" t="str">
        <f>"* group[=].target = ##34#"&amp;'PS-ConceptMap-2'!E7&amp;"##34#"</f>
        <v>* group[=].target = ##34#http://hl7.eu/fhir/ig/xpandh/ps/StructureDefinition/Condition-ps-xpandh##34#</v>
      </c>
    </row>
    <row r="315" spans="2:2" x14ac:dyDescent="0.75">
      <c r="B315" s="69"/>
    </row>
    <row r="316" spans="2:2" x14ac:dyDescent="0.75">
      <c r="B316" s="14" t="str">
        <f>IF('PS-ConceptMap-2'!S15=0,"//---END",'PS-ConceptMap-2'!S15)</f>
        <v>* group[=].element[+].code = #PatientSummary.header.additionalInfo</v>
      </c>
    </row>
    <row r="317" spans="2:2" x14ac:dyDescent="0.75">
      <c r="B317" s="14" t="str">
        <f>IF('PS-ConceptMap-2'!S16=0,"//---END",'PS-ConceptMap-2'!S16)</f>
        <v>* group[=].element[=].display = ##34#A.1.6 Additional information / Knowledge resources##34#</v>
      </c>
    </row>
    <row r="318" spans="2:2" x14ac:dyDescent="0.75">
      <c r="B318" s="14" t="str">
        <f>IF('PS-ConceptMap-2'!S17=0,"//---END",'PS-ConceptMap-2'!S17)</f>
        <v>* group[=].element[=].target.code = #Condition.extension:supporintInfo</v>
      </c>
    </row>
    <row r="319" spans="2:2" x14ac:dyDescent="0.75">
      <c r="B319" s="14" t="str">
        <f>IF('PS-ConceptMap-2'!S18=0,"//---END",'PS-ConceptMap-2'!S18)</f>
        <v>* group[=].element[=].target.display = ##34###34#</v>
      </c>
    </row>
    <row r="320" spans="2:2" x14ac:dyDescent="0.75">
      <c r="B320" s="14" t="str">
        <f>IF('PS-ConceptMap-2'!S19=0,"//---END",'PS-ConceptMap-2'!S19)</f>
        <v>* group[=].element[=].target.equivalence = #relatedto</v>
      </c>
    </row>
    <row r="321" spans="2:2" x14ac:dyDescent="0.75">
      <c r="B321" s="14" t="str">
        <f>IF('PS-ConceptMap-2'!S20=0,"//---END",'PS-ConceptMap-2'!S20)</f>
        <v/>
      </c>
    </row>
    <row r="322" spans="2:2" x14ac:dyDescent="0.75">
      <c r="B322" s="14" t="str">
        <f>IF('PS-ConceptMap-2'!S21=0,"//---END",'PS-ConceptMap-2'!S21)</f>
        <v>* group[=].element[+].code = #PatientSummary.header.additionalInfo.reference</v>
      </c>
    </row>
    <row r="323" spans="2:2" x14ac:dyDescent="0.75">
      <c r="B323" s="14" t="str">
        <f>IF('PS-ConceptMap-2'!S22=0,"//---END",'PS-ConceptMap-2'!S22)</f>
        <v>* group[=].element[=].display = ##34#A.1.6.1 External reference##34#</v>
      </c>
    </row>
    <row r="324" spans="2:2" x14ac:dyDescent="0.75">
      <c r="B324" s="14" t="str">
        <f>IF('PS-ConceptMap-2'!S23=0,"//---END",'PS-ConceptMap-2'!S23)</f>
        <v>* group[=].element[=].target.code = #Condition.extension:supporintInfo</v>
      </c>
    </row>
    <row r="325" spans="2:2" x14ac:dyDescent="0.75">
      <c r="B325" s="14" t="str">
        <f>IF('PS-ConceptMap-2'!S24=0,"//---END",'PS-ConceptMap-2'!S24)</f>
        <v>* group[=].element[=].target.display = ##34###34#</v>
      </c>
    </row>
    <row r="326" spans="2:2" x14ac:dyDescent="0.75">
      <c r="B326" s="14" t="str">
        <f>IF('PS-ConceptMap-2'!S25=0,"//---END",'PS-ConceptMap-2'!S25)</f>
        <v>* group[=].element[=].target.equivalence = #relatedto</v>
      </c>
    </row>
    <row r="327" spans="2:2" x14ac:dyDescent="0.75">
      <c r="B327" s="14" t="str">
        <f>IF('PS-ConceptMap-2'!S26=0,"//---END",'PS-ConceptMap-2'!S26)</f>
        <v>* group[=].element[=].target.comment = ##34#extension[supporintInfo].resolve().ofType(DocumentReference)##34#</v>
      </c>
    </row>
    <row r="328" spans="2:2" x14ac:dyDescent="0.75">
      <c r="B328" s="14" t="str">
        <f>IF('PS-ConceptMap-2'!S27=0,"//---END",'PS-ConceptMap-2'!S27)</f>
        <v>* group[=].element[+].code = #PatientSummary.header.additionalInfo.relatedWith</v>
      </c>
    </row>
    <row r="329" spans="2:2" x14ac:dyDescent="0.75">
      <c r="B329" s="14" t="str">
        <f>IF('PS-ConceptMap-2'!S28=0,"//---END",'PS-ConceptMap-2'!S28)</f>
        <v>* group[=].element[=].display = ##34#A.1.6.2 Related with##34#</v>
      </c>
    </row>
    <row r="330" spans="2:2" x14ac:dyDescent="0.75">
      <c r="B330" s="14" t="str">
        <f>IF('PS-ConceptMap-2'!S29=0,"//---END",'PS-ConceptMap-2'!S29)</f>
        <v>* group[=].element[=].target.code = #Condition</v>
      </c>
    </row>
    <row r="331" spans="2:2" x14ac:dyDescent="0.75">
      <c r="B331" s="14" t="str">
        <f>IF('PS-ConceptMap-2'!S30=0,"//---END",'PS-ConceptMap-2'!S30)</f>
        <v>* group[=].element[=].target.display = ##34###34#</v>
      </c>
    </row>
    <row r="332" spans="2:2" x14ac:dyDescent="0.75">
      <c r="B332" s="14" t="str">
        <f>IF('PS-ConceptMap-2'!S31=0,"//---END",'PS-ConceptMap-2'!S31)</f>
        <v>* group[=].element[=].target.equivalence = #relatedto</v>
      </c>
    </row>
    <row r="333" spans="2:2" x14ac:dyDescent="0.75">
      <c r="B333" s="14" t="str">
        <f>IF('PS-ConceptMap-2'!S32=0,"//---END",'PS-ConceptMap-2'!S32)</f>
        <v>* group[=].element[=].target.comment = ##34#the containing resource describes the context in this case the Condition##34#</v>
      </c>
    </row>
    <row r="334" spans="2:2" x14ac:dyDescent="0.75">
      <c r="B334" s="14" t="str">
        <f>IF('PS-ConceptMap-2'!S33=0,"//---END",'PS-ConceptMap-2'!S33)</f>
        <v>//---END</v>
      </c>
    </row>
    <row r="335" spans="2:2" x14ac:dyDescent="0.75">
      <c r="B335" s="14" t="str">
        <f>IF('PS-ConceptMap-2'!S34=0,"//---END",'PS-ConceptMap-2'!S34)</f>
        <v>//---END</v>
      </c>
    </row>
    <row r="336" spans="2:2" x14ac:dyDescent="0.75">
      <c r="B336" s="14" t="str">
        <f>IF('PS-ConceptMap-2'!S35=0,"//---END",'PS-ConceptMap-2'!S35)</f>
        <v>//---END</v>
      </c>
    </row>
    <row r="337" spans="2:2" x14ac:dyDescent="0.75">
      <c r="B337" s="14" t="str">
        <f>IF('PS-ConceptMap-2'!S36=0,"//---END",'PS-ConceptMap-2'!S36)</f>
        <v>//---END</v>
      </c>
    </row>
    <row r="338" spans="2:2" x14ac:dyDescent="0.75">
      <c r="B338" s="14" t="str">
        <f>IF('PS-ConceptMap-2'!S37=0,"//---END",'PS-ConceptMap-2'!S37)</f>
        <v>//---END</v>
      </c>
    </row>
    <row r="339" spans="2:2" x14ac:dyDescent="0.75">
      <c r="B339" s="14" t="str">
        <f>IF('PS-ConceptMap-2'!S38=0,"//---END",'PS-ConceptMap-2'!S38)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B6367-A42D-44A9-9DEA-2DFCDC24CE47}">
  <sheetPr codeName="Foglio70">
    <tabColor theme="7" tint="0.39997558519241921"/>
  </sheetPr>
  <dimension ref="A1:L35"/>
  <sheetViews>
    <sheetView workbookViewId="0">
      <selection activeCell="D21" sqref="D21"/>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1244</v>
      </c>
      <c r="I4" s="24" t="str">
        <f>CONCATENATE("Logical: ",B4)</f>
        <v>Logical: PregnancyPsEhn</v>
      </c>
    </row>
    <row r="5" spans="1:11" x14ac:dyDescent="0.75">
      <c r="A5" s="17" t="s">
        <v>19</v>
      </c>
      <c r="B5" s="33" t="s">
        <v>1245</v>
      </c>
      <c r="I5" s="24" t="str">
        <f>CONCATENATE("Id: ",B5)</f>
        <v>Id: Pregnancy</v>
      </c>
    </row>
    <row r="6" spans="1:11" x14ac:dyDescent="0.75">
      <c r="A6" s="17" t="s">
        <v>13</v>
      </c>
      <c r="B6" s="18" t="s">
        <v>755</v>
      </c>
      <c r="I6" s="25" t="str">
        <f>CONCATENATE("Title: ##34#",B6,"##34#")</f>
        <v>Title: ##34#A.2.6 Pregnancy history##34#</v>
      </c>
    </row>
    <row r="7" spans="1:11" ht="29.5" x14ac:dyDescent="0.75">
      <c r="A7" s="43" t="s">
        <v>5</v>
      </c>
      <c r="B7" s="50" t="s">
        <v>1220</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1266</v>
      </c>
      <c r="C8" s="9" t="s">
        <v>756</v>
      </c>
      <c r="D8" s="9" t="s">
        <v>756</v>
      </c>
      <c r="E8" s="15">
        <v>0</v>
      </c>
      <c r="F8" s="9" t="s">
        <v>11</v>
      </c>
      <c r="G8" s="9" t="s">
        <v>4</v>
      </c>
      <c r="H8" s="22"/>
      <c r="I8" s="14" t="str">
        <f>CONCATENATE("* ",B8, " ",E8,"..",F8," ",G8," ##34#",C8,"##34# ##334#",D8,"##334#")</f>
        <v>* pregnancyStatus 0..* BackboneElement ##34#A.2.6.1 Current pregnancy status##34# ##334#A.2.6.1 Current pregnancy status##334#</v>
      </c>
    </row>
    <row r="9" spans="1:11" ht="44.25" x14ac:dyDescent="0.75">
      <c r="A9" s="9">
        <v>2</v>
      </c>
      <c r="B9" s="9" t="s">
        <v>1268</v>
      </c>
      <c r="C9" s="9" t="s">
        <v>1250</v>
      </c>
      <c r="D9" s="14" t="s">
        <v>1259</v>
      </c>
      <c r="E9" s="15">
        <v>0</v>
      </c>
      <c r="F9" s="9" t="s">
        <v>11</v>
      </c>
      <c r="G9" s="9" t="s">
        <v>2</v>
      </c>
      <c r="H9" s="22"/>
      <c r="I9" s="14" t="str">
        <f t="shared" ref="I9:I22" si="0">CONCATENATE("* ",B9, " ",E9,"..",F9," ",G9," ##34#",C9,"##34# ##334#",D9,"##334#")</f>
        <v>* pregnancyStatus.dateOfObservation 0..* dateTime ##34#A.2.6.1.1 Date of observation##34# ##334#Date on which the observation of the pregnancy state was made - Preferred system(s): ISO 8601##334#</v>
      </c>
    </row>
    <row r="10" spans="1:11" ht="30.25" customHeight="1" x14ac:dyDescent="0.75">
      <c r="A10" s="9">
        <v>3</v>
      </c>
      <c r="B10" s="9" t="s">
        <v>1269</v>
      </c>
      <c r="C10" s="9" t="s">
        <v>1251</v>
      </c>
      <c r="D10" s="104" t="s">
        <v>1260</v>
      </c>
      <c r="E10" s="15">
        <v>0</v>
      </c>
      <c r="F10" s="9" t="s">
        <v>11</v>
      </c>
      <c r="G10" s="9" t="s">
        <v>1</v>
      </c>
      <c r="H10" s="22"/>
      <c r="I10" s="14" t="str">
        <f t="shared" si="0"/>
        <v>* pregnancyStatus.status 0..* CodeableConcept ##34#A.2.6.1.2 Status##34# ##334#Provides the woman's current state at the date the observation was made: e.g. pregnant, not pregnant, unknown - Preferred system(s): SNOMED CT GPS##334#</v>
      </c>
    </row>
    <row r="11" spans="1:11" ht="45" customHeight="1" x14ac:dyDescent="0.75">
      <c r="A11" s="9">
        <v>4</v>
      </c>
      <c r="B11" s="9" t="s">
        <v>1270</v>
      </c>
      <c r="C11" s="9" t="s">
        <v>1252</v>
      </c>
      <c r="D11" s="14" t="s">
        <v>1261</v>
      </c>
      <c r="E11" s="15">
        <v>0</v>
      </c>
      <c r="F11" s="9" t="s">
        <v>11</v>
      </c>
      <c r="G11" s="9" t="s">
        <v>2</v>
      </c>
      <c r="H11" s="22"/>
      <c r="I11" s="14" t="str">
        <f t="shared" si="0"/>
        <v>* pregnancyStatus.deliveryDate 0..* dateTime ##34#A.2.6.1.3 Expected date of delivery##34# ##334#Date on which the woman is due to give birth. - Preferred system(s): ISO 8601##334#</v>
      </c>
    </row>
    <row r="12" spans="1:11" ht="44.25" x14ac:dyDescent="0.75">
      <c r="A12" s="9">
        <v>5</v>
      </c>
      <c r="B12" s="9" t="s">
        <v>1267</v>
      </c>
      <c r="C12" s="9" t="s">
        <v>1253</v>
      </c>
      <c r="D12" s="9" t="s">
        <v>1253</v>
      </c>
      <c r="E12" s="15">
        <v>0</v>
      </c>
      <c r="F12" s="9" t="s">
        <v>11</v>
      </c>
      <c r="G12" s="9" t="s">
        <v>4</v>
      </c>
      <c r="H12" s="22"/>
      <c r="I12" s="14" t="str">
        <f t="shared" si="0"/>
        <v>* hxPreviousPregnancies 0..* BackboneElement ##34#A.2.6.2 History of previous pregnancies##34# ##334#A.2.6.2 History of previous pregnancies##334#</v>
      </c>
    </row>
    <row r="13" spans="1:11" ht="59" x14ac:dyDescent="0.75">
      <c r="A13" s="9">
        <v>6</v>
      </c>
      <c r="B13" s="9" t="s">
        <v>1271</v>
      </c>
      <c r="C13" s="9" t="s">
        <v>1254</v>
      </c>
      <c r="D13" s="14" t="s">
        <v>1262</v>
      </c>
      <c r="E13" s="15">
        <v>0</v>
      </c>
      <c r="F13" s="9" t="s">
        <v>11</v>
      </c>
      <c r="G13" s="9" t="s">
        <v>1</v>
      </c>
      <c r="H13" s="22"/>
      <c r="I13" s="14" t="str">
        <f t="shared" si="0"/>
        <v>* hxPreviousPregnancies.status 0..* CodeableConcept ##34#A.2.6.2.1 Previous pregnancies status##34# ##334#Information on the woman's previous pregnancies: Yes, previous pregnancies; No, previous pregnancies; Unknown - Preferred system(s): SNOMED CT GPS##334#</v>
      </c>
    </row>
    <row r="14" spans="1:11" ht="44.25" x14ac:dyDescent="0.75">
      <c r="A14" s="9">
        <v>7</v>
      </c>
      <c r="B14" s="9" t="s">
        <v>1272</v>
      </c>
      <c r="C14" s="9" t="s">
        <v>1255</v>
      </c>
      <c r="D14" s="9" t="s">
        <v>1255</v>
      </c>
      <c r="E14" s="15">
        <v>0</v>
      </c>
      <c r="F14" s="9" t="s">
        <v>11</v>
      </c>
      <c r="G14" s="9" t="s">
        <v>4</v>
      </c>
      <c r="H14" s="22"/>
      <c r="I14" s="14" t="str">
        <f t="shared" si="0"/>
        <v>* hxPreviousPregnancies.description 0..* BackboneElement ##34#A.2.6.2.2 Previous pregnancies description##34# ##334#A.2.6.2.2 Previous pregnancies description##334#</v>
      </c>
    </row>
    <row r="15" spans="1:11" ht="44.25" x14ac:dyDescent="0.75">
      <c r="A15" s="9">
        <v>8</v>
      </c>
      <c r="B15" s="9" t="s">
        <v>1273</v>
      </c>
      <c r="C15" s="9" t="s">
        <v>1256</v>
      </c>
      <c r="D15" s="14" t="s">
        <v>1263</v>
      </c>
      <c r="E15" s="15">
        <v>0</v>
      </c>
      <c r="F15" s="9" t="s">
        <v>11</v>
      </c>
      <c r="G15" s="9" t="s">
        <v>2</v>
      </c>
      <c r="H15" s="22"/>
      <c r="I15" s="14" t="str">
        <f t="shared" si="0"/>
        <v>* hxPreviousPregnancies.description.outcomeDate 0..* dateTime ##34#A.2.6.2.2.1 Outcome date##34# ##334#Date referred to the previous pregnancies outcome - Preferred system(s): ISO 8601##334#</v>
      </c>
      <c r="J15" s="15"/>
      <c r="K15" s="9"/>
    </row>
    <row r="16" spans="1:11" ht="29.5" customHeight="1" x14ac:dyDescent="0.75">
      <c r="A16" s="9">
        <v>9</v>
      </c>
      <c r="B16" s="9" t="s">
        <v>1274</v>
      </c>
      <c r="C16" s="9" t="s">
        <v>1257</v>
      </c>
      <c r="D16" s="14" t="s">
        <v>1264</v>
      </c>
      <c r="E16" s="15">
        <v>0</v>
      </c>
      <c r="F16" s="9" t="s">
        <v>11</v>
      </c>
      <c r="G16" s="9" t="s">
        <v>1</v>
      </c>
      <c r="H16" s="9"/>
      <c r="I16" s="14" t="str">
        <f t="shared" si="0"/>
        <v>* hxPreviousPregnancies.description.outcome 0..* CodeableConcept ##34#A.2.6.2.2.2 Outcome##34# ##334#Outcome of the previous pregnancies - Preferred system(s): SNOMED CT GPS##334#</v>
      </c>
    </row>
    <row r="17" spans="1:9" ht="44.25" x14ac:dyDescent="0.75">
      <c r="A17" s="9">
        <v>10</v>
      </c>
      <c r="B17" s="9" t="s">
        <v>1275</v>
      </c>
      <c r="C17" s="9" t="s">
        <v>1258</v>
      </c>
      <c r="D17" s="104" t="s">
        <v>771</v>
      </c>
      <c r="E17" s="15">
        <v>0</v>
      </c>
      <c r="F17" s="9" t="s">
        <v>11</v>
      </c>
      <c r="G17" s="100" t="s">
        <v>1265</v>
      </c>
      <c r="I17" s="14" t="str">
        <f t="shared" si="0"/>
        <v>* hxPreviousPregnancies.description.numberOfChildren 0..* integer ##34#A.2.6.2.2.3 Number of children##34# ##334#Number of children/fetus in this specific pregnancy##334#</v>
      </c>
    </row>
    <row r="18" spans="1:9" x14ac:dyDescent="0.75">
      <c r="I18" s="14" t="str">
        <f t="shared" si="0"/>
        <v>*  ..  ##34###34# ##334###334#</v>
      </c>
    </row>
    <row r="19" spans="1:9" x14ac:dyDescent="0.75">
      <c r="I19" s="14" t="str">
        <f t="shared" si="0"/>
        <v>*  ..  ##34###34# ##334###334#</v>
      </c>
    </row>
    <row r="20" spans="1:9" x14ac:dyDescent="0.75">
      <c r="I20" s="14" t="str">
        <f t="shared" si="0"/>
        <v>*  ..  ##34###34# ##334###334#</v>
      </c>
    </row>
    <row r="21" spans="1:9" x14ac:dyDescent="0.75">
      <c r="I21" s="14" t="str">
        <f t="shared" si="0"/>
        <v>*  ..  ##34###34# ##334###334#</v>
      </c>
    </row>
    <row r="22" spans="1:9" x14ac:dyDescent="0.75">
      <c r="I22" s="14" t="str">
        <f t="shared" si="0"/>
        <v>*  ..  ##34###34# ##334###334#</v>
      </c>
    </row>
    <row r="26" spans="1:9" ht="16.75" customHeight="1" thickBot="1" x14ac:dyDescent="0.9">
      <c r="C26" t="s">
        <v>756</v>
      </c>
      <c r="D26"/>
    </row>
    <row r="27" spans="1:9" ht="384.75" customHeight="1" thickBot="1" x14ac:dyDescent="0.9">
      <c r="B27" t="str">
        <f t="shared" ref="B27:B35" si="1">CONCATENATE(C27," ",D27)</f>
        <v>A.2.6.1.1 Date of observation</v>
      </c>
      <c r="C27" s="103" t="s">
        <v>794</v>
      </c>
      <c r="D27" s="92" t="s">
        <v>757</v>
      </c>
      <c r="E27" s="92" t="s">
        <v>758</v>
      </c>
      <c r="F27" s="92" t="s">
        <v>94</v>
      </c>
      <c r="I27" s="1" t="str">
        <f t="shared" ref="I27:I34" si="2">CONCATENATE(E27," - Preferred system(s): ",F27)</f>
        <v>Date on which the observation of the pregnancy state was made - Preferred system(s): ISO 8601</v>
      </c>
    </row>
    <row r="28" spans="1:9" ht="192.5" thickBot="1" x14ac:dyDescent="0.9">
      <c r="B28" t="str">
        <f t="shared" si="1"/>
        <v>A.2.6.1.2 Status</v>
      </c>
      <c r="C28" s="103" t="s">
        <v>795</v>
      </c>
      <c r="D28" s="94" t="s">
        <v>588</v>
      </c>
      <c r="E28" s="94" t="s">
        <v>759</v>
      </c>
      <c r="F28" s="94" t="s">
        <v>577</v>
      </c>
      <c r="I28" s="1" t="str">
        <f t="shared" si="2"/>
        <v>Provides the woman's current state at the date the observation was made: e.g. pregnant, not pregnant, unknown - Preferred system(s): SNOMED CT GPS</v>
      </c>
    </row>
    <row r="29" spans="1:9" ht="74.5" thickBot="1" x14ac:dyDescent="0.9">
      <c r="B29" t="str">
        <f t="shared" si="1"/>
        <v>A.2.6.1.3 Expected date of delivery</v>
      </c>
      <c r="C29" s="103" t="s">
        <v>796</v>
      </c>
      <c r="D29" s="94" t="s">
        <v>760</v>
      </c>
      <c r="E29" s="94" t="s">
        <v>761</v>
      </c>
      <c r="F29" s="94" t="s">
        <v>94</v>
      </c>
      <c r="I29" s="1" t="str">
        <f t="shared" si="2"/>
        <v>Date on which the woman is due to give birth. - Preferred system(s): ISO 8601</v>
      </c>
    </row>
    <row r="30" spans="1:9" ht="15.5" thickBot="1" x14ac:dyDescent="0.9">
      <c r="B30" t="str">
        <f t="shared" si="1"/>
        <v>A.2.6.2 History of previous pregnancies</v>
      </c>
      <c r="C30" s="93" t="s">
        <v>797</v>
      </c>
      <c r="D30" s="94" t="s">
        <v>762</v>
      </c>
      <c r="E30" s="94"/>
      <c r="F30" s="94"/>
      <c r="I30" s="1" t="str">
        <f t="shared" si="2"/>
        <v xml:space="preserve"> - Preferred system(s): </v>
      </c>
    </row>
    <row r="31" spans="1:9" ht="192.5" thickBot="1" x14ac:dyDescent="0.9">
      <c r="B31" t="str">
        <f t="shared" si="1"/>
        <v>A.2.6.2.1 Previous pregnancies status</v>
      </c>
      <c r="C31" s="93" t="s">
        <v>798</v>
      </c>
      <c r="D31" s="94" t="s">
        <v>763</v>
      </c>
      <c r="E31" s="94" t="s">
        <v>764</v>
      </c>
      <c r="F31" s="94" t="s">
        <v>577</v>
      </c>
      <c r="I31" s="1" t="str">
        <f t="shared" si="2"/>
        <v>Information on the woman's previous pregnancies: Yes, previous pregnancies; No, previous pregnancies; Unknown - Preferred system(s): SNOMED CT GPS</v>
      </c>
    </row>
    <row r="32" spans="1:9" ht="15.5" thickBot="1" x14ac:dyDescent="0.9">
      <c r="B32" t="str">
        <f t="shared" si="1"/>
        <v>A.2.6.2.2 Previous pregnancies description</v>
      </c>
      <c r="C32" s="93" t="s">
        <v>799</v>
      </c>
      <c r="D32" s="94" t="s">
        <v>765</v>
      </c>
      <c r="E32" s="94"/>
      <c r="F32" s="94"/>
      <c r="I32" s="1" t="str">
        <f t="shared" si="2"/>
        <v xml:space="preserve"> - Preferred system(s): </v>
      </c>
    </row>
    <row r="33" spans="2:9" ht="89.25" thickBot="1" x14ac:dyDescent="0.9">
      <c r="B33" t="str">
        <f t="shared" si="1"/>
        <v>A.2.6.2.2.1 Outcome date</v>
      </c>
      <c r="C33" s="93" t="s">
        <v>800</v>
      </c>
      <c r="D33" s="94" t="s">
        <v>766</v>
      </c>
      <c r="E33" s="94" t="s">
        <v>767</v>
      </c>
      <c r="F33" s="94" t="s">
        <v>94</v>
      </c>
      <c r="I33" s="1" t="str">
        <f t="shared" si="2"/>
        <v>Date referred to the previous pregnancies outcome - Preferred system(s): ISO 8601</v>
      </c>
    </row>
    <row r="34" spans="2:9" ht="74.5" thickBot="1" x14ac:dyDescent="0.9">
      <c r="B34" t="str">
        <f t="shared" si="1"/>
        <v>A.2.6.2.2.2 Outcome</v>
      </c>
      <c r="C34" s="93" t="s">
        <v>801</v>
      </c>
      <c r="D34" s="94" t="s">
        <v>768</v>
      </c>
      <c r="E34" s="94" t="s">
        <v>769</v>
      </c>
      <c r="F34" s="94" t="s">
        <v>577</v>
      </c>
      <c r="I34" s="1" t="str">
        <f t="shared" si="2"/>
        <v>Outcome of the previous pregnancies - Preferred system(s): SNOMED CT GPS</v>
      </c>
    </row>
    <row r="35" spans="2:9" ht="74.5" thickBot="1" x14ac:dyDescent="0.9">
      <c r="B35" t="str">
        <f t="shared" si="1"/>
        <v>A.2.6.2.2.3 Number of children</v>
      </c>
      <c r="C35" s="93" t="s">
        <v>802</v>
      </c>
      <c r="D35" s="94" t="s">
        <v>770</v>
      </c>
      <c r="E35" s="94" t="s">
        <v>771</v>
      </c>
      <c r="F35" s="94"/>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D6DF-15E2-4E1A-997E-BDFE54E8C060}">
  <sheetPr codeName="Foglio71">
    <tabColor theme="8" tint="-0.249977111117893"/>
  </sheetPr>
  <dimension ref="C1:G22"/>
  <sheetViews>
    <sheetView workbookViewId="0">
      <selection activeCell="C27" sqref="C2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Pregnancy'!I1</f>
        <v>// -------------------------------------------------------------------------------</v>
      </c>
    </row>
    <row r="2" spans="3:7" ht="16.75" thickBot="1" x14ac:dyDescent="0.9">
      <c r="C2" s="32" t="str">
        <f>'A.2.3.3 Pregnancy'!I2</f>
        <v>//  Logical Model</v>
      </c>
      <c r="G2" s="48" t="s">
        <v>1248</v>
      </c>
    </row>
    <row r="3" spans="3:7" x14ac:dyDescent="0.75">
      <c r="C3" s="32" t="str">
        <f>'A.2.3.3 Pregnancy'!I3</f>
        <v>// -------------------------------------------------------------------------------</v>
      </c>
    </row>
    <row r="4" spans="3:7" x14ac:dyDescent="0.75">
      <c r="C4" s="24" t="str">
        <f>'A.2.3.3 Pregnancy'!I4</f>
        <v>Logical: PregnancyPsEhn</v>
      </c>
    </row>
    <row r="5" spans="3:7" x14ac:dyDescent="0.75">
      <c r="C5" s="24" t="str">
        <f>'A.2.3.3 Pregnancy'!I5</f>
        <v>Id: Pregnancy</v>
      </c>
    </row>
    <row r="6" spans="3:7" x14ac:dyDescent="0.75">
      <c r="C6" s="24" t="str">
        <f>'A.2.3.3 Pregnancy'!I6</f>
        <v>Title: ##34#A.2.6 Pregnancy history##34#</v>
      </c>
    </row>
    <row r="7" spans="3:7" x14ac:dyDescent="0.75">
      <c r="C7" s="24" t="str">
        <f>'A.2.3.3 Pregnancy'!I7</f>
        <v>Description:  ##334#Functional Status. Section A.2.3.3 of the eHN guideline.##334#</v>
      </c>
    </row>
    <row r="8" spans="3:7" ht="29.5" x14ac:dyDescent="0.75">
      <c r="C8" s="14" t="str">
        <f>IF('A.2.3.3 Pregnancy'!I8="*  ..  ##34###34# ##334###334#","//--- END",'A.2.3.3 Pregnancy'!I8)</f>
        <v>* pregnancyStatus 0..* BackboneElement ##34#A.2.6.1 Current pregnancy status##34# ##334#A.2.6.1 Current pregnancy status##334#</v>
      </c>
    </row>
    <row r="9" spans="3:7" ht="29.5" x14ac:dyDescent="0.75">
      <c r="C9" s="14" t="str">
        <f>IF('A.2.3.3 Pregnancy'!I9="*  ..  ##34###34# ##334###334#","//--- END",'A.2.3.3 Pregnancy'!I9)</f>
        <v>* pregnancyStatus.dateOfObservation 0..* dateTime ##34#A.2.6.1.1 Date of observation##34# ##334#Date on which the observation of the pregnancy state was made - Preferred system(s): ISO 8601##334#</v>
      </c>
    </row>
    <row r="10" spans="3:7" ht="29.5" x14ac:dyDescent="0.75">
      <c r="C10" s="14" t="str">
        <f>IF('A.2.3.3 Pregnancy'!I10="*  ..  ##34###34# ##334###334#","//--- END",'A.2.3.3 Pregnancy'!I10)</f>
        <v>* pregnancyStatus.status 0..* CodeableConcept ##34#A.2.6.1.2 Status##34# ##334#Provides the woman's current state at the date the observation was made: e.g. pregnant, not pregnant, unknown - Preferred system(s): SNOMED CT GPS##334#</v>
      </c>
      <c r="E10" t="s">
        <v>116</v>
      </c>
    </row>
    <row r="11" spans="3:7" ht="29.5" x14ac:dyDescent="0.75">
      <c r="C11" s="14" t="str">
        <f>IF('A.2.3.3 Pregnancy'!I11="*  ..  ##34###34# ##334###334#","//--- END",'A.2.3.3 Pregnancy'!I11)</f>
        <v>* pregnancyStatus.deliveryDate 0..* dateTime ##34#A.2.6.1.3 Expected date of delivery##34# ##334#Date on which the woman is due to give birth. - Preferred system(s): ISO 8601##334#</v>
      </c>
    </row>
    <row r="12" spans="3:7" ht="29.5" x14ac:dyDescent="0.75">
      <c r="C12" s="14" t="str">
        <f>IF('A.2.3.3 Pregnancy'!I12="*  ..  ##34###34# ##334###334#","//--- END",'A.2.3.3 Pregnancy'!I12)</f>
        <v>* hxPreviousPregnancies 0..* BackboneElement ##34#A.2.6.2 History of previous pregnancies##34# ##334#A.2.6.2 History of previous pregnancies##334#</v>
      </c>
    </row>
    <row r="13" spans="3:7" ht="44.25" x14ac:dyDescent="0.75">
      <c r="C13" s="14" t="str">
        <f>IF('A.2.3.3 Pregnancy'!I13="*  ..  ##34###34# ##334###334#","//--- END",'A.2.3.3 Pregnancy'!I13)</f>
        <v>* hxPreviousPregnancies.status 0..* CodeableConcept ##34#A.2.6.2.1 Previous pregnancies status##34# ##334#Information on the woman's previous pregnancies: Yes, previous pregnancies; No, previous pregnancies; Unknown - Preferred system(s): SNOMED CT GPS##334#</v>
      </c>
    </row>
    <row r="14" spans="3:7" ht="29.5" x14ac:dyDescent="0.75">
      <c r="C14" s="14" t="str">
        <f>IF('A.2.3.3 Pregnancy'!I14="*  ..  ##34###34# ##334###334#","//--- END",'A.2.3.3 Pregnancy'!I14)</f>
        <v>* hxPreviousPregnancies.description 0..* BackboneElement ##34#A.2.6.2.2 Previous pregnancies description##34# ##334#A.2.6.2.2 Previous pregnancies description##334#</v>
      </c>
    </row>
    <row r="15" spans="3:7" ht="29.5" x14ac:dyDescent="0.75">
      <c r="C15" s="14" t="str">
        <f>IF('A.2.3.3 Pregnancy'!I15="*  ..  ##34###34# ##334###334#","//--- END",'A.2.3.3 Pregnancy'!I15)</f>
        <v>* hxPreviousPregnancies.description.outcomeDate 0..* dateTime ##34#A.2.6.2.2.1 Outcome date##34# ##334#Date referred to the previous pregnancies outcome - Preferred system(s): ISO 8601##334#</v>
      </c>
    </row>
    <row r="16" spans="3:7" ht="29.5" x14ac:dyDescent="0.75">
      <c r="C16" s="14" t="str">
        <f>IF('A.2.3.3 Pregnancy'!I16="*  ..  ##34###34# ##334###334#","//--- END",'A.2.3.3 Pregnancy'!I16)</f>
        <v>* hxPreviousPregnancies.description.outcome 0..* CodeableConcept ##34#A.2.6.2.2.2 Outcome##34# ##334#Outcome of the previous pregnancies - Preferred system(s): SNOMED CT GPS##334#</v>
      </c>
    </row>
    <row r="17" spans="3:3" ht="29.5" x14ac:dyDescent="0.75">
      <c r="C17" s="14" t="str">
        <f>IF('A.2.3.3 Pregnancy'!I17="*  ..  ##34###34# ##334###334#","//--- END",'A.2.3.3 Pregnancy'!I17)</f>
        <v>* hxPreviousPregnancies.description.numberOfChildren 0..* integer ##34#A.2.6.2.2.3 Number of children##34# ##334#Number of children/fetus in this specific pregnancy##334#</v>
      </c>
    </row>
    <row r="18" spans="3:3" x14ac:dyDescent="0.75">
      <c r="C18" s="14" t="str">
        <f>IF('A.2.3.3 Pregnancy'!I18="*  ..  ##34###34# ##334###334#","//--- END",'A.2.3.3 Pregnancy'!I18)</f>
        <v>//--- END</v>
      </c>
    </row>
    <row r="19" spans="3:3" x14ac:dyDescent="0.75">
      <c r="C19" s="14" t="str">
        <f>IF('A.2.3.3 Pregnancy'!I19="*  ..  ##34###34# ##334###334#","//--- END",'A.2.3.3 Pregnancy'!I19)</f>
        <v>//--- END</v>
      </c>
    </row>
    <row r="20" spans="3:3" x14ac:dyDescent="0.75">
      <c r="C20" s="14" t="str">
        <f>IF('A.2.3.3 Pregnancy'!I20="*  ..  ##34###34# ##334###334#","//--- END",'A.2.3.3 Pregnancy'!I20)</f>
        <v>//--- END</v>
      </c>
    </row>
    <row r="21" spans="3:3" x14ac:dyDescent="0.75">
      <c r="C21" s="14" t="str">
        <f>IF('A.2.3.3 Pregnancy'!I21="*  ..  ##34###34# ##334###334#","//--- END",'A.2.3.3 Pregnancy'!I21)</f>
        <v>//--- END</v>
      </c>
    </row>
    <row r="22" spans="3:3" x14ac:dyDescent="0.75">
      <c r="C22" s="14" t="str">
        <f>IF('A.2.3.3 Pregnancy'!I22="*  ..  ##34###34# ##334###334#","//--- END",'A.2.3.3 Pregnancy'!I22)</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2700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838FF-870A-416C-9C48-15043F9B7D95}">
  <sheetPr codeName="Foglio72">
    <tabColor theme="0" tint="-0.499984740745262"/>
  </sheetPr>
  <dimension ref="A1:T84"/>
  <sheetViews>
    <sheetView topLeftCell="B15" workbookViewId="0">
      <selection activeCell="C7" sqref="C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6" t="s">
        <v>1316</v>
      </c>
      <c r="C1" s="167"/>
    </row>
    <row r="2" spans="1:19" ht="15.5" thickBot="1" x14ac:dyDescent="0.9"/>
    <row r="3" spans="1:19" ht="15.5" thickBot="1" x14ac:dyDescent="0.9">
      <c r="B3" s="61" t="s">
        <v>34</v>
      </c>
      <c r="C3" s="47" t="s">
        <v>1246</v>
      </c>
      <c r="D3" s="61" t="s">
        <v>208</v>
      </c>
      <c r="E3" s="165" t="str">
        <f>"http://hl7.eu/fhir/ig/xpandh/ps/StructureDefinition/"&amp;'A.2.3.3 Pregnancy'!B5</f>
        <v>http://hl7.eu/fhir/ig/xpandh/ps/StructureDefinition/Pregnancy</v>
      </c>
      <c r="F3" s="164"/>
      <c r="G3" s="164"/>
    </row>
    <row r="4" spans="1:19" x14ac:dyDescent="0.75">
      <c r="B4" s="61" t="s">
        <v>19</v>
      </c>
      <c r="C4" s="47" t="s">
        <v>1247</v>
      </c>
      <c r="D4" s="61" t="s">
        <v>209</v>
      </c>
      <c r="E4" s="165" t="s">
        <v>1223</v>
      </c>
      <c r="F4" s="164"/>
      <c r="G4" s="164"/>
    </row>
    <row r="5" spans="1:19" x14ac:dyDescent="0.75">
      <c r="B5" s="61" t="s">
        <v>13</v>
      </c>
      <c r="C5" s="10" t="s">
        <v>226</v>
      </c>
      <c r="D5" s="61"/>
      <c r="E5" s="10"/>
    </row>
    <row r="6" spans="1:19" x14ac:dyDescent="0.75">
      <c r="B6" s="61" t="s">
        <v>35</v>
      </c>
      <c r="C6" s="60"/>
      <c r="D6" s="61" t="s">
        <v>206</v>
      </c>
      <c r="E6" s="165" t="str">
        <f>E3</f>
        <v>http://hl7.eu/fhir/ig/xpandh/ps/StructureDefinition/Pregnancy</v>
      </c>
      <c r="F6" s="164"/>
      <c r="G6" s="164"/>
    </row>
    <row r="7" spans="1:19" x14ac:dyDescent="0.75">
      <c r="B7" s="61" t="s">
        <v>18</v>
      </c>
      <c r="C7" s="68"/>
      <c r="D7" s="61" t="s">
        <v>207</v>
      </c>
      <c r="E7" s="165" t="str">
        <f>E4</f>
        <v>http://hl7.eu/fhir/ig/xpandh/ps/StructureDefinition/Composition-ps-xpandh</v>
      </c>
      <c r="F7" s="164"/>
      <c r="G7" s="164"/>
    </row>
    <row r="8" spans="1:19" ht="44.25" x14ac:dyDescent="0.75">
      <c r="B8" s="61" t="s">
        <v>204</v>
      </c>
      <c r="C8" s="10" t="s">
        <v>1177</v>
      </c>
      <c r="D8" s="61"/>
      <c r="E8"/>
      <c r="I8" s="14" t="s">
        <v>181</v>
      </c>
      <c r="J8" s="14" t="s">
        <v>182</v>
      </c>
      <c r="K8" s="14" t="s">
        <v>183</v>
      </c>
      <c r="L8" s="14" t="s">
        <v>184</v>
      </c>
      <c r="M8" s="9" t="s">
        <v>185</v>
      </c>
      <c r="P8" s="57" t="s">
        <v>186</v>
      </c>
      <c r="Q8" s="57">
        <v>6</v>
      </c>
    </row>
    <row r="9" spans="1:19" ht="29.5" x14ac:dyDescent="0.75">
      <c r="B9" s="61" t="s">
        <v>205</v>
      </c>
      <c r="C9" s="1" t="s">
        <v>1178</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t="s">
        <v>107</v>
      </c>
      <c r="E14" s="110"/>
      <c r="F14" s="3"/>
      <c r="I14" s="14"/>
      <c r="J14" s="9"/>
      <c r="K14" s="9"/>
      <c r="L14" s="9"/>
      <c r="M14" s="59"/>
      <c r="N14" s="62"/>
    </row>
    <row r="15" spans="1:19" ht="73.75" x14ac:dyDescent="0.75">
      <c r="A15" s="22"/>
      <c r="B15" s="9" t="str">
        <f>'A.2.3.3 Pregnancy'!B8</f>
        <v>pregnancyStatus</v>
      </c>
      <c r="C15" s="9" t="str">
        <f>'A.2.3.3 Pregnancy'!C8</f>
        <v>A.2.6.1 Current pregnancy status</v>
      </c>
      <c r="D15" s="14" t="s">
        <v>1276</v>
      </c>
      <c r="E15" s="9"/>
      <c r="F15" s="63" t="s">
        <v>193</v>
      </c>
      <c r="G15" s="14"/>
      <c r="H15" s="64"/>
      <c r="I15" s="14" t="str">
        <f>"* group[=].element[+].code = #"&amp;$B$14&amp;"."&amp;B15</f>
        <v>* group[=].element[+].code = #Pregnancy.pregnancyStatus</v>
      </c>
      <c r="J15" s="14" t="str">
        <f t="shared" ref="J15:J16" si="0">"* group[=].element[=].display = ##34#"&amp;C15&amp;"##34#"</f>
        <v>* group[=].element[=].display = ##34#A.2.6.1 Current pregnancy status##34#</v>
      </c>
      <c r="K15" s="14" t="str">
        <f t="shared" ref="K15:K16" si="1">IF(F15="unmatched","//-- unmatched","* group[=].element[=].target.code = #"&amp;$D$14&amp;"."&amp;D15)</f>
        <v>* group[=].element[=].target.code = #Composition.section:sectionPregnancyHx.entry:pregnancyStatus</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46" si="4">IF(G15&lt;&gt;"",CONCATENATE("* group[=].element[=].target.comment = ","##34#",G15,"##34#"),"")</f>
        <v/>
      </c>
      <c r="P15" s="9">
        <v>1</v>
      </c>
      <c r="Q15" s="9">
        <f>IF(MOD(P15,$Q$8)=0,P15/$Q$8-1,INT(P15/$Q$8))</f>
        <v>0</v>
      </c>
      <c r="R15" s="9">
        <f>IF(MOD(P15,$Q$8)=0,$Q$8,MOD(P15,$Q$8))</f>
        <v>1</v>
      </c>
      <c r="S15" s="14" t="str" cm="1">
        <f t="array" ref="S15">INDEX('Pregnancy-ConceptMap-1'!$I$15:$N$126,Q15+1,R15)</f>
        <v>* group[=].element[+].code = #Pregnancy.pregnancyStatus</v>
      </c>
    </row>
    <row r="16" spans="1:19" ht="58.25" customHeight="1" x14ac:dyDescent="0.75">
      <c r="A16" s="22"/>
      <c r="B16" s="9" t="str">
        <f>'A.2.3.3 Pregnancy'!B9</f>
        <v>pregnancyStatus.dateOfObservation</v>
      </c>
      <c r="C16" s="9" t="str">
        <f>'A.2.3.3 Pregnancy'!C9</f>
        <v>A.2.6.1.1 Date of observation</v>
      </c>
      <c r="D16" s="14" t="s">
        <v>1277</v>
      </c>
      <c r="E16" s="14"/>
      <c r="F16" s="63" t="s">
        <v>192</v>
      </c>
      <c r="G16" s="14"/>
      <c r="H16" s="64"/>
      <c r="I16" s="14" t="str">
        <f t="shared" ref="I16" si="5">"* group[=].element[+].code = #"&amp;$B$14&amp;"."&amp;B16</f>
        <v>* group[=].element[+].code = #Pregnancy.pregnancyStatus.dateOfObservation</v>
      </c>
      <c r="J16" s="14" t="str">
        <f t="shared" si="0"/>
        <v>* group[=].element[=].display = ##34#A.2.6.1.1 Date of observation##34#</v>
      </c>
      <c r="K16" s="14" t="str">
        <f t="shared" si="1"/>
        <v>* group[=].element[=].target.code = #Composition.section:sectionPregnancyHx.entry:pregnancyStatus.effectiveDateTime</v>
      </c>
      <c r="L16" s="14" t="str">
        <f t="shared" si="2"/>
        <v>* group[=].element[=].target.display = ##34###34#</v>
      </c>
      <c r="M16" s="14" t="str">
        <f t="shared" si="3"/>
        <v>* group[=].element[=].target.equivalence = #equivalent</v>
      </c>
      <c r="N16" s="14" t="str">
        <f t="shared" si="4"/>
        <v/>
      </c>
      <c r="P16" s="9">
        <v>2</v>
      </c>
      <c r="Q16" s="9">
        <f t="shared" ref="Q16:Q79" si="6">IF(MOD(P16,$Q$8)=0,P16/$Q$8-1,INT(P16/$Q$8))</f>
        <v>0</v>
      </c>
      <c r="R16" s="9">
        <f t="shared" ref="R16:R79" si="7">IF(MOD(P16,$Q$8)=0,$Q$8,MOD(P16,$Q$8))</f>
        <v>2</v>
      </c>
      <c r="S16" s="14" t="str" cm="1">
        <f t="array" ref="S16">INDEX('Pregnancy-ConceptMap-1'!$I$15:$N$126,Q16+1,R16)</f>
        <v>* group[=].element[=].display = ##34#A.2.6.1 Current pregnancy status##34#</v>
      </c>
    </row>
    <row r="17" spans="1:19" ht="57.5" customHeight="1" x14ac:dyDescent="0.75">
      <c r="A17" s="22"/>
      <c r="B17" s="9" t="str">
        <f>'A.2.3.3 Pregnancy'!B10</f>
        <v>pregnancyStatus.status</v>
      </c>
      <c r="C17" s="9" t="str">
        <f>'A.2.3.3 Pregnancy'!C10</f>
        <v>A.2.6.1.2 Status</v>
      </c>
      <c r="D17" s="14" t="s">
        <v>1278</v>
      </c>
      <c r="E17" s="9"/>
      <c r="F17" s="63" t="s">
        <v>192</v>
      </c>
      <c r="G17" s="14"/>
      <c r="H17" s="64"/>
      <c r="I17" s="14" t="str">
        <f t="shared" ref="I17:I24" si="8">"* group[=].element[+].code = #"&amp;$B$14&amp;"."&amp;B17</f>
        <v>* group[=].element[+].code = #Pregnancy.pregnancyStatus.status</v>
      </c>
      <c r="J17" s="14" t="str">
        <f t="shared" ref="J17:J24" si="9">"* group[=].element[=].display = ##34#"&amp;C17&amp;"##34#"</f>
        <v>* group[=].element[=].display = ##34#A.2.6.1.2 Status##34#</v>
      </c>
      <c r="K17" s="14" t="str">
        <f t="shared" ref="K17:K24" si="10">IF(F17="unmatched","//-- unmatched","* group[=].element[=].target.code = #"&amp;$D$14&amp;"."&amp;D17)</f>
        <v>* group[=].element[=].target.code = #Composition.section:sectionPregnancyHx.entry:pregnancyStatus.valueCodeabelConcept</v>
      </c>
      <c r="L17" s="14" t="str">
        <f t="shared" ref="L17:L24" si="11">IF(F17="unmatched","//-- unmatched","* group[=].element[=].target.display = ##34#"&amp;E17&amp;"##34#")</f>
        <v>* group[=].element[=].target.display = ##34###34#</v>
      </c>
      <c r="M17" s="14" t="str">
        <f t="shared" ref="M17:M24" si="12">"* group[=].element[=].target.equivalence = #"&amp;F17</f>
        <v>* group[=].element[=].target.equivalence = #equivalent</v>
      </c>
      <c r="N17" s="14" t="str">
        <f t="shared" ref="N17:N24" si="13">IF(G17&lt;&gt;"",CONCATENATE("* group[=].element[=].target.comment = ","##34#",G17,"##34#"),"")</f>
        <v/>
      </c>
      <c r="P17" s="9">
        <v>3</v>
      </c>
      <c r="Q17" s="9">
        <f t="shared" si="6"/>
        <v>0</v>
      </c>
      <c r="R17" s="9">
        <f t="shared" si="7"/>
        <v>3</v>
      </c>
      <c r="S17" s="14" t="str" cm="1">
        <f t="array" ref="S17">INDEX('Pregnancy-ConceptMap-1'!$I$15:$N$126,Q17+1,R17)</f>
        <v>* group[=].element[=].target.code = #Composition.section:sectionPregnancyHx.entry:pregnancyStatus</v>
      </c>
    </row>
    <row r="18" spans="1:19" ht="137.5" customHeight="1" x14ac:dyDescent="0.75">
      <c r="A18" s="22"/>
      <c r="B18" s="9" t="str">
        <f>'A.2.3.3 Pregnancy'!B11</f>
        <v>pregnancyStatus.deliveryDate</v>
      </c>
      <c r="C18" s="9" t="str">
        <f>'A.2.3.3 Pregnancy'!C11</f>
        <v>A.2.6.1.3 Expected date of delivery</v>
      </c>
      <c r="D18" s="14" t="s">
        <v>1279</v>
      </c>
      <c r="E18" s="9"/>
      <c r="F18" s="63" t="s">
        <v>192</v>
      </c>
      <c r="G18" s="14" t="s">
        <v>1280</v>
      </c>
      <c r="H18" s="64"/>
      <c r="I18" s="14" t="str">
        <f t="shared" si="8"/>
        <v>* group[=].element[+].code = #Pregnancy.pregnancyStatus.deliveryDate</v>
      </c>
      <c r="J18" s="14" t="str">
        <f t="shared" si="9"/>
        <v>* group[=].element[=].display = ##34#A.2.6.1.3 Expected date of delivery##34#</v>
      </c>
      <c r="K18" s="14" t="str">
        <f t="shared" si="10"/>
        <v>* group[=].element[=].target.code = #Composition.section:sectionPregnancyHx.entry:pregnancyStatus.hasMember.valueDateTime</v>
      </c>
      <c r="L18" s="14" t="str">
        <f t="shared" si="11"/>
        <v>* group[=].element[=].target.display = ##34###34#</v>
      </c>
      <c r="M18" s="14" t="str">
        <f t="shared" si="12"/>
        <v>* group[=].element[=].target.equivalence = #equivalent</v>
      </c>
      <c r="N18" s="14" t="str">
        <f t="shared" si="13"/>
        <v>* group[=].element[=].target.comment = ##34#where section:sectionPregnancyHx.entry:pregnancyStatus.hasMember.code IN PregnancyExpectedDeliveryDateMethodUvIps value set##34#</v>
      </c>
      <c r="P18" s="9">
        <v>4</v>
      </c>
      <c r="Q18" s="9">
        <f t="shared" si="6"/>
        <v>0</v>
      </c>
      <c r="R18" s="9">
        <f t="shared" si="7"/>
        <v>4</v>
      </c>
      <c r="S18" s="14" t="str" cm="1">
        <f t="array" ref="S18">INDEX('Pregnancy-ConceptMap-1'!$I$15:$N$126,Q18+1,R18)</f>
        <v>* group[=].element[=].target.display = ##34###34#</v>
      </c>
    </row>
    <row r="19" spans="1:19" ht="88.5" x14ac:dyDescent="0.75">
      <c r="A19" s="22"/>
      <c r="B19" s="9" t="str">
        <f>'A.2.3.3 Pregnancy'!B12</f>
        <v>hxPreviousPregnancies</v>
      </c>
      <c r="C19" s="9" t="str">
        <f>'A.2.3.3 Pregnancy'!C12</f>
        <v>A.2.6.2 History of previous pregnancies</v>
      </c>
      <c r="D19" s="14" t="s">
        <v>1281</v>
      </c>
      <c r="E19" s="9"/>
      <c r="F19" s="63" t="s">
        <v>193</v>
      </c>
      <c r="G19" s="14"/>
      <c r="H19" s="64"/>
      <c r="I19" s="14" t="str">
        <f t="shared" si="8"/>
        <v>* group[=].element[+].code = #Pregnancy.hxPreviousPregnancies</v>
      </c>
      <c r="J19" s="14" t="str">
        <f t="shared" si="9"/>
        <v>* group[=].element[=].display = ##34#A.2.6.2 History of previous pregnancies##34#</v>
      </c>
      <c r="K19" s="14" t="str">
        <f t="shared" si="10"/>
        <v xml:space="preserve">* group[=].element[=].target.code = #Composition.section:sectionPregnancyHx.entry:pregnancyOutcomeSummary	</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INDEX('Pregnancy-ConceptMap-1'!$I$15:$N$126,Q19+1,R19)</f>
        <v>* group[=].element[=].target.equivalence = #relatedto</v>
      </c>
    </row>
    <row r="20" spans="1:19" ht="73.75" x14ac:dyDescent="0.75">
      <c r="A20" s="22"/>
      <c r="B20" s="9" t="str">
        <f>'A.2.3.3 Pregnancy'!B13</f>
        <v>hxPreviousPregnancies.status</v>
      </c>
      <c r="C20" s="9" t="str">
        <f>'A.2.3.3 Pregnancy'!C13</f>
        <v>A.2.6.2.1 Previous pregnancies status</v>
      </c>
      <c r="D20" s="14" t="s">
        <v>1282</v>
      </c>
      <c r="E20" s="9"/>
      <c r="F20" s="63" t="s">
        <v>193</v>
      </c>
      <c r="G20" s="4" t="s">
        <v>1283</v>
      </c>
      <c r="H20" s="64"/>
      <c r="I20" s="14" t="str">
        <f t="shared" si="8"/>
        <v>* group[=].element[+].code = #Pregnancy.hxPreviousPregnancies.status</v>
      </c>
      <c r="J20" s="14" t="str">
        <f t="shared" si="9"/>
        <v>* group[=].element[=].display = ##34#A.2.6.2.1 Previous pregnancies status##34#</v>
      </c>
      <c r="K20" s="14" t="str">
        <f t="shared" si="10"/>
        <v>* group[=].element[=].target.code = #Composition.section:sectionPregnancyHx.entry</v>
      </c>
      <c r="L20" s="14" t="str">
        <f t="shared" si="11"/>
        <v>* group[=].element[=].target.display = ##34###34#</v>
      </c>
      <c r="M20" s="14" t="str">
        <f t="shared" si="12"/>
        <v>* group[=].element[=].target.equivalence = #relatedto</v>
      </c>
      <c r="N20" s="14" t="str">
        <f t="shared" si="13"/>
        <v>* group[=].element[=].target.comment = ##34#Observation profile to be added##34#</v>
      </c>
      <c r="P20" s="9">
        <v>6</v>
      </c>
      <c r="Q20" s="9">
        <f t="shared" si="6"/>
        <v>0</v>
      </c>
      <c r="R20" s="9">
        <f t="shared" si="7"/>
        <v>6</v>
      </c>
      <c r="S20" s="14" t="str" cm="1">
        <f t="array" ref="S20">INDEX('Pregnancy-ConceptMap-1'!$I$15:$N$126,Q20+1,R20)</f>
        <v/>
      </c>
    </row>
    <row r="21" spans="1:19" ht="88.5" x14ac:dyDescent="0.75">
      <c r="A21" s="22"/>
      <c r="B21" s="9" t="str">
        <f>'A.2.3.3 Pregnancy'!B14</f>
        <v>hxPreviousPregnancies.description</v>
      </c>
      <c r="C21" s="9" t="str">
        <f>'A.2.3.3 Pregnancy'!C14</f>
        <v>A.2.6.2.2 Previous pregnancies description</v>
      </c>
      <c r="D21" s="14" t="s">
        <v>1281</v>
      </c>
      <c r="E21" s="9"/>
      <c r="F21" s="63" t="s">
        <v>193</v>
      </c>
      <c r="G21" s="70"/>
      <c r="H21" s="64"/>
      <c r="I21" s="14" t="str">
        <f t="shared" si="8"/>
        <v>* group[=].element[+].code = #Pregnancy.hxPreviousPregnancies.description</v>
      </c>
      <c r="J21" s="14" t="str">
        <f t="shared" si="9"/>
        <v>* group[=].element[=].display = ##34#A.2.6.2.2 Previous pregnancies description##34#</v>
      </c>
      <c r="K21" s="14" t="str">
        <f t="shared" si="10"/>
        <v xml:space="preserve">* group[=].element[=].target.code = #Composition.section:sectionPregnancyHx.entry:pregnancyOutcomeSummary	</v>
      </c>
      <c r="L21" s="14" t="str">
        <f t="shared" si="11"/>
        <v>* group[=].element[=].target.display = ##34###34#</v>
      </c>
      <c r="M21" s="14" t="str">
        <f t="shared" si="12"/>
        <v>* group[=].element[=].target.equivalence = #relatedto</v>
      </c>
      <c r="N21" s="14" t="str">
        <f t="shared" si="13"/>
        <v/>
      </c>
      <c r="P21" s="9">
        <v>7</v>
      </c>
      <c r="Q21" s="9">
        <f t="shared" si="6"/>
        <v>1</v>
      </c>
      <c r="R21" s="9">
        <f t="shared" si="7"/>
        <v>1</v>
      </c>
      <c r="S21" s="14" t="str" cm="1">
        <f t="array" ref="S21">INDEX('Pregnancy-ConceptMap-1'!$I$15:$N$126,Q21+1,R21)</f>
        <v>* group[=].element[+].code = #Pregnancy.pregnancyStatus.dateOfObservation</v>
      </c>
    </row>
    <row r="22" spans="1:19" ht="88.5" x14ac:dyDescent="0.75">
      <c r="A22" s="22"/>
      <c r="B22" s="9" t="str">
        <f>'A.2.3.3 Pregnancy'!B15</f>
        <v>hxPreviousPregnancies.description.outcomeDate</v>
      </c>
      <c r="C22" s="9" t="str">
        <f>'A.2.3.3 Pregnancy'!C15</f>
        <v>A.2.6.2.2.1 Outcome date</v>
      </c>
      <c r="D22" s="14" t="s">
        <v>1284</v>
      </c>
      <c r="E22" s="9"/>
      <c r="F22" s="63" t="s">
        <v>192</v>
      </c>
      <c r="G22" s="70"/>
      <c r="H22" s="64"/>
      <c r="I22" s="14" t="str">
        <f t="shared" si="8"/>
        <v>* group[=].element[+].code = #Pregnancy.hxPreviousPregnancies.description.outcomeDate</v>
      </c>
      <c r="J22" s="14" t="str">
        <f t="shared" si="9"/>
        <v>* group[=].element[=].display = ##34#A.2.6.2.2.1 Outcome date##34#</v>
      </c>
      <c r="K22" s="14" t="str">
        <f t="shared" si="10"/>
        <v>* group[=].element[=].target.code = #Composition.section:sectionPregnancyHx.entry:pregnancyOutcomeSummary.effectiveDateTime</v>
      </c>
      <c r="L22" s="14" t="str">
        <f t="shared" si="11"/>
        <v>* group[=].element[=].target.display = ##34###34#</v>
      </c>
      <c r="M22" s="14" t="str">
        <f t="shared" si="12"/>
        <v>* group[=].element[=].target.equivalence = #equivalent</v>
      </c>
      <c r="N22" s="14" t="str">
        <f t="shared" si="13"/>
        <v/>
      </c>
      <c r="P22" s="9">
        <v>8</v>
      </c>
      <c r="Q22" s="9">
        <f t="shared" si="6"/>
        <v>1</v>
      </c>
      <c r="R22" s="9">
        <f t="shared" si="7"/>
        <v>2</v>
      </c>
      <c r="S22" s="14" t="str" cm="1">
        <f t="array" ref="S22">INDEX('Pregnancy-ConceptMap-1'!$I$15:$N$126,Q22+1,R22)</f>
        <v>* group[=].element[=].display = ##34#A.2.6.1.1 Date of observation##34#</v>
      </c>
    </row>
    <row r="23" spans="1:19" ht="88.5" x14ac:dyDescent="0.75">
      <c r="A23" s="22"/>
      <c r="B23" s="9" t="str">
        <f>'A.2.3.3 Pregnancy'!B16</f>
        <v>hxPreviousPregnancies.description.outcome</v>
      </c>
      <c r="C23" s="9" t="str">
        <f>'A.2.3.3 Pregnancy'!C16</f>
        <v>A.2.6.2.2.2 Outcome</v>
      </c>
      <c r="D23" s="14" t="s">
        <v>1285</v>
      </c>
      <c r="E23" s="9"/>
      <c r="F23" s="63" t="s">
        <v>192</v>
      </c>
      <c r="G23" s="79" t="s">
        <v>1286</v>
      </c>
      <c r="H23" s="64"/>
      <c r="I23" s="14" t="str">
        <f t="shared" si="8"/>
        <v>* group[=].element[+].code = #Pregnancy.hxPreviousPregnancies.description.outcome</v>
      </c>
      <c r="J23" s="14" t="str">
        <f t="shared" si="9"/>
        <v>* group[=].element[=].display = ##34#A.2.6.2.2.2 Outcome##34#</v>
      </c>
      <c r="K23" s="14" t="str">
        <f t="shared" si="10"/>
        <v>* group[=].element[=].target.code = #Composition.section:sectionPregnancyHx.entry:pregnancyOutcomeSummary.code</v>
      </c>
      <c r="L23" s="14" t="str">
        <f t="shared" si="11"/>
        <v>* group[=].element[=].target.display = ##34###34#</v>
      </c>
      <c r="M23" s="14" t="str">
        <f t="shared" si="12"/>
        <v>* group[=].element[=].target.equivalence = #equivalent</v>
      </c>
      <c r="N23" s="14" t="str">
        <f t="shared" si="13"/>
        <v>* group[=].element[=].target.comment = ##34#to be checked##34#</v>
      </c>
      <c r="P23" s="9">
        <v>9</v>
      </c>
      <c r="Q23" s="9">
        <f t="shared" si="6"/>
        <v>1</v>
      </c>
      <c r="R23" s="9">
        <f t="shared" si="7"/>
        <v>3</v>
      </c>
      <c r="S23" s="14" t="str" cm="1">
        <f t="array" ref="S23">INDEX('Pregnancy-ConceptMap-1'!$I$15:$N$126,Q23+1,R23)</f>
        <v>* group[=].element[=].target.code = #Composition.section:sectionPregnancyHx.entry:pregnancyStatus.effectiveDateTime</v>
      </c>
    </row>
    <row r="24" spans="1:19" ht="88.5" x14ac:dyDescent="0.75">
      <c r="A24" s="22"/>
      <c r="B24" s="9" t="str">
        <f>'A.2.3.3 Pregnancy'!B17</f>
        <v>hxPreviousPregnancies.description.numberOfChildren</v>
      </c>
      <c r="C24" s="9" t="str">
        <f>'A.2.3.3 Pregnancy'!C17</f>
        <v>A.2.6.2.2.3 Number of children</v>
      </c>
      <c r="D24" s="14" t="s">
        <v>1287</v>
      </c>
      <c r="E24" s="14"/>
      <c r="F24" s="63" t="s">
        <v>192</v>
      </c>
      <c r="G24" s="70"/>
      <c r="H24" s="64"/>
      <c r="I24" s="14" t="str">
        <f t="shared" si="8"/>
        <v>* group[=].element[+].code = #Pregnancy.hxPreviousPregnancies.description.numberOfChildren</v>
      </c>
      <c r="J24" s="14" t="str">
        <f t="shared" si="9"/>
        <v>* group[=].element[=].display = ##34#A.2.6.2.2.3 Number of children##34#</v>
      </c>
      <c r="K24" s="14" t="str">
        <f t="shared" si="10"/>
        <v>* group[=].element[=].target.code = #Composition.section:sectionPregnancyHx.entry:pregnancyOutcomeSummary.valueQuentity</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INDEX('Pregnancy-ConceptMap-1'!$I$15:$N$126,Q24+1,R24)</f>
        <v>* group[=].element[=].target.display = ##34###34#</v>
      </c>
    </row>
    <row r="25" spans="1:19" x14ac:dyDescent="0.75">
      <c r="A25" s="22"/>
      <c r="B25" s="22"/>
      <c r="C25" s="22"/>
      <c r="D25" s="22"/>
      <c r="E25" s="14"/>
      <c r="F25" s="63"/>
      <c r="G25" s="70"/>
      <c r="H25" s="64"/>
      <c r="I25" s="14"/>
      <c r="J25" s="14"/>
      <c r="K25" s="14"/>
      <c r="L25" s="14"/>
      <c r="M25" s="14"/>
      <c r="N25" s="14"/>
      <c r="P25" s="9">
        <v>11</v>
      </c>
      <c r="Q25" s="9">
        <f t="shared" si="6"/>
        <v>1</v>
      </c>
      <c r="R25" s="9">
        <f t="shared" si="7"/>
        <v>5</v>
      </c>
      <c r="S25" s="14" t="str" cm="1">
        <f t="array" ref="S25">INDEX('Pregnancy-ConceptMap-1'!$I$15:$N$126,Q25+1,R25)</f>
        <v>* group[=].element[=].target.equivalence = #equivalent</v>
      </c>
    </row>
    <row r="26" spans="1:19" x14ac:dyDescent="0.75">
      <c r="D26"/>
      <c r="E26" s="14"/>
      <c r="F26" s="63"/>
      <c r="G26" s="70"/>
      <c r="H26" s="64"/>
      <c r="I26" s="14"/>
      <c r="J26" s="14"/>
      <c r="K26" s="14"/>
      <c r="L26" s="14"/>
      <c r="M26" s="14"/>
      <c r="N26" s="14"/>
      <c r="P26" s="9">
        <v>12</v>
      </c>
      <c r="Q26" s="9">
        <f t="shared" si="6"/>
        <v>1</v>
      </c>
      <c r="R26" s="9">
        <f t="shared" si="7"/>
        <v>6</v>
      </c>
      <c r="S26" s="14" t="str" cm="1">
        <f t="array" ref="S26">INDEX('Pregnancy-ConceptMap-1'!$I$15:$N$126,Q26+1,R26)</f>
        <v/>
      </c>
    </row>
    <row r="27" spans="1:19" x14ac:dyDescent="0.75">
      <c r="D27"/>
      <c r="E27" s="14"/>
      <c r="F27" s="63"/>
      <c r="G27" s="70"/>
      <c r="H27" s="64"/>
      <c r="I27" s="14"/>
      <c r="J27" s="14"/>
      <c r="K27" s="14"/>
      <c r="L27" s="14"/>
      <c r="M27" s="14"/>
      <c r="N27" s="14" t="str">
        <f t="shared" si="4"/>
        <v/>
      </c>
      <c r="P27" s="9">
        <v>13</v>
      </c>
      <c r="Q27" s="9">
        <f t="shared" si="6"/>
        <v>2</v>
      </c>
      <c r="R27" s="9">
        <f t="shared" si="7"/>
        <v>1</v>
      </c>
      <c r="S27" s="14" t="str" cm="1">
        <f t="array" ref="S27">INDEX('Pregnancy-ConceptMap-1'!$I$15:$N$126,Q27+1,R27)</f>
        <v>* group[=].element[+].code = #Pregnancy.pregnancyStatus.status</v>
      </c>
    </row>
    <row r="28" spans="1:19" x14ac:dyDescent="0.75">
      <c r="B28" s="9"/>
      <c r="C28" s="9"/>
      <c r="D28" s="14"/>
      <c r="E28" s="14"/>
      <c r="F28" s="63"/>
      <c r="G28" s="70"/>
      <c r="H28" s="64"/>
      <c r="I28" s="14"/>
      <c r="J28" s="14"/>
      <c r="K28" s="14"/>
      <c r="L28" s="14"/>
      <c r="M28" s="14"/>
      <c r="N28" s="14" t="str">
        <f t="shared" si="4"/>
        <v/>
      </c>
      <c r="P28" s="9">
        <v>14</v>
      </c>
      <c r="Q28" s="9">
        <f t="shared" si="6"/>
        <v>2</v>
      </c>
      <c r="R28" s="9">
        <f t="shared" si="7"/>
        <v>2</v>
      </c>
      <c r="S28" s="14" t="str" cm="1">
        <f t="array" ref="S28">INDEX('Pregnancy-ConceptMap-1'!$I$15:$N$126,Q28+1,R28)</f>
        <v>* group[=].element[=].display = ##34#A.2.6.1.2 Status##34#</v>
      </c>
    </row>
    <row r="29" spans="1:19" ht="44.25" x14ac:dyDescent="0.75">
      <c r="B29" s="9"/>
      <c r="C29" s="9"/>
      <c r="D29" s="14"/>
      <c r="E29" s="14"/>
      <c r="F29" s="63"/>
      <c r="G29" s="70"/>
      <c r="H29" s="64"/>
      <c r="I29" s="14"/>
      <c r="J29" s="14"/>
      <c r="K29" s="14"/>
      <c r="L29" s="14"/>
      <c r="M29" s="14"/>
      <c r="N29" s="14" t="str">
        <f t="shared" si="4"/>
        <v/>
      </c>
      <c r="P29" s="9">
        <v>15</v>
      </c>
      <c r="Q29" s="9">
        <f t="shared" si="6"/>
        <v>2</v>
      </c>
      <c r="R29" s="9">
        <f t="shared" si="7"/>
        <v>3</v>
      </c>
      <c r="S29" s="14" t="str" cm="1">
        <f t="array" ref="S29">INDEX('Pregnancy-ConceptMap-1'!$I$15:$N$126,Q29+1,R29)</f>
        <v>* group[=].element[=].target.code = #Composition.section:sectionPregnancyHx.entry:pregnancyStatus.valueCodeabelConcept</v>
      </c>
    </row>
    <row r="30" spans="1:19" x14ac:dyDescent="0.75">
      <c r="B30" s="9"/>
      <c r="C30" s="9"/>
      <c r="D30" s="14"/>
      <c r="E30" s="14"/>
      <c r="F30" s="63"/>
      <c r="G30" s="70"/>
      <c r="H30" s="64"/>
      <c r="I30" s="14"/>
      <c r="J30" s="14"/>
      <c r="K30" s="14"/>
      <c r="L30" s="14"/>
      <c r="M30" s="14"/>
      <c r="N30" s="14" t="str">
        <f t="shared" si="4"/>
        <v/>
      </c>
      <c r="P30" s="9">
        <v>16</v>
      </c>
      <c r="Q30" s="9">
        <f t="shared" si="6"/>
        <v>2</v>
      </c>
      <c r="R30" s="9">
        <f t="shared" si="7"/>
        <v>4</v>
      </c>
      <c r="S30" s="14" t="str" cm="1">
        <f t="array" ref="S30">INDEX('Pregnancy-ConceptMap-1'!$I$15:$N$126,Q30+1,R30)</f>
        <v>* group[=].element[=].target.display = ##34###34#</v>
      </c>
    </row>
    <row r="31" spans="1:19" x14ac:dyDescent="0.75">
      <c r="B31" s="9"/>
      <c r="C31" s="9"/>
      <c r="D31" s="14"/>
      <c r="E31" s="14"/>
      <c r="F31" s="63"/>
      <c r="G31" s="70"/>
      <c r="H31" s="64"/>
      <c r="I31" s="14"/>
      <c r="J31" s="14"/>
      <c r="K31" s="14"/>
      <c r="L31" s="14"/>
      <c r="M31" s="14"/>
      <c r="N31" s="14" t="str">
        <f t="shared" si="4"/>
        <v/>
      </c>
      <c r="P31" s="9">
        <v>17</v>
      </c>
      <c r="Q31" s="9">
        <f t="shared" si="6"/>
        <v>2</v>
      </c>
      <c r="R31" s="9">
        <f t="shared" si="7"/>
        <v>5</v>
      </c>
      <c r="S31" s="14" t="str" cm="1">
        <f t="array" ref="S31">INDEX('Pregnancy-ConceptMap-1'!$I$15:$N$126,Q31+1,R31)</f>
        <v>* group[=].element[=].target.equivalence = #equivalent</v>
      </c>
    </row>
    <row r="32" spans="1:19" x14ac:dyDescent="0.75">
      <c r="B32" s="9"/>
      <c r="C32" s="9"/>
      <c r="D32" s="14"/>
      <c r="E32" s="14"/>
      <c r="F32" s="63"/>
      <c r="G32" s="70"/>
      <c r="H32" s="64"/>
      <c r="I32" s="14"/>
      <c r="J32" s="14"/>
      <c r="K32" s="14"/>
      <c r="L32" s="14"/>
      <c r="M32" s="14"/>
      <c r="N32" s="14" t="str">
        <f t="shared" si="4"/>
        <v/>
      </c>
      <c r="P32" s="9">
        <v>18</v>
      </c>
      <c r="Q32" s="9">
        <f t="shared" si="6"/>
        <v>2</v>
      </c>
      <c r="R32" s="9">
        <f t="shared" si="7"/>
        <v>6</v>
      </c>
      <c r="S32" s="14" t="str" cm="1">
        <f t="array" ref="S32">INDEX('Pregnancy-ConceptMap-1'!$I$15:$N$126,Q32+1,R32)</f>
        <v/>
      </c>
    </row>
    <row r="33" spans="1:20" x14ac:dyDescent="0.75">
      <c r="B33" s="9"/>
      <c r="C33" s="9"/>
      <c r="D33" s="14"/>
      <c r="E33" s="14"/>
      <c r="F33" s="63"/>
      <c r="G33" s="70"/>
      <c r="H33" s="64"/>
      <c r="I33" s="14"/>
      <c r="J33" s="14"/>
      <c r="K33" s="14"/>
      <c r="L33" s="14"/>
      <c r="M33" s="14"/>
      <c r="N33" s="14" t="str">
        <f t="shared" si="4"/>
        <v/>
      </c>
      <c r="P33" s="9">
        <v>19</v>
      </c>
      <c r="Q33" s="9">
        <f t="shared" si="6"/>
        <v>3</v>
      </c>
      <c r="R33" s="9">
        <f t="shared" si="7"/>
        <v>1</v>
      </c>
      <c r="S33" s="14" t="str" cm="1">
        <f t="array" ref="S33">INDEX('Pregnancy-ConceptMap-1'!$I$15:$N$126,Q33+1,R33)</f>
        <v>* group[=].element[+].code = #Pregnancy.pregnancyStatus.deliveryDate</v>
      </c>
    </row>
    <row r="34" spans="1:20" x14ac:dyDescent="0.75">
      <c r="B34" s="9"/>
      <c r="C34" s="9"/>
      <c r="D34" s="14"/>
      <c r="E34" s="14"/>
      <c r="F34" s="63"/>
      <c r="G34" s="70"/>
      <c r="H34" s="64"/>
      <c r="I34" s="14"/>
      <c r="J34" s="14"/>
      <c r="K34" s="14"/>
      <c r="L34" s="14"/>
      <c r="M34" s="14"/>
      <c r="N34" s="14" t="str">
        <f t="shared" si="4"/>
        <v/>
      </c>
      <c r="P34" s="9">
        <v>20</v>
      </c>
      <c r="Q34" s="9">
        <f t="shared" si="6"/>
        <v>3</v>
      </c>
      <c r="R34" s="9">
        <f t="shared" si="7"/>
        <v>2</v>
      </c>
      <c r="S34" s="14" t="str" cm="1">
        <f t="array" ref="S34">INDEX('Pregnancy-ConceptMap-1'!$I$15:$N$126,Q34+1,R34)</f>
        <v>* group[=].element[=].display = ##34#A.2.6.1.3 Expected date of delivery##34#</v>
      </c>
    </row>
    <row r="35" spans="1:20" ht="44.25" x14ac:dyDescent="0.75">
      <c r="B35" s="9"/>
      <c r="C35" s="9"/>
      <c r="D35" s="14"/>
      <c r="E35" s="14"/>
      <c r="F35" s="63"/>
      <c r="G35" s="70"/>
      <c r="H35" s="64"/>
      <c r="I35" s="14"/>
      <c r="J35" s="14"/>
      <c r="K35" s="14"/>
      <c r="L35" s="14"/>
      <c r="M35" s="14"/>
      <c r="N35" s="14" t="str">
        <f t="shared" si="4"/>
        <v/>
      </c>
      <c r="P35" s="9">
        <v>21</v>
      </c>
      <c r="Q35" s="9">
        <f t="shared" si="6"/>
        <v>3</v>
      </c>
      <c r="R35" s="9">
        <f t="shared" si="7"/>
        <v>3</v>
      </c>
      <c r="S35" s="14" t="str" cm="1">
        <f t="array" ref="S35">INDEX('Pregnancy-ConceptMap-1'!$I$15:$N$126,Q35+1,R35)</f>
        <v>* group[=].element[=].target.code = #Composition.section:sectionPregnancyHx.entry:pregnancyStatus.hasMember.valueDateTime</v>
      </c>
    </row>
    <row r="36" spans="1:20" x14ac:dyDescent="0.75">
      <c r="B36" s="9"/>
      <c r="C36" s="9"/>
      <c r="D36" s="14"/>
      <c r="E36" s="14"/>
      <c r="F36" s="63"/>
      <c r="G36" s="70"/>
      <c r="H36" s="64"/>
      <c r="I36" s="14"/>
      <c r="J36" s="14"/>
      <c r="K36" s="14"/>
      <c r="L36" s="14"/>
      <c r="M36" s="14"/>
      <c r="N36" s="14" t="str">
        <f t="shared" si="4"/>
        <v/>
      </c>
      <c r="P36" s="9">
        <v>22</v>
      </c>
      <c r="Q36" s="9">
        <f t="shared" si="6"/>
        <v>3</v>
      </c>
      <c r="R36" s="9">
        <f t="shared" si="7"/>
        <v>4</v>
      </c>
      <c r="S36" s="14" t="str" cm="1">
        <f t="array" ref="S36">INDEX('Pregnancy-ConceptMap-1'!$I$15:$N$126,Q36+1,R36)</f>
        <v>* group[=].element[=].target.display = ##34###34#</v>
      </c>
    </row>
    <row r="37" spans="1:20" x14ac:dyDescent="0.75">
      <c r="B37" s="9"/>
      <c r="C37" s="9"/>
      <c r="D37" s="14"/>
      <c r="E37" s="14"/>
      <c r="F37" s="63"/>
      <c r="G37" s="70"/>
      <c r="H37" s="64"/>
      <c r="I37" s="14"/>
      <c r="J37" s="14"/>
      <c r="K37" s="14"/>
      <c r="L37" s="14"/>
      <c r="M37" s="14"/>
      <c r="N37" s="14" t="str">
        <f t="shared" si="4"/>
        <v/>
      </c>
      <c r="P37" s="9">
        <v>23</v>
      </c>
      <c r="Q37" s="9">
        <f t="shared" si="6"/>
        <v>3</v>
      </c>
      <c r="R37" s="9">
        <f t="shared" si="7"/>
        <v>5</v>
      </c>
      <c r="S37" s="14" t="str" cm="1">
        <f t="array" ref="S37">INDEX('Pregnancy-ConceptMap-1'!$I$15:$N$126,Q37+1,R37)</f>
        <v>* group[=].element[=].target.equivalence = #equivalent</v>
      </c>
    </row>
    <row r="38" spans="1:20" s="1" customFormat="1" ht="44.25" x14ac:dyDescent="0.75">
      <c r="A38"/>
      <c r="B38" s="9"/>
      <c r="C38" s="9"/>
      <c r="D38" s="14"/>
      <c r="E38" s="14"/>
      <c r="F38" s="63"/>
      <c r="G38" s="81"/>
      <c r="H38" s="64"/>
      <c r="I38" s="14"/>
      <c r="J38" s="14"/>
      <c r="K38" s="14"/>
      <c r="L38" s="14"/>
      <c r="M38" s="14"/>
      <c r="N38" s="14" t="str">
        <f t="shared" si="4"/>
        <v/>
      </c>
      <c r="P38" s="9">
        <v>24</v>
      </c>
      <c r="Q38" s="9">
        <f t="shared" si="6"/>
        <v>3</v>
      </c>
      <c r="R38" s="9">
        <f t="shared" si="7"/>
        <v>6</v>
      </c>
      <c r="S38" s="14" t="str" cm="1">
        <f t="array" ref="S38">INDEX('Pregnancy-ConceptMap-1'!$I$15:$N$126,Q38+1,R38)</f>
        <v>* group[=].element[=].target.comment = ##34#where section:sectionPregnancyHx.entry:pregnancyStatus.hasMember.code IN PregnancyExpectedDeliveryDateMethodUvIps value set##34#</v>
      </c>
      <c r="T38"/>
    </row>
    <row r="39" spans="1:20" s="1" customFormat="1" x14ac:dyDescent="0.75">
      <c r="A39"/>
      <c r="B39" s="9"/>
      <c r="C39" s="9"/>
      <c r="D39" s="52"/>
      <c r="F39" s="64"/>
      <c r="G39" s="81"/>
      <c r="H39" s="64"/>
      <c r="I39" s="14"/>
      <c r="J39" s="14"/>
      <c r="K39" s="14"/>
      <c r="L39" s="14"/>
      <c r="M39" s="14"/>
      <c r="N39" s="14" t="str">
        <f t="shared" si="4"/>
        <v/>
      </c>
      <c r="P39" s="9">
        <v>25</v>
      </c>
      <c r="Q39" s="9">
        <f t="shared" si="6"/>
        <v>4</v>
      </c>
      <c r="R39" s="9">
        <f t="shared" si="7"/>
        <v>1</v>
      </c>
      <c r="S39" s="14" t="str" cm="1">
        <f t="array" ref="S39">INDEX('Pregnancy-ConceptMap-1'!$I$15:$N$126,Q39+1,R39)</f>
        <v>* group[=].element[+].code = #Pregnancy.hxPreviousPregnancies</v>
      </c>
      <c r="T39"/>
    </row>
    <row r="40" spans="1:20" s="1" customFormat="1" x14ac:dyDescent="0.75">
      <c r="A40"/>
      <c r="B40" s="9"/>
      <c r="C40" s="9"/>
      <c r="F40" s="64"/>
      <c r="G40" s="81"/>
      <c r="H40" s="64"/>
      <c r="I40" s="14"/>
      <c r="J40" s="14"/>
      <c r="K40" s="14"/>
      <c r="L40" s="14"/>
      <c r="M40" s="14"/>
      <c r="N40" s="14" t="str">
        <f t="shared" si="4"/>
        <v/>
      </c>
      <c r="P40" s="9">
        <v>26</v>
      </c>
      <c r="Q40" s="9">
        <f t="shared" si="6"/>
        <v>4</v>
      </c>
      <c r="R40" s="9">
        <f t="shared" si="7"/>
        <v>2</v>
      </c>
      <c r="S40" s="14" t="str" cm="1">
        <f t="array" ref="S40">INDEX('Pregnancy-ConceptMap-1'!$I$15:$N$126,Q40+1,R40)</f>
        <v>* group[=].element[=].display = ##34#A.2.6.2 History of previous pregnancies##34#</v>
      </c>
      <c r="T40"/>
    </row>
    <row r="41" spans="1:20" s="1" customFormat="1" ht="29.5" x14ac:dyDescent="0.75">
      <c r="A41"/>
      <c r="B41" s="9"/>
      <c r="C41" s="9"/>
      <c r="F41" s="64"/>
      <c r="G41" s="81"/>
      <c r="H41" s="64"/>
      <c r="I41" s="14"/>
      <c r="J41" s="14"/>
      <c r="K41" s="14"/>
      <c r="L41" s="14"/>
      <c r="M41" s="14"/>
      <c r="N41" s="14" t="str">
        <f t="shared" si="4"/>
        <v/>
      </c>
      <c r="P41" s="9">
        <v>27</v>
      </c>
      <c r="Q41" s="9">
        <f t="shared" si="6"/>
        <v>4</v>
      </c>
      <c r="R41" s="9">
        <f t="shared" si="7"/>
        <v>3</v>
      </c>
      <c r="S41" s="14" t="str" cm="1">
        <f t="array" ref="S41">INDEX('Pregnancy-ConceptMap-1'!$I$15:$N$126,Q41+1,R41)</f>
        <v xml:space="preserve">* group[=].element[=].target.code = #Composition.section:sectionPregnancyHx.entry:pregnancyOutcomeSummary	</v>
      </c>
      <c r="T41"/>
    </row>
    <row r="42" spans="1:20" s="1" customFormat="1" x14ac:dyDescent="0.75">
      <c r="A42"/>
      <c r="B42" s="9"/>
      <c r="C42" s="9"/>
      <c r="F42" s="64"/>
      <c r="G42" s="81"/>
      <c r="H42" s="64"/>
      <c r="I42" s="14"/>
      <c r="J42" s="14"/>
      <c r="K42" s="14"/>
      <c r="L42" s="14"/>
      <c r="M42" s="14"/>
      <c r="N42" s="14" t="str">
        <f t="shared" si="4"/>
        <v/>
      </c>
      <c r="P42" s="9">
        <v>28</v>
      </c>
      <c r="Q42" s="9">
        <f t="shared" si="6"/>
        <v>4</v>
      </c>
      <c r="R42" s="9">
        <f t="shared" si="7"/>
        <v>4</v>
      </c>
      <c r="S42" s="14" t="str" cm="1">
        <f t="array" ref="S42">INDEX('Pregnancy-ConceptMap-1'!$I$15:$N$126,Q42+1,R42)</f>
        <v>* group[=].element[=].target.display = ##34###34#</v>
      </c>
      <c r="T42"/>
    </row>
    <row r="43" spans="1:20" s="1" customFormat="1" x14ac:dyDescent="0.75">
      <c r="A43"/>
      <c r="B43" s="9"/>
      <c r="C43" s="9"/>
      <c r="F43" s="64"/>
      <c r="G43" s="81"/>
      <c r="H43" s="64"/>
      <c r="I43" s="14"/>
      <c r="J43" s="14"/>
      <c r="K43" s="14"/>
      <c r="L43" s="14"/>
      <c r="M43" s="14"/>
      <c r="N43" s="14" t="str">
        <f t="shared" si="4"/>
        <v/>
      </c>
      <c r="P43" s="9">
        <v>29</v>
      </c>
      <c r="Q43" s="9">
        <f t="shared" si="6"/>
        <v>4</v>
      </c>
      <c r="R43" s="9">
        <f t="shared" si="7"/>
        <v>5</v>
      </c>
      <c r="S43" s="14" t="str" cm="1">
        <f t="array" ref="S43">INDEX('Pregnancy-ConceptMap-1'!$I$15:$N$126,Q43+1,R43)</f>
        <v>* group[=].element[=].target.equivalence = #relatedto</v>
      </c>
      <c r="T43"/>
    </row>
    <row r="44" spans="1:20" s="1" customFormat="1" x14ac:dyDescent="0.75">
      <c r="A44"/>
      <c r="B44" s="9"/>
      <c r="C44" s="9"/>
      <c r="F44" s="64"/>
      <c r="G44" s="81"/>
      <c r="H44" s="64"/>
      <c r="I44" s="14"/>
      <c r="J44" s="14"/>
      <c r="K44" s="14"/>
      <c r="L44" s="14"/>
      <c r="M44" s="14"/>
      <c r="N44" s="14" t="str">
        <f t="shared" si="4"/>
        <v/>
      </c>
      <c r="P44" s="9">
        <v>30</v>
      </c>
      <c r="Q44" s="9">
        <f t="shared" si="6"/>
        <v>4</v>
      </c>
      <c r="R44" s="9">
        <f t="shared" si="7"/>
        <v>6</v>
      </c>
      <c r="S44" s="14" t="str" cm="1">
        <f t="array" ref="S44">INDEX('Pregnancy-ConceptMap-1'!$I$15:$N$126,Q44+1,R44)</f>
        <v/>
      </c>
      <c r="T44"/>
    </row>
    <row r="45" spans="1:20" s="1" customFormat="1" x14ac:dyDescent="0.75">
      <c r="A45"/>
      <c r="B45" s="9"/>
      <c r="C45"/>
      <c r="F45" s="64"/>
      <c r="G45" s="81"/>
      <c r="H45" s="64"/>
      <c r="I45" s="14"/>
      <c r="J45" s="14"/>
      <c r="K45" s="14"/>
      <c r="L45" s="14"/>
      <c r="M45" s="14"/>
      <c r="N45" s="14" t="str">
        <f t="shared" si="4"/>
        <v/>
      </c>
      <c r="P45" s="9">
        <v>31</v>
      </c>
      <c r="Q45" s="9">
        <f t="shared" si="6"/>
        <v>5</v>
      </c>
      <c r="R45" s="9">
        <f t="shared" si="7"/>
        <v>1</v>
      </c>
      <c r="S45" s="14" t="str" cm="1">
        <f t="array" ref="S45">INDEX('Pregnancy-ConceptMap-1'!$I$15:$N$126,Q45+1,R45)</f>
        <v>* group[=].element[+].code = #Pregnancy.hxPreviousPregnancies.status</v>
      </c>
      <c r="T45"/>
    </row>
    <row r="46" spans="1:20" s="1" customFormat="1" x14ac:dyDescent="0.75">
      <c r="A46"/>
      <c r="B46" s="9"/>
      <c r="C46"/>
      <c r="F46" s="64"/>
      <c r="G46" s="81"/>
      <c r="H46" s="64"/>
      <c r="I46" s="14"/>
      <c r="J46" s="14"/>
      <c r="K46" s="14"/>
      <c r="L46" s="14"/>
      <c r="M46" s="14"/>
      <c r="N46" s="14" t="str">
        <f t="shared" si="4"/>
        <v/>
      </c>
      <c r="P46" s="9">
        <v>32</v>
      </c>
      <c r="Q46" s="9">
        <f t="shared" si="6"/>
        <v>5</v>
      </c>
      <c r="R46" s="9">
        <f t="shared" si="7"/>
        <v>2</v>
      </c>
      <c r="S46" s="14" t="str" cm="1">
        <f t="array" ref="S46">INDEX('Pregnancy-ConceptMap-1'!$I$15:$N$126,Q46+1,R46)</f>
        <v>* group[=].element[=].display = ##34#A.2.6.2.1 Previous pregnancies status##34#</v>
      </c>
      <c r="T46"/>
    </row>
    <row r="47" spans="1:20" x14ac:dyDescent="0.75">
      <c r="P47" s="9">
        <v>33</v>
      </c>
      <c r="Q47" s="9">
        <f t="shared" si="6"/>
        <v>5</v>
      </c>
      <c r="R47" s="9">
        <f t="shared" si="7"/>
        <v>3</v>
      </c>
      <c r="S47" s="14" t="str" cm="1">
        <f t="array" ref="S47">INDEX('Pregnancy-ConceptMap-1'!$I$15:$N$126,Q47+1,R47)</f>
        <v>* group[=].element[=].target.code = #Composition.section:sectionPregnancyHx.entry</v>
      </c>
    </row>
    <row r="48" spans="1:20" x14ac:dyDescent="0.75">
      <c r="P48" s="9">
        <v>34</v>
      </c>
      <c r="Q48" s="9">
        <f t="shared" si="6"/>
        <v>5</v>
      </c>
      <c r="R48" s="9">
        <f t="shared" si="7"/>
        <v>4</v>
      </c>
      <c r="S48" s="14" t="str" cm="1">
        <f t="array" ref="S48">INDEX('Pregnancy-ConceptMap-1'!$I$15:$N$126,Q48+1,R48)</f>
        <v>* group[=].element[=].target.display = ##34###34#</v>
      </c>
    </row>
    <row r="49" spans="16:19" x14ac:dyDescent="0.75">
      <c r="P49" s="9">
        <v>35</v>
      </c>
      <c r="Q49" s="9">
        <f t="shared" si="6"/>
        <v>5</v>
      </c>
      <c r="R49" s="9">
        <f t="shared" si="7"/>
        <v>5</v>
      </c>
      <c r="S49" s="14" t="str" cm="1">
        <f t="array" ref="S49">INDEX('Pregnancy-ConceptMap-1'!$I$15:$N$126,Q49+1,R49)</f>
        <v>* group[=].element[=].target.equivalence = #relatedto</v>
      </c>
    </row>
    <row r="50" spans="16:19" x14ac:dyDescent="0.75">
      <c r="P50" s="9">
        <v>36</v>
      </c>
      <c r="Q50" s="9">
        <f t="shared" si="6"/>
        <v>5</v>
      </c>
      <c r="R50" s="9">
        <f t="shared" si="7"/>
        <v>6</v>
      </c>
      <c r="S50" s="14" t="str" cm="1">
        <f t="array" ref="S50">INDEX('Pregnancy-ConceptMap-1'!$I$15:$N$126,Q50+1,R50)</f>
        <v>* group[=].element[=].target.comment = ##34#Observation profile to be added##34#</v>
      </c>
    </row>
    <row r="51" spans="16:19" x14ac:dyDescent="0.75">
      <c r="P51" s="9">
        <v>37</v>
      </c>
      <c r="Q51" s="9">
        <f t="shared" si="6"/>
        <v>6</v>
      </c>
      <c r="R51" s="9">
        <f t="shared" si="7"/>
        <v>1</v>
      </c>
      <c r="S51" s="14" t="str" cm="1">
        <f t="array" ref="S51">INDEX('Pregnancy-ConceptMap-1'!$I$15:$N$126,Q51+1,R51)</f>
        <v>* group[=].element[+].code = #Pregnancy.hxPreviousPregnancies.description</v>
      </c>
    </row>
    <row r="52" spans="16:19" ht="29.5" x14ac:dyDescent="0.75">
      <c r="P52" s="9">
        <v>38</v>
      </c>
      <c r="Q52" s="9">
        <f t="shared" si="6"/>
        <v>6</v>
      </c>
      <c r="R52" s="9">
        <f t="shared" si="7"/>
        <v>2</v>
      </c>
      <c r="S52" s="14" t="str" cm="1">
        <f t="array" ref="S52">INDEX('Pregnancy-ConceptMap-1'!$I$15:$N$126,Q52+1,R52)</f>
        <v>* group[=].element[=].display = ##34#A.2.6.2.2 Previous pregnancies description##34#</v>
      </c>
    </row>
    <row r="53" spans="16:19" ht="29.5" x14ac:dyDescent="0.75">
      <c r="P53" s="9">
        <v>39</v>
      </c>
      <c r="Q53" s="9">
        <f t="shared" si="6"/>
        <v>6</v>
      </c>
      <c r="R53" s="9">
        <f t="shared" si="7"/>
        <v>3</v>
      </c>
      <c r="S53" s="14" t="str" cm="1">
        <f t="array" ref="S53">INDEX('Pregnancy-ConceptMap-1'!$I$15:$N$126,Q53+1,R53)</f>
        <v xml:space="preserve">* group[=].element[=].target.code = #Composition.section:sectionPregnancyHx.entry:pregnancyOutcomeSummary	</v>
      </c>
    </row>
    <row r="54" spans="16:19" x14ac:dyDescent="0.75">
      <c r="P54" s="9">
        <v>40</v>
      </c>
      <c r="Q54" s="9">
        <f t="shared" si="6"/>
        <v>6</v>
      </c>
      <c r="R54" s="9">
        <f t="shared" si="7"/>
        <v>4</v>
      </c>
      <c r="S54" s="14" t="str" cm="1">
        <f t="array" ref="S54">INDEX('Pregnancy-ConceptMap-1'!$I$15:$N$126,Q54+1,R54)</f>
        <v>* group[=].element[=].target.display = ##34###34#</v>
      </c>
    </row>
    <row r="55" spans="16:19" x14ac:dyDescent="0.75">
      <c r="P55" s="9">
        <v>41</v>
      </c>
      <c r="Q55" s="9">
        <f t="shared" si="6"/>
        <v>6</v>
      </c>
      <c r="R55" s="9">
        <f t="shared" si="7"/>
        <v>5</v>
      </c>
      <c r="S55" s="14" t="str" cm="1">
        <f t="array" ref="S55">INDEX('Pregnancy-ConceptMap-1'!$I$15:$N$126,Q55+1,R55)</f>
        <v>* group[=].element[=].target.equivalence = #relatedto</v>
      </c>
    </row>
    <row r="56" spans="16:19" x14ac:dyDescent="0.75">
      <c r="P56" s="9">
        <v>42</v>
      </c>
      <c r="Q56" s="9">
        <f t="shared" si="6"/>
        <v>6</v>
      </c>
      <c r="R56" s="9">
        <f t="shared" si="7"/>
        <v>6</v>
      </c>
      <c r="S56" s="14" t="str" cm="1">
        <f t="array" ref="S56">INDEX('Pregnancy-ConceptMap-1'!$I$15:$N$126,Q56+1,R56)</f>
        <v/>
      </c>
    </row>
    <row r="57" spans="16:19" ht="29.5" x14ac:dyDescent="0.75">
      <c r="P57" s="9">
        <v>43</v>
      </c>
      <c r="Q57" s="9">
        <f t="shared" si="6"/>
        <v>7</v>
      </c>
      <c r="R57" s="9">
        <f t="shared" si="7"/>
        <v>1</v>
      </c>
      <c r="S57" s="14" t="str" cm="1">
        <f t="array" ref="S57">INDEX('Pregnancy-ConceptMap-1'!$I$15:$N$126,Q57+1,R57)</f>
        <v>* group[=].element[+].code = #Pregnancy.hxPreviousPregnancies.description.outcomeDate</v>
      </c>
    </row>
    <row r="58" spans="16:19" x14ac:dyDescent="0.75">
      <c r="P58" s="9">
        <v>44</v>
      </c>
      <c r="Q58" s="9">
        <f t="shared" si="6"/>
        <v>7</v>
      </c>
      <c r="R58" s="9">
        <f t="shared" si="7"/>
        <v>2</v>
      </c>
      <c r="S58" s="14" t="str" cm="1">
        <f t="array" ref="S58">INDEX('Pregnancy-ConceptMap-1'!$I$15:$N$126,Q58+1,R58)</f>
        <v>* group[=].element[=].display = ##34#A.2.6.2.2.1 Outcome date##34#</v>
      </c>
    </row>
    <row r="59" spans="16:19" ht="44.25" x14ac:dyDescent="0.75">
      <c r="P59" s="9">
        <v>45</v>
      </c>
      <c r="Q59" s="9">
        <f t="shared" si="6"/>
        <v>7</v>
      </c>
      <c r="R59" s="9">
        <f t="shared" si="7"/>
        <v>3</v>
      </c>
      <c r="S59" s="14" t="str" cm="1">
        <f t="array" ref="S59">INDEX('Pregnancy-ConceptMap-1'!$I$15:$N$126,Q59+1,R59)</f>
        <v>* group[=].element[=].target.code = #Composition.section:sectionPregnancyHx.entry:pregnancyOutcomeSummary.effectiveDateTime</v>
      </c>
    </row>
    <row r="60" spans="16:19" x14ac:dyDescent="0.75">
      <c r="P60" s="9">
        <v>46</v>
      </c>
      <c r="Q60" s="9">
        <f t="shared" si="6"/>
        <v>7</v>
      </c>
      <c r="R60" s="9">
        <f t="shared" si="7"/>
        <v>4</v>
      </c>
      <c r="S60" s="14" t="str" cm="1">
        <f t="array" ref="S60">INDEX('Pregnancy-ConceptMap-1'!$I$15:$N$126,Q60+1,R60)</f>
        <v>* group[=].element[=].target.display = ##34###34#</v>
      </c>
    </row>
    <row r="61" spans="16:19" x14ac:dyDescent="0.75">
      <c r="P61" s="9">
        <v>47</v>
      </c>
      <c r="Q61" s="9">
        <f t="shared" si="6"/>
        <v>7</v>
      </c>
      <c r="R61" s="9">
        <f t="shared" si="7"/>
        <v>5</v>
      </c>
      <c r="S61" s="14" t="str" cm="1">
        <f t="array" ref="S61">INDEX('Pregnancy-ConceptMap-1'!$I$15:$N$126,Q61+1,R61)</f>
        <v>* group[=].element[=].target.equivalence = #equivalent</v>
      </c>
    </row>
    <row r="62" spans="16:19" x14ac:dyDescent="0.75">
      <c r="P62" s="9">
        <v>48</v>
      </c>
      <c r="Q62" s="9">
        <f t="shared" si="6"/>
        <v>7</v>
      </c>
      <c r="R62" s="9">
        <f t="shared" si="7"/>
        <v>6</v>
      </c>
      <c r="S62" s="14" t="str" cm="1">
        <f t="array" ref="S62">INDEX('Pregnancy-ConceptMap-1'!$I$15:$N$126,Q62+1,R62)</f>
        <v/>
      </c>
    </row>
    <row r="63" spans="16:19" ht="29.5" x14ac:dyDescent="0.75">
      <c r="P63" s="9">
        <v>49</v>
      </c>
      <c r="Q63" s="9">
        <f t="shared" si="6"/>
        <v>8</v>
      </c>
      <c r="R63" s="9">
        <f t="shared" si="7"/>
        <v>1</v>
      </c>
      <c r="S63" s="14" t="str" cm="1">
        <f t="array" ref="S63">INDEX('Pregnancy-ConceptMap-1'!$I$15:$N$126,Q63+1,R63)</f>
        <v>* group[=].element[+].code = #Pregnancy.hxPreviousPregnancies.description.outcome</v>
      </c>
    </row>
    <row r="64" spans="16:19" x14ac:dyDescent="0.75">
      <c r="P64" s="9">
        <v>50</v>
      </c>
      <c r="Q64" s="9">
        <f t="shared" si="6"/>
        <v>8</v>
      </c>
      <c r="R64" s="9">
        <f t="shared" si="7"/>
        <v>2</v>
      </c>
      <c r="S64" s="14" t="str" cm="1">
        <f t="array" ref="S64">INDEX('Pregnancy-ConceptMap-1'!$I$15:$N$126,Q64+1,R64)</f>
        <v>* group[=].element[=].display = ##34#A.2.6.2.2.2 Outcome##34#</v>
      </c>
    </row>
    <row r="65" spans="16:19" ht="29.5" x14ac:dyDescent="0.75">
      <c r="P65" s="9">
        <v>51</v>
      </c>
      <c r="Q65" s="9">
        <f t="shared" si="6"/>
        <v>8</v>
      </c>
      <c r="R65" s="9">
        <f t="shared" si="7"/>
        <v>3</v>
      </c>
      <c r="S65" s="14" t="str" cm="1">
        <f t="array" ref="S65">INDEX('Pregnancy-ConceptMap-1'!$I$15:$N$126,Q65+1,R65)</f>
        <v>* group[=].element[=].target.code = #Composition.section:sectionPregnancyHx.entry:pregnancyOutcomeSummary.code</v>
      </c>
    </row>
    <row r="66" spans="16:19" x14ac:dyDescent="0.75">
      <c r="P66" s="9">
        <v>52</v>
      </c>
      <c r="Q66" s="9">
        <f t="shared" si="6"/>
        <v>8</v>
      </c>
      <c r="R66" s="9">
        <f t="shared" si="7"/>
        <v>4</v>
      </c>
      <c r="S66" s="14" t="str" cm="1">
        <f t="array" ref="S66">INDEX('Pregnancy-ConceptMap-1'!$I$15:$N$126,Q66+1,R66)</f>
        <v>* group[=].element[=].target.display = ##34###34#</v>
      </c>
    </row>
    <row r="67" spans="16:19" x14ac:dyDescent="0.75">
      <c r="P67" s="9">
        <v>53</v>
      </c>
      <c r="Q67" s="9">
        <f t="shared" si="6"/>
        <v>8</v>
      </c>
      <c r="R67" s="9">
        <f t="shared" si="7"/>
        <v>5</v>
      </c>
      <c r="S67" s="14" t="str" cm="1">
        <f t="array" ref="S67">INDEX('Pregnancy-ConceptMap-1'!$I$15:$N$126,Q67+1,R67)</f>
        <v>* group[=].element[=].target.equivalence = #equivalent</v>
      </c>
    </row>
    <row r="68" spans="16:19" x14ac:dyDescent="0.75">
      <c r="P68" s="9">
        <v>54</v>
      </c>
      <c r="Q68" s="9">
        <f t="shared" si="6"/>
        <v>8</v>
      </c>
      <c r="R68" s="9">
        <f t="shared" si="7"/>
        <v>6</v>
      </c>
      <c r="S68" s="14" t="str" cm="1">
        <f t="array" ref="S68">INDEX('Pregnancy-ConceptMap-1'!$I$15:$N$126,Q68+1,R68)</f>
        <v>* group[=].element[=].target.comment = ##34#to be checked##34#</v>
      </c>
    </row>
    <row r="69" spans="16:19" ht="29.5" x14ac:dyDescent="0.75">
      <c r="P69" s="9">
        <v>55</v>
      </c>
      <c r="Q69" s="9">
        <f t="shared" si="6"/>
        <v>9</v>
      </c>
      <c r="R69" s="9">
        <f t="shared" si="7"/>
        <v>1</v>
      </c>
      <c r="S69" s="14" t="str" cm="1">
        <f t="array" ref="S69">INDEX('Pregnancy-ConceptMap-1'!$I$15:$N$126,Q69+1,R69)</f>
        <v>* group[=].element[+].code = #Pregnancy.hxPreviousPregnancies.description.numberOfChildren</v>
      </c>
    </row>
    <row r="70" spans="16:19" x14ac:dyDescent="0.75">
      <c r="P70" s="9">
        <v>56</v>
      </c>
      <c r="Q70" s="9">
        <f t="shared" si="6"/>
        <v>9</v>
      </c>
      <c r="R70" s="9">
        <f t="shared" si="7"/>
        <v>2</v>
      </c>
      <c r="S70" s="14" t="str" cm="1">
        <f t="array" ref="S70">INDEX('Pregnancy-ConceptMap-1'!$I$15:$N$126,Q70+1,R70)</f>
        <v>* group[=].element[=].display = ##34#A.2.6.2.2.3 Number of children##34#</v>
      </c>
    </row>
    <row r="71" spans="16:19" ht="44.25" x14ac:dyDescent="0.75">
      <c r="P71" s="9">
        <v>57</v>
      </c>
      <c r="Q71" s="9">
        <f t="shared" si="6"/>
        <v>9</v>
      </c>
      <c r="R71" s="9">
        <f t="shared" si="7"/>
        <v>3</v>
      </c>
      <c r="S71" s="14" t="str" cm="1">
        <f t="array" ref="S71">INDEX('Pregnancy-ConceptMap-1'!$I$15:$N$126,Q71+1,R71)</f>
        <v>* group[=].element[=].target.code = #Composition.section:sectionPregnancyHx.entry:pregnancyOutcomeSummary.valueQuentity</v>
      </c>
    </row>
    <row r="72" spans="16:19" x14ac:dyDescent="0.75">
      <c r="P72" s="9">
        <v>58</v>
      </c>
      <c r="Q72" s="9">
        <f t="shared" si="6"/>
        <v>9</v>
      </c>
      <c r="R72" s="9">
        <f t="shared" si="7"/>
        <v>4</v>
      </c>
      <c r="S72" s="14" t="str" cm="1">
        <f t="array" ref="S72">INDEX('Pregnancy-ConceptMap-1'!$I$15:$N$126,Q72+1,R72)</f>
        <v>* group[=].element[=].target.display = ##34###34#</v>
      </c>
    </row>
    <row r="73" spans="16:19" x14ac:dyDescent="0.75">
      <c r="P73" s="9">
        <v>59</v>
      </c>
      <c r="Q73" s="9">
        <f t="shared" si="6"/>
        <v>9</v>
      </c>
      <c r="R73" s="9">
        <f t="shared" si="7"/>
        <v>5</v>
      </c>
      <c r="S73" s="14" t="str" cm="1">
        <f t="array" ref="S73">INDEX('Pregnancy-ConceptMap-1'!$I$15:$N$126,Q73+1,R73)</f>
        <v>* group[=].element[=].target.equivalence = #equivalent</v>
      </c>
    </row>
    <row r="74" spans="16:19" x14ac:dyDescent="0.75">
      <c r="P74" s="9">
        <v>60</v>
      </c>
      <c r="Q74" s="9">
        <f t="shared" si="6"/>
        <v>9</v>
      </c>
      <c r="R74" s="9">
        <f t="shared" si="7"/>
        <v>6</v>
      </c>
      <c r="S74" s="14" t="str" cm="1">
        <f t="array" ref="S74">INDEX('Pregnancy-ConceptMap-1'!$I$15:$N$126,Q74+1,R74)</f>
        <v/>
      </c>
    </row>
    <row r="75" spans="16:19" x14ac:dyDescent="0.75">
      <c r="P75" s="9">
        <v>61</v>
      </c>
      <c r="Q75" s="9">
        <f t="shared" si="6"/>
        <v>10</v>
      </c>
      <c r="R75" s="9">
        <f t="shared" si="7"/>
        <v>1</v>
      </c>
      <c r="S75" s="14" cm="1">
        <f t="array" ref="S75">INDEX('Pregnancy-ConceptMap-1'!$I$15:$N$126,Q75+1,R75)</f>
        <v>0</v>
      </c>
    </row>
    <row r="76" spans="16:19" x14ac:dyDescent="0.75">
      <c r="P76" s="9">
        <v>62</v>
      </c>
      <c r="Q76" s="9">
        <f t="shared" si="6"/>
        <v>10</v>
      </c>
      <c r="R76" s="9">
        <f t="shared" si="7"/>
        <v>2</v>
      </c>
      <c r="S76" s="14" cm="1">
        <f t="array" ref="S76">INDEX('Pregnancy-ConceptMap-1'!$I$15:$N$126,Q76+1,R76)</f>
        <v>0</v>
      </c>
    </row>
    <row r="77" spans="16:19" x14ac:dyDescent="0.75">
      <c r="P77" s="9">
        <v>63</v>
      </c>
      <c r="Q77" s="9">
        <f t="shared" si="6"/>
        <v>10</v>
      </c>
      <c r="R77" s="9">
        <f t="shared" si="7"/>
        <v>3</v>
      </c>
      <c r="S77" s="14" cm="1">
        <f t="array" ref="S77">INDEX('Pregnancy-ConceptMap-1'!$I$15:$N$126,Q77+1,R77)</f>
        <v>0</v>
      </c>
    </row>
    <row r="78" spans="16:19" x14ac:dyDescent="0.75">
      <c r="P78" s="9">
        <v>64</v>
      </c>
      <c r="Q78" s="9">
        <f t="shared" si="6"/>
        <v>10</v>
      </c>
      <c r="R78" s="9">
        <f t="shared" si="7"/>
        <v>4</v>
      </c>
      <c r="S78" s="14" cm="1">
        <f t="array" ref="S78">INDEX('Pregnancy-ConceptMap-1'!$I$15:$N$126,Q78+1,R78)</f>
        <v>0</v>
      </c>
    </row>
    <row r="79" spans="16:19" x14ac:dyDescent="0.75">
      <c r="P79" s="9">
        <v>65</v>
      </c>
      <c r="Q79" s="9">
        <f t="shared" si="6"/>
        <v>10</v>
      </c>
      <c r="R79" s="9">
        <f t="shared" si="7"/>
        <v>5</v>
      </c>
      <c r="S79" s="14" cm="1">
        <f t="array" ref="S79">INDEX('Pregnancy-ConceptMap-1'!$I$15:$N$126,Q79+1,R79)</f>
        <v>0</v>
      </c>
    </row>
    <row r="80" spans="16:19" x14ac:dyDescent="0.75">
      <c r="P80" s="9">
        <v>66</v>
      </c>
      <c r="Q80" s="9">
        <f t="shared" ref="Q80:Q84" si="14">IF(MOD(P80,$Q$8)=0,P80/$Q$8-1,INT(P80/$Q$8))</f>
        <v>10</v>
      </c>
      <c r="R80" s="9">
        <f t="shared" ref="R80:R84" si="15">IF(MOD(P80,$Q$8)=0,$Q$8,MOD(P80,$Q$8))</f>
        <v>6</v>
      </c>
      <c r="S80" s="14" cm="1">
        <f t="array" ref="S80">INDEX('Pregnancy-ConceptMap-1'!$I$15:$N$126,Q80+1,R80)</f>
        <v>0</v>
      </c>
    </row>
    <row r="81" spans="16:19" x14ac:dyDescent="0.75">
      <c r="P81" s="9">
        <v>67</v>
      </c>
      <c r="Q81" s="9">
        <f t="shared" si="14"/>
        <v>11</v>
      </c>
      <c r="R81" s="9">
        <f t="shared" si="15"/>
        <v>1</v>
      </c>
      <c r="S81" s="14" cm="1">
        <f t="array" ref="S81">INDEX('Pregnancy-ConceptMap-1'!$I$15:$N$126,Q81+1,R81)</f>
        <v>0</v>
      </c>
    </row>
    <row r="82" spans="16:19" x14ac:dyDescent="0.75">
      <c r="P82" s="9">
        <v>68</v>
      </c>
      <c r="Q82" s="9">
        <f t="shared" si="14"/>
        <v>11</v>
      </c>
      <c r="R82" s="9">
        <f t="shared" si="15"/>
        <v>2</v>
      </c>
      <c r="S82" s="14" cm="1">
        <f t="array" ref="S82">INDEX('Pregnancy-ConceptMap-1'!$I$15:$N$126,Q82+1,R82)</f>
        <v>0</v>
      </c>
    </row>
    <row r="83" spans="16:19" x14ac:dyDescent="0.75">
      <c r="P83" s="9">
        <v>69</v>
      </c>
      <c r="Q83" s="9">
        <f t="shared" si="14"/>
        <v>11</v>
      </c>
      <c r="R83" s="9">
        <f t="shared" si="15"/>
        <v>3</v>
      </c>
      <c r="S83" s="14" cm="1">
        <f t="array" ref="S83">INDEX('Pregnancy-ConceptMap-1'!$I$15:$N$126,Q83+1,R83)</f>
        <v>0</v>
      </c>
    </row>
    <row r="84" spans="16:19" x14ac:dyDescent="0.75">
      <c r="P84" s="9">
        <v>70</v>
      </c>
      <c r="Q84" s="9">
        <f t="shared" si="14"/>
        <v>11</v>
      </c>
      <c r="R84" s="9">
        <f t="shared" si="15"/>
        <v>4</v>
      </c>
      <c r="S84" s="14" cm="1">
        <f t="array" ref="S84">INDEX('Pregnancy-ConceptMap-1'!$I$15:$N$126,Q84+1,R84)</f>
        <v>0</v>
      </c>
    </row>
  </sheetData>
  <mergeCells count="5">
    <mergeCell ref="B1:C1"/>
    <mergeCell ref="E3:G3"/>
    <mergeCell ref="E4:G4"/>
    <mergeCell ref="E6:G6"/>
    <mergeCell ref="E7:G7"/>
  </mergeCells>
  <hyperlinks>
    <hyperlink ref="E3" r:id="rId1" display="http://hl7.eu/fhir/laboratory/StructureDefinition/LeaglAu" xr:uid="{E3F18E20-74E4-4103-9ACD-54C0A8792A25}"/>
    <hyperlink ref="E6" r:id="rId2" display="http://hl7.eu/fhir/laboratory/StructureDefinition/Recipient" xr:uid="{677FBC2C-052D-4D01-971E-FCFE7D322264}"/>
    <hyperlink ref="E7" r:id="rId3" display="http://hl7.eu/fhir/StructureDefinition/information-recipient" xr:uid="{61A5FD3E-5B75-4709-8982-65A6CA25FB53}"/>
    <hyperlink ref="E4" r:id="rId4" xr:uid="{CC9808EC-ADBE-40FE-9095-1207760ADA9D}"/>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94621-A16F-4A63-AA53-66B7027645ED}">
  <sheetPr codeName="Foglio74">
    <tabColor theme="0" tint="-0.499984740745262"/>
  </sheetPr>
  <dimension ref="A1:T78"/>
  <sheetViews>
    <sheetView topLeftCell="D1" workbookViewId="0">
      <selection activeCell="F1" sqref="F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6" t="s">
        <v>1316</v>
      </c>
      <c r="C1" s="167"/>
      <c r="F1" s="141" t="s">
        <v>1317</v>
      </c>
    </row>
    <row r="2" spans="1:19" ht="15.5" thickBot="1" x14ac:dyDescent="0.9"/>
    <row r="3" spans="1:19" ht="15.5" thickBot="1" x14ac:dyDescent="0.9">
      <c r="B3" s="61" t="s">
        <v>34</v>
      </c>
      <c r="C3" s="47" t="s">
        <v>1246</v>
      </c>
      <c r="D3" s="61" t="s">
        <v>208</v>
      </c>
      <c r="E3" s="165" t="str">
        <f>"http://hl7.eu/fhir/ig/xpandh/ps/StructureDefinition/"&amp;'A.2.3.3 Pregnancy'!B5</f>
        <v>http://hl7.eu/fhir/ig/xpandh/ps/StructureDefinition/Pregnancy</v>
      </c>
      <c r="F3" s="164"/>
      <c r="G3" s="164"/>
    </row>
    <row r="4" spans="1:19" x14ac:dyDescent="0.75">
      <c r="B4" s="61" t="s">
        <v>19</v>
      </c>
      <c r="C4" s="47" t="s">
        <v>1247</v>
      </c>
      <c r="D4" s="61" t="s">
        <v>209</v>
      </c>
      <c r="E4" s="168" t="s">
        <v>1223</v>
      </c>
      <c r="F4" s="169"/>
      <c r="G4" s="169"/>
    </row>
    <row r="5" spans="1:19" x14ac:dyDescent="0.75">
      <c r="B5" s="61" t="s">
        <v>13</v>
      </c>
      <c r="C5" s="10" t="s">
        <v>226</v>
      </c>
      <c r="D5" s="61"/>
      <c r="E5" s="10"/>
    </row>
    <row r="6" spans="1:19" x14ac:dyDescent="0.75">
      <c r="B6" s="61" t="s">
        <v>35</v>
      </c>
      <c r="C6" s="60"/>
      <c r="D6" s="61" t="s">
        <v>206</v>
      </c>
      <c r="E6" s="165" t="str">
        <f>E3</f>
        <v>http://hl7.eu/fhir/ig/xpandh/ps/StructureDefinition/Pregnancy</v>
      </c>
      <c r="F6" s="164"/>
      <c r="G6" s="164"/>
    </row>
    <row r="7" spans="1:19" x14ac:dyDescent="0.75">
      <c r="B7" s="61" t="s">
        <v>18</v>
      </c>
      <c r="C7" s="68"/>
      <c r="D7" s="61" t="s">
        <v>207</v>
      </c>
      <c r="E7" s="168" t="str">
        <f>E4</f>
        <v>http://hl7.eu/fhir/ig/xpandh/ps/StructureDefinition/Composition-ps-xpandh</v>
      </c>
      <c r="F7" s="169"/>
      <c r="G7" s="169"/>
    </row>
    <row r="8" spans="1:19" ht="44.25" x14ac:dyDescent="0.75">
      <c r="B8" s="61" t="s">
        <v>204</v>
      </c>
      <c r="C8" s="10" t="s">
        <v>1177</v>
      </c>
      <c r="D8" s="61"/>
      <c r="E8"/>
      <c r="I8" s="14" t="s">
        <v>181</v>
      </c>
      <c r="J8" s="14" t="s">
        <v>182</v>
      </c>
      <c r="K8" s="14" t="s">
        <v>183</v>
      </c>
      <c r="L8" s="14" t="s">
        <v>184</v>
      </c>
      <c r="M8" s="9" t="s">
        <v>185</v>
      </c>
      <c r="P8" s="57" t="s">
        <v>186</v>
      </c>
      <c r="Q8" s="57">
        <v>6</v>
      </c>
    </row>
    <row r="9" spans="1:19" ht="29.5" x14ac:dyDescent="0.75">
      <c r="B9" s="61" t="s">
        <v>205</v>
      </c>
      <c r="C9" s="1" t="s">
        <v>1178</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s="140" t="s">
        <v>245</v>
      </c>
      <c r="E14" s="110"/>
      <c r="F14" s="3"/>
      <c r="I14" s="14"/>
      <c r="J14" s="9"/>
      <c r="K14" s="9"/>
      <c r="L14" s="9"/>
      <c r="M14" s="59"/>
      <c r="N14" s="62"/>
    </row>
    <row r="15" spans="1:19" ht="44.25" x14ac:dyDescent="0.75">
      <c r="A15" s="22"/>
      <c r="B15" s="9" t="str">
        <f>'A.2.3.3 Pregnancy'!B8</f>
        <v>pregnancyStatus</v>
      </c>
      <c r="C15" s="9" t="str">
        <f>'A.2.3.3 Pregnancy'!C8</f>
        <v>A.2.6.1 Current pregnancy status</v>
      </c>
      <c r="D15" s="14"/>
      <c r="E15" s="9"/>
      <c r="F15" s="63" t="s">
        <v>193</v>
      </c>
      <c r="G15" s="14"/>
      <c r="H15" s="64"/>
      <c r="I15" s="14" t="str">
        <f>"* group[=].element[+].code = #"&amp;$B$14&amp;"."&amp;B15</f>
        <v>* group[=].element[+].code = #Pregnancy.pregnancyStatus</v>
      </c>
      <c r="J15" s="14" t="str">
        <f t="shared" ref="J15" si="0">"* group[=].element[=].display = ##34#"&amp;C15&amp;"##34#"</f>
        <v>* group[=].element[=].display = ##34#A.2.6.1 Current pregnancy status##34#</v>
      </c>
      <c r="K15" s="14" t="str">
        <f t="shared" ref="K15" si="1">IF(F15="unmatched","//-- unmatched","* group[=].element[=].target.code = #"&amp;$D$14&amp;"."&amp;D15)</f>
        <v>* group[=].element[=].target.code = #Observation.</v>
      </c>
      <c r="L15" s="14" t="str">
        <f t="shared" ref="L15" si="2">IF(F15="unmatched","//-- unmatched","* group[=].element[=].target.display = ##34#"&amp;E15&amp;"##34#")</f>
        <v>* group[=].element[=].target.display = ##34###34#</v>
      </c>
      <c r="M15" s="14" t="str">
        <f t="shared" ref="M15" si="3">"* group[=].element[=].target.equivalence = #"&amp;F15</f>
        <v>* group[=].element[=].target.equivalence = #relatedto</v>
      </c>
      <c r="N15" s="4" t="str">
        <f t="shared" ref="N15:N18" si="4">IF(G15&lt;&gt;"",CONCATENATE("* group[=].element[=].target.comment = ","##34#",G15,"##34#"),"")</f>
        <v/>
      </c>
      <c r="P15" s="9">
        <v>1</v>
      </c>
      <c r="Q15" s="9">
        <f>IF(MOD(P15,$Q$8)=0,P15/$Q$8-1,INT(P15/$Q$8))</f>
        <v>0</v>
      </c>
      <c r="R15" s="9">
        <f>IF(MOD(P15,$Q$8)=0,$Q$8,MOD(P15,$Q$8))</f>
        <v>1</v>
      </c>
      <c r="S15" s="14" t="str" cm="1">
        <f t="array" ref="S15">INDEX('Pregnancy-ConceptMap-2'!$I$15:$N$120,Q15+1,R15)</f>
        <v>* group[=].element[+].code = #Pregnancy.pregnancyStatus</v>
      </c>
    </row>
    <row r="16" spans="1:19" ht="58.25" customHeight="1" x14ac:dyDescent="0.75">
      <c r="A16" s="22"/>
      <c r="B16" s="9" t="str">
        <f>'A.2.3.3 Pregnancy'!B9</f>
        <v>pregnancyStatus.dateOfObservation</v>
      </c>
      <c r="C16" s="9" t="str">
        <f>'A.2.3.3 Pregnancy'!C9</f>
        <v>A.2.6.1.1 Date of observation</v>
      </c>
      <c r="D16" s="14" t="s">
        <v>1098</v>
      </c>
      <c r="E16" s="14"/>
      <c r="F16" s="63" t="s">
        <v>192</v>
      </c>
      <c r="G16" s="14"/>
      <c r="H16" s="64"/>
      <c r="I16" s="14" t="str">
        <f t="shared" ref="I16:I18" si="5">"* group[=].element[+].code = #"&amp;$B$14&amp;"."&amp;B16</f>
        <v>* group[=].element[+].code = #Pregnancy.pregnancyStatus.dateOfObservation</v>
      </c>
      <c r="J16" s="14" t="str">
        <f t="shared" ref="J16:J18" si="6">"* group[=].element[=].display = ##34#"&amp;C16&amp;"##34#"</f>
        <v>* group[=].element[=].display = ##34#A.2.6.1.1 Date of observation##34#</v>
      </c>
      <c r="K16" s="14" t="str">
        <f t="shared" ref="K16:K18" si="7">IF(F16="unmatched","//-- unmatched","* group[=].element[=].target.code = #"&amp;$D$14&amp;"."&amp;D16)</f>
        <v>* group[=].element[=].target.code = #Observation.effectiveDateTime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si="4"/>
        <v/>
      </c>
      <c r="P16" s="9">
        <v>2</v>
      </c>
      <c r="Q16" s="9">
        <f t="shared" ref="Q16:Q78" si="10">IF(MOD(P16,$Q$8)=0,P16/$Q$8-1,INT(P16/$Q$8))</f>
        <v>0</v>
      </c>
      <c r="R16" s="9">
        <f t="shared" ref="R16:R78" si="11">IF(MOD(P16,$Q$8)=0,$Q$8,MOD(P16,$Q$8))</f>
        <v>2</v>
      </c>
      <c r="S16" s="14" t="str" cm="1">
        <f t="array" ref="S16">INDEX('Pregnancy-ConceptMap-2'!$I$15:$N$120,Q16+1,R16)</f>
        <v>* group[=].element[=].display = ##34#A.2.6.1 Current pregnancy status##34#</v>
      </c>
    </row>
    <row r="17" spans="1:20" ht="57.5" customHeight="1" x14ac:dyDescent="0.75">
      <c r="A17" s="22"/>
      <c r="B17" s="9" t="str">
        <f>'A.2.3.3 Pregnancy'!B10</f>
        <v>pregnancyStatus.status</v>
      </c>
      <c r="C17" s="9" t="str">
        <f>'A.2.3.3 Pregnancy'!C10</f>
        <v>A.2.6.1.2 Status</v>
      </c>
      <c r="D17" s="14" t="s">
        <v>1318</v>
      </c>
      <c r="E17" s="9"/>
      <c r="F17" s="63" t="s">
        <v>192</v>
      </c>
      <c r="G17" s="14"/>
      <c r="H17" s="64"/>
      <c r="I17" s="14" t="str">
        <f t="shared" si="5"/>
        <v>* group[=].element[+].code = #Pregnancy.pregnancyStatus.status</v>
      </c>
      <c r="J17" s="14" t="str">
        <f t="shared" si="6"/>
        <v>* group[=].element[=].display = ##34#A.2.6.1.2 Status##34#</v>
      </c>
      <c r="K17" s="14" t="str">
        <f t="shared" si="7"/>
        <v>* group[=].element[=].target.code = #Observation.valueCodeabelConcept</v>
      </c>
      <c r="L17" s="14" t="str">
        <f t="shared" si="8"/>
        <v>* group[=].element[=].target.display = ##34###34#</v>
      </c>
      <c r="M17" s="14" t="str">
        <f t="shared" si="9"/>
        <v>* group[=].element[=].target.equivalence = #equivalent</v>
      </c>
      <c r="N17" s="14" t="str">
        <f t="shared" si="4"/>
        <v/>
      </c>
      <c r="P17" s="9">
        <v>3</v>
      </c>
      <c r="Q17" s="9">
        <f t="shared" si="10"/>
        <v>0</v>
      </c>
      <c r="R17" s="9">
        <f t="shared" si="11"/>
        <v>3</v>
      </c>
      <c r="S17" s="14" t="str" cm="1">
        <f t="array" ref="S17">INDEX('Pregnancy-ConceptMap-2'!$I$15:$N$120,Q17+1,R17)</f>
        <v>* group[=].element[=].target.code = #Observation.</v>
      </c>
    </row>
    <row r="18" spans="1:20" ht="137.5" customHeight="1" x14ac:dyDescent="0.75">
      <c r="A18" s="22"/>
      <c r="B18" s="9" t="str">
        <f>'A.2.3.3 Pregnancy'!B11</f>
        <v>pregnancyStatus.deliveryDate</v>
      </c>
      <c r="C18" s="9" t="str">
        <f>'A.2.3.3 Pregnancy'!C11</f>
        <v>A.2.6.1.3 Expected date of delivery</v>
      </c>
      <c r="D18" s="14" t="s">
        <v>1319</v>
      </c>
      <c r="E18" s="9"/>
      <c r="F18" s="63" t="s">
        <v>192</v>
      </c>
      <c r="G18" s="14" t="s">
        <v>1320</v>
      </c>
      <c r="H18" s="64"/>
      <c r="I18" s="14" t="str">
        <f t="shared" si="5"/>
        <v>* group[=].element[+].code = #Pregnancy.pregnancyStatus.deliveryDate</v>
      </c>
      <c r="J18" s="14" t="str">
        <f t="shared" si="6"/>
        <v>* group[=].element[=].display = ##34#A.2.6.1.3 Expected date of delivery##34#</v>
      </c>
      <c r="K18" s="14" t="str">
        <f t="shared" si="7"/>
        <v>* group[=].element[=].target.code = #Observation.hasMember.valueDateTime</v>
      </c>
      <c r="L18" s="14" t="str">
        <f t="shared" si="8"/>
        <v>* group[=].element[=].target.display = ##34###34#</v>
      </c>
      <c r="M18" s="14" t="str">
        <f t="shared" si="9"/>
        <v>* group[=].element[=].target.equivalence = #equivalent</v>
      </c>
      <c r="N18" s="14" t="str">
        <f t="shared" si="4"/>
        <v>* group[=].element[=].target.comment = ##34#Where hasMember.code IN PregnancyExpectedDeliveryDateMethodUvIps value set##34#</v>
      </c>
      <c r="P18" s="9">
        <v>4</v>
      </c>
      <c r="Q18" s="9">
        <f t="shared" si="10"/>
        <v>0</v>
      </c>
      <c r="R18" s="9">
        <f t="shared" si="11"/>
        <v>4</v>
      </c>
      <c r="S18" s="14" t="str" cm="1">
        <f t="array" ref="S18">INDEX('Pregnancy-ConceptMap-2'!$I$15:$N$120,Q18+1,R18)</f>
        <v>* group[=].element[=].target.display = ##34###34#</v>
      </c>
    </row>
    <row r="19" spans="1:20" x14ac:dyDescent="0.75">
      <c r="A19" s="22"/>
      <c r="B19" s="22"/>
      <c r="C19" s="22"/>
      <c r="D19" s="22"/>
      <c r="E19" s="14"/>
      <c r="F19" s="63"/>
      <c r="G19" s="70"/>
      <c r="H19" s="64"/>
      <c r="I19" s="14"/>
      <c r="J19" s="14"/>
      <c r="K19" s="14"/>
      <c r="L19" s="14"/>
      <c r="M19" s="14"/>
      <c r="N19" s="14"/>
      <c r="P19" s="9">
        <v>5</v>
      </c>
      <c r="Q19" s="9">
        <f t="shared" si="10"/>
        <v>0</v>
      </c>
      <c r="R19" s="9">
        <f t="shared" si="11"/>
        <v>5</v>
      </c>
      <c r="S19" s="14" t="str" cm="1">
        <f t="array" ref="S19">INDEX('Pregnancy-ConceptMap-2'!$I$15:$N$120,Q19+1,R19)</f>
        <v>* group[=].element[=].target.equivalence = #relatedto</v>
      </c>
    </row>
    <row r="20" spans="1:20" x14ac:dyDescent="0.75">
      <c r="D20"/>
      <c r="E20" s="14"/>
      <c r="F20" s="63"/>
      <c r="G20" s="70"/>
      <c r="H20" s="64"/>
      <c r="I20" s="14"/>
      <c r="J20" s="14"/>
      <c r="K20" s="14"/>
      <c r="L20" s="14"/>
      <c r="M20" s="14"/>
      <c r="N20" s="14"/>
      <c r="P20" s="9">
        <v>6</v>
      </c>
      <c r="Q20" s="9">
        <f t="shared" si="10"/>
        <v>0</v>
      </c>
      <c r="R20" s="9">
        <f t="shared" si="11"/>
        <v>6</v>
      </c>
      <c r="S20" s="14" t="str" cm="1">
        <f t="array" ref="S20">INDEX('Pregnancy-ConceptMap-2'!$I$15:$N$120,Q20+1,R20)</f>
        <v/>
      </c>
    </row>
    <row r="21" spans="1:20" x14ac:dyDescent="0.75">
      <c r="D21"/>
      <c r="E21" s="14"/>
      <c r="F21" s="63"/>
      <c r="G21" s="70"/>
      <c r="H21" s="64"/>
      <c r="I21" s="14"/>
      <c r="J21" s="14"/>
      <c r="K21" s="14"/>
      <c r="L21" s="14"/>
      <c r="M21" s="14"/>
      <c r="N21" s="14" t="str">
        <f t="shared" ref="N21:N40" si="12">IF(G21&lt;&gt;"",CONCATENATE("* group[=].element[=].target.comment = ","##34#",G21,"##34#"),"")</f>
        <v/>
      </c>
      <c r="P21" s="9">
        <v>7</v>
      </c>
      <c r="Q21" s="9">
        <f t="shared" si="10"/>
        <v>1</v>
      </c>
      <c r="R21" s="9">
        <f t="shared" si="11"/>
        <v>1</v>
      </c>
      <c r="S21" s="14" t="str" cm="1">
        <f t="array" ref="S21">INDEX('Pregnancy-ConceptMap-2'!$I$15:$N$120,Q21+1,R21)</f>
        <v>* group[=].element[+].code = #Pregnancy.pregnancyStatus.dateOfObservation</v>
      </c>
    </row>
    <row r="22" spans="1:20" x14ac:dyDescent="0.75">
      <c r="B22" s="9"/>
      <c r="C22" s="9"/>
      <c r="D22" s="14"/>
      <c r="E22" s="14"/>
      <c r="F22" s="63"/>
      <c r="G22" s="70"/>
      <c r="H22" s="64"/>
      <c r="I22" s="14"/>
      <c r="J22" s="14"/>
      <c r="K22" s="14"/>
      <c r="L22" s="14"/>
      <c r="M22" s="14"/>
      <c r="N22" s="14" t="str">
        <f t="shared" si="12"/>
        <v/>
      </c>
      <c r="P22" s="9">
        <v>8</v>
      </c>
      <c r="Q22" s="9">
        <f t="shared" si="10"/>
        <v>1</v>
      </c>
      <c r="R22" s="9">
        <f t="shared" si="11"/>
        <v>2</v>
      </c>
      <c r="S22" s="14" t="str" cm="1">
        <f t="array" ref="S22">INDEX('Pregnancy-ConceptMap-2'!$I$15:$N$120,Q22+1,R22)</f>
        <v>* group[=].element[=].display = ##34#A.2.6.1.1 Date of observation##34#</v>
      </c>
    </row>
    <row r="23" spans="1:20" x14ac:dyDescent="0.75">
      <c r="B23" s="9"/>
      <c r="C23" s="9"/>
      <c r="D23" s="14"/>
      <c r="E23" s="14"/>
      <c r="F23" s="63"/>
      <c r="G23" s="70"/>
      <c r="H23" s="64"/>
      <c r="I23" s="14"/>
      <c r="J23" s="14"/>
      <c r="K23" s="14"/>
      <c r="L23" s="14"/>
      <c r="M23" s="14"/>
      <c r="N23" s="14" t="str">
        <f t="shared" si="12"/>
        <v/>
      </c>
      <c r="P23" s="9">
        <v>9</v>
      </c>
      <c r="Q23" s="9">
        <f t="shared" si="10"/>
        <v>1</v>
      </c>
      <c r="R23" s="9">
        <f t="shared" si="11"/>
        <v>3</v>
      </c>
      <c r="S23" s="14" t="str" cm="1">
        <f t="array" ref="S23">INDEX('Pregnancy-ConceptMap-2'!$I$15:$N$120,Q23+1,R23)</f>
        <v>* group[=].element[=].target.code = #Observation.effectiveDateTime</v>
      </c>
    </row>
    <row r="24" spans="1:20" x14ac:dyDescent="0.75">
      <c r="B24" s="9"/>
      <c r="C24" s="9"/>
      <c r="D24" s="14"/>
      <c r="E24" s="14"/>
      <c r="F24" s="63"/>
      <c r="G24" s="70"/>
      <c r="H24" s="64"/>
      <c r="I24" s="14"/>
      <c r="J24" s="14"/>
      <c r="K24" s="14"/>
      <c r="L24" s="14"/>
      <c r="M24" s="14"/>
      <c r="N24" s="14" t="str">
        <f t="shared" si="12"/>
        <v/>
      </c>
      <c r="P24" s="9">
        <v>10</v>
      </c>
      <c r="Q24" s="9">
        <f t="shared" si="10"/>
        <v>1</v>
      </c>
      <c r="R24" s="9">
        <f t="shared" si="11"/>
        <v>4</v>
      </c>
      <c r="S24" s="14" t="str" cm="1">
        <f t="array" ref="S24">INDEX('Pregnancy-ConceptMap-2'!$I$15:$N$120,Q24+1,R24)</f>
        <v>* group[=].element[=].target.display = ##34###34#</v>
      </c>
    </row>
    <row r="25" spans="1:20" x14ac:dyDescent="0.75">
      <c r="B25" s="9"/>
      <c r="C25" s="9"/>
      <c r="D25" s="14"/>
      <c r="E25" s="14"/>
      <c r="F25" s="63"/>
      <c r="G25" s="70"/>
      <c r="H25" s="64"/>
      <c r="I25" s="14"/>
      <c r="J25" s="14"/>
      <c r="K25" s="14"/>
      <c r="L25" s="14"/>
      <c r="M25" s="14"/>
      <c r="N25" s="14" t="str">
        <f t="shared" si="12"/>
        <v/>
      </c>
      <c r="P25" s="9">
        <v>11</v>
      </c>
      <c r="Q25" s="9">
        <f t="shared" si="10"/>
        <v>1</v>
      </c>
      <c r="R25" s="9">
        <f t="shared" si="11"/>
        <v>5</v>
      </c>
      <c r="S25" s="14" t="str" cm="1">
        <f t="array" ref="S25">INDEX('Pregnancy-ConceptMap-2'!$I$15:$N$120,Q25+1,R25)</f>
        <v>* group[=].element[=].target.equivalence = #equivalent</v>
      </c>
    </row>
    <row r="26" spans="1:20" x14ac:dyDescent="0.75">
      <c r="B26" s="9"/>
      <c r="C26" s="9"/>
      <c r="D26" s="14"/>
      <c r="E26" s="14"/>
      <c r="F26" s="63"/>
      <c r="G26" s="70"/>
      <c r="H26" s="64"/>
      <c r="I26" s="14"/>
      <c r="J26" s="14"/>
      <c r="K26" s="14"/>
      <c r="L26" s="14"/>
      <c r="M26" s="14"/>
      <c r="N26" s="14" t="str">
        <f t="shared" si="12"/>
        <v/>
      </c>
      <c r="P26" s="9">
        <v>12</v>
      </c>
      <c r="Q26" s="9">
        <f t="shared" si="10"/>
        <v>1</v>
      </c>
      <c r="R26" s="9">
        <f t="shared" si="11"/>
        <v>6</v>
      </c>
      <c r="S26" s="14" t="str" cm="1">
        <f t="array" ref="S26">INDEX('Pregnancy-ConceptMap-2'!$I$15:$N$120,Q26+1,R26)</f>
        <v/>
      </c>
    </row>
    <row r="27" spans="1:20" x14ac:dyDescent="0.75">
      <c r="B27" s="9"/>
      <c r="C27" s="9"/>
      <c r="D27" s="14"/>
      <c r="E27" s="14"/>
      <c r="F27" s="63"/>
      <c r="G27" s="70"/>
      <c r="H27" s="64"/>
      <c r="I27" s="14"/>
      <c r="J27" s="14"/>
      <c r="K27" s="14"/>
      <c r="L27" s="14"/>
      <c r="M27" s="14"/>
      <c r="N27" s="14" t="str">
        <f t="shared" si="12"/>
        <v/>
      </c>
      <c r="P27" s="9">
        <v>13</v>
      </c>
      <c r="Q27" s="9">
        <f t="shared" si="10"/>
        <v>2</v>
      </c>
      <c r="R27" s="9">
        <f t="shared" si="11"/>
        <v>1</v>
      </c>
      <c r="S27" s="14" t="str" cm="1">
        <f t="array" ref="S27">INDEX('Pregnancy-ConceptMap-2'!$I$15:$N$120,Q27+1,R27)</f>
        <v>* group[=].element[+].code = #Pregnancy.pregnancyStatus.status</v>
      </c>
    </row>
    <row r="28" spans="1:20" x14ac:dyDescent="0.75">
      <c r="B28" s="9"/>
      <c r="C28" s="9"/>
      <c r="D28" s="14"/>
      <c r="E28" s="14"/>
      <c r="F28" s="63"/>
      <c r="G28" s="70"/>
      <c r="H28" s="64"/>
      <c r="I28" s="14"/>
      <c r="J28" s="14"/>
      <c r="K28" s="14"/>
      <c r="L28" s="14"/>
      <c r="M28" s="14"/>
      <c r="N28" s="14" t="str">
        <f t="shared" si="12"/>
        <v/>
      </c>
      <c r="P28" s="9">
        <v>14</v>
      </c>
      <c r="Q28" s="9">
        <f t="shared" si="10"/>
        <v>2</v>
      </c>
      <c r="R28" s="9">
        <f t="shared" si="11"/>
        <v>2</v>
      </c>
      <c r="S28" s="14" t="str" cm="1">
        <f t="array" ref="S28">INDEX('Pregnancy-ConceptMap-2'!$I$15:$N$120,Q28+1,R28)</f>
        <v>* group[=].element[=].display = ##34#A.2.6.1.2 Status##34#</v>
      </c>
    </row>
    <row r="29" spans="1:20" x14ac:dyDescent="0.75">
      <c r="B29" s="9"/>
      <c r="C29" s="9"/>
      <c r="D29" s="14"/>
      <c r="E29" s="14"/>
      <c r="F29" s="63"/>
      <c r="G29" s="70"/>
      <c r="H29" s="64"/>
      <c r="I29" s="14"/>
      <c r="J29" s="14"/>
      <c r="K29" s="14"/>
      <c r="L29" s="14"/>
      <c r="M29" s="14"/>
      <c r="N29" s="14" t="str">
        <f t="shared" si="12"/>
        <v/>
      </c>
      <c r="P29" s="9">
        <v>15</v>
      </c>
      <c r="Q29" s="9">
        <f t="shared" si="10"/>
        <v>2</v>
      </c>
      <c r="R29" s="9">
        <f t="shared" si="11"/>
        <v>3</v>
      </c>
      <c r="S29" s="14" t="str" cm="1">
        <f t="array" ref="S29">INDEX('Pregnancy-ConceptMap-2'!$I$15:$N$120,Q29+1,R29)</f>
        <v>* group[=].element[=].target.code = #Observation.valueCodeabelConcept</v>
      </c>
    </row>
    <row r="30" spans="1:20" x14ac:dyDescent="0.75">
      <c r="B30" s="9"/>
      <c r="C30" s="9"/>
      <c r="D30" s="14"/>
      <c r="E30" s="14"/>
      <c r="F30" s="63"/>
      <c r="G30" s="70"/>
      <c r="H30" s="64"/>
      <c r="I30" s="14"/>
      <c r="J30" s="14"/>
      <c r="K30" s="14"/>
      <c r="L30" s="14"/>
      <c r="M30" s="14"/>
      <c r="N30" s="14" t="str">
        <f t="shared" si="12"/>
        <v/>
      </c>
      <c r="P30" s="9">
        <v>16</v>
      </c>
      <c r="Q30" s="9">
        <f t="shared" si="10"/>
        <v>2</v>
      </c>
      <c r="R30" s="9">
        <f t="shared" si="11"/>
        <v>4</v>
      </c>
      <c r="S30" s="14" t="str" cm="1">
        <f t="array" ref="S30">INDEX('Pregnancy-ConceptMap-2'!$I$15:$N$120,Q30+1,R30)</f>
        <v>* group[=].element[=].target.display = ##34###34#</v>
      </c>
    </row>
    <row r="31" spans="1:20" x14ac:dyDescent="0.75">
      <c r="B31" s="9"/>
      <c r="C31" s="9"/>
      <c r="D31" s="14"/>
      <c r="E31" s="14"/>
      <c r="F31" s="63"/>
      <c r="G31" s="70"/>
      <c r="H31" s="64"/>
      <c r="I31" s="14"/>
      <c r="J31" s="14"/>
      <c r="K31" s="14"/>
      <c r="L31" s="14"/>
      <c r="M31" s="14"/>
      <c r="N31" s="14" t="str">
        <f t="shared" si="12"/>
        <v/>
      </c>
      <c r="P31" s="9">
        <v>17</v>
      </c>
      <c r="Q31" s="9">
        <f t="shared" si="10"/>
        <v>2</v>
      </c>
      <c r="R31" s="9">
        <f t="shared" si="11"/>
        <v>5</v>
      </c>
      <c r="S31" s="14" t="str" cm="1">
        <f t="array" ref="S31">INDEX('Pregnancy-ConceptMap-2'!$I$15:$N$120,Q31+1,R31)</f>
        <v>* group[=].element[=].target.equivalence = #equivalent</v>
      </c>
    </row>
    <row r="32" spans="1:20" s="1" customFormat="1" x14ac:dyDescent="0.75">
      <c r="A32"/>
      <c r="B32" s="9"/>
      <c r="C32" s="9"/>
      <c r="D32" s="14"/>
      <c r="E32" s="14"/>
      <c r="F32" s="63"/>
      <c r="G32" s="81"/>
      <c r="H32" s="64"/>
      <c r="I32" s="14"/>
      <c r="J32" s="14"/>
      <c r="K32" s="14"/>
      <c r="L32" s="14"/>
      <c r="M32" s="14"/>
      <c r="N32" s="14" t="str">
        <f t="shared" si="12"/>
        <v/>
      </c>
      <c r="P32" s="9">
        <v>18</v>
      </c>
      <c r="Q32" s="9">
        <f t="shared" si="10"/>
        <v>2</v>
      </c>
      <c r="R32" s="9">
        <f t="shared" si="11"/>
        <v>6</v>
      </c>
      <c r="S32" s="14" t="str" cm="1">
        <f t="array" ref="S32">INDEX('Pregnancy-ConceptMap-2'!$I$15:$N$120,Q32+1,R32)</f>
        <v/>
      </c>
      <c r="T32"/>
    </row>
    <row r="33" spans="1:20" s="1" customFormat="1" x14ac:dyDescent="0.75">
      <c r="A33"/>
      <c r="B33" s="9"/>
      <c r="C33" s="9"/>
      <c r="D33" s="52"/>
      <c r="F33" s="64"/>
      <c r="G33" s="81"/>
      <c r="H33" s="64"/>
      <c r="I33" s="14"/>
      <c r="J33" s="14"/>
      <c r="K33" s="14"/>
      <c r="L33" s="14"/>
      <c r="M33" s="14"/>
      <c r="N33" s="14" t="str">
        <f t="shared" si="12"/>
        <v/>
      </c>
      <c r="P33" s="9">
        <v>19</v>
      </c>
      <c r="Q33" s="9">
        <f t="shared" si="10"/>
        <v>3</v>
      </c>
      <c r="R33" s="9">
        <f t="shared" si="11"/>
        <v>1</v>
      </c>
      <c r="S33" s="14" t="str" cm="1">
        <f t="array" ref="S33">INDEX('Pregnancy-ConceptMap-2'!$I$15:$N$120,Q33+1,R33)</f>
        <v>* group[=].element[+].code = #Pregnancy.pregnancyStatus.deliveryDate</v>
      </c>
      <c r="T33"/>
    </row>
    <row r="34" spans="1:20" s="1" customFormat="1" x14ac:dyDescent="0.75">
      <c r="A34"/>
      <c r="B34" s="9"/>
      <c r="C34" s="9"/>
      <c r="F34" s="64"/>
      <c r="G34" s="81"/>
      <c r="H34" s="64"/>
      <c r="I34" s="14"/>
      <c r="J34" s="14"/>
      <c r="K34" s="14"/>
      <c r="L34" s="14"/>
      <c r="M34" s="14"/>
      <c r="N34" s="14" t="str">
        <f t="shared" si="12"/>
        <v/>
      </c>
      <c r="P34" s="9">
        <v>20</v>
      </c>
      <c r="Q34" s="9">
        <f t="shared" si="10"/>
        <v>3</v>
      </c>
      <c r="R34" s="9">
        <f t="shared" si="11"/>
        <v>2</v>
      </c>
      <c r="S34" s="14" t="str" cm="1">
        <f t="array" ref="S34">INDEX('Pregnancy-ConceptMap-2'!$I$15:$N$120,Q34+1,R34)</f>
        <v>* group[=].element[=].display = ##34#A.2.6.1.3 Expected date of delivery##34#</v>
      </c>
      <c r="T34"/>
    </row>
    <row r="35" spans="1:20" s="1" customFormat="1" x14ac:dyDescent="0.75">
      <c r="A35"/>
      <c r="B35" s="9"/>
      <c r="C35" s="9"/>
      <c r="F35" s="64"/>
      <c r="G35" s="81"/>
      <c r="H35" s="64"/>
      <c r="I35" s="14"/>
      <c r="J35" s="14"/>
      <c r="K35" s="14"/>
      <c r="L35" s="14"/>
      <c r="M35" s="14"/>
      <c r="N35" s="14" t="str">
        <f t="shared" si="12"/>
        <v/>
      </c>
      <c r="P35" s="9">
        <v>21</v>
      </c>
      <c r="Q35" s="9">
        <f t="shared" si="10"/>
        <v>3</v>
      </c>
      <c r="R35" s="9">
        <f t="shared" si="11"/>
        <v>3</v>
      </c>
      <c r="S35" s="14" t="str" cm="1">
        <f t="array" ref="S35">INDEX('Pregnancy-ConceptMap-2'!$I$15:$N$120,Q35+1,R35)</f>
        <v>* group[=].element[=].target.code = #Observation.hasMember.valueDateTime</v>
      </c>
      <c r="T35"/>
    </row>
    <row r="36" spans="1:20" s="1" customFormat="1" x14ac:dyDescent="0.75">
      <c r="A36"/>
      <c r="B36" s="9"/>
      <c r="C36" s="9"/>
      <c r="F36" s="64"/>
      <c r="G36" s="81"/>
      <c r="H36" s="64"/>
      <c r="I36" s="14"/>
      <c r="J36" s="14"/>
      <c r="K36" s="14"/>
      <c r="L36" s="14"/>
      <c r="M36" s="14"/>
      <c r="N36" s="14" t="str">
        <f t="shared" si="12"/>
        <v/>
      </c>
      <c r="P36" s="9">
        <v>22</v>
      </c>
      <c r="Q36" s="9">
        <f t="shared" si="10"/>
        <v>3</v>
      </c>
      <c r="R36" s="9">
        <f t="shared" si="11"/>
        <v>4</v>
      </c>
      <c r="S36" s="14" t="str" cm="1">
        <f t="array" ref="S36">INDEX('Pregnancy-ConceptMap-2'!$I$15:$N$120,Q36+1,R36)</f>
        <v>* group[=].element[=].target.display = ##34###34#</v>
      </c>
      <c r="T36"/>
    </row>
    <row r="37" spans="1:20" s="1" customFormat="1" x14ac:dyDescent="0.75">
      <c r="A37"/>
      <c r="B37" s="9"/>
      <c r="C37" s="9"/>
      <c r="F37" s="64"/>
      <c r="G37" s="81"/>
      <c r="H37" s="64"/>
      <c r="I37" s="14"/>
      <c r="J37" s="14"/>
      <c r="K37" s="14"/>
      <c r="L37" s="14"/>
      <c r="M37" s="14"/>
      <c r="N37" s="14" t="str">
        <f t="shared" si="12"/>
        <v/>
      </c>
      <c r="P37" s="9">
        <v>23</v>
      </c>
      <c r="Q37" s="9">
        <f t="shared" si="10"/>
        <v>3</v>
      </c>
      <c r="R37" s="9">
        <f t="shared" si="11"/>
        <v>5</v>
      </c>
      <c r="S37" s="14" t="str" cm="1">
        <f t="array" ref="S37">INDEX('Pregnancy-ConceptMap-2'!$I$15:$N$120,Q37+1,R37)</f>
        <v>* group[=].element[=].target.equivalence = #equivalent</v>
      </c>
      <c r="T37"/>
    </row>
    <row r="38" spans="1:20" s="1" customFormat="1" ht="29.5" x14ac:dyDescent="0.75">
      <c r="A38"/>
      <c r="B38" s="9"/>
      <c r="C38" s="9"/>
      <c r="F38" s="64"/>
      <c r="G38" s="81"/>
      <c r="H38" s="64"/>
      <c r="I38" s="14"/>
      <c r="J38" s="14"/>
      <c r="K38" s="14"/>
      <c r="L38" s="14"/>
      <c r="M38" s="14"/>
      <c r="N38" s="14" t="str">
        <f t="shared" si="12"/>
        <v/>
      </c>
      <c r="P38" s="9">
        <v>24</v>
      </c>
      <c r="Q38" s="9">
        <f t="shared" si="10"/>
        <v>3</v>
      </c>
      <c r="R38" s="9">
        <f t="shared" si="11"/>
        <v>6</v>
      </c>
      <c r="S38" s="14" t="str" cm="1">
        <f t="array" ref="S38">INDEX('Pregnancy-ConceptMap-2'!$I$15:$N$120,Q38+1,R38)</f>
        <v>* group[=].element[=].target.comment = ##34#Where hasMember.code IN PregnancyExpectedDeliveryDateMethodUvIps value set##34#</v>
      </c>
      <c r="T38"/>
    </row>
    <row r="39" spans="1:20" s="1" customFormat="1" x14ac:dyDescent="0.75">
      <c r="A39"/>
      <c r="B39" s="9"/>
      <c r="C39"/>
      <c r="F39" s="64"/>
      <c r="G39" s="81"/>
      <c r="H39" s="64"/>
      <c r="I39" s="14"/>
      <c r="J39" s="14"/>
      <c r="K39" s="14"/>
      <c r="L39" s="14"/>
      <c r="M39" s="14"/>
      <c r="N39" s="14" t="str">
        <f t="shared" si="12"/>
        <v/>
      </c>
      <c r="P39" s="9">
        <v>25</v>
      </c>
      <c r="Q39" s="9">
        <f t="shared" si="10"/>
        <v>4</v>
      </c>
      <c r="R39" s="9">
        <f t="shared" si="11"/>
        <v>1</v>
      </c>
      <c r="S39" s="14" cm="1">
        <f t="array" ref="S39">INDEX('Pregnancy-ConceptMap-2'!$I$15:$N$120,Q39+1,R39)</f>
        <v>0</v>
      </c>
      <c r="T39"/>
    </row>
    <row r="40" spans="1:20" s="1" customFormat="1" x14ac:dyDescent="0.75">
      <c r="A40"/>
      <c r="B40" s="9"/>
      <c r="C40"/>
      <c r="F40" s="64"/>
      <c r="G40" s="81"/>
      <c r="H40" s="64"/>
      <c r="I40" s="14"/>
      <c r="J40" s="14"/>
      <c r="K40" s="14"/>
      <c r="L40" s="14"/>
      <c r="M40" s="14"/>
      <c r="N40" s="14" t="str">
        <f t="shared" si="12"/>
        <v/>
      </c>
      <c r="P40" s="9">
        <v>26</v>
      </c>
      <c r="Q40" s="9">
        <f t="shared" si="10"/>
        <v>4</v>
      </c>
      <c r="R40" s="9">
        <f t="shared" si="11"/>
        <v>2</v>
      </c>
      <c r="S40" s="14" cm="1">
        <f t="array" ref="S40">INDEX('Pregnancy-ConceptMap-2'!$I$15:$N$120,Q40+1,R40)</f>
        <v>0</v>
      </c>
      <c r="T40"/>
    </row>
    <row r="41" spans="1:20" x14ac:dyDescent="0.75">
      <c r="P41" s="9">
        <v>27</v>
      </c>
      <c r="Q41" s="9">
        <f t="shared" si="10"/>
        <v>4</v>
      </c>
      <c r="R41" s="9">
        <f t="shared" si="11"/>
        <v>3</v>
      </c>
      <c r="S41" s="14" cm="1">
        <f t="array" ref="S41">INDEX('Pregnancy-ConceptMap-2'!$I$15:$N$120,Q41+1,R41)</f>
        <v>0</v>
      </c>
    </row>
    <row r="42" spans="1:20" x14ac:dyDescent="0.75">
      <c r="P42" s="9">
        <v>28</v>
      </c>
      <c r="Q42" s="9">
        <f t="shared" si="10"/>
        <v>4</v>
      </c>
      <c r="R42" s="9">
        <f t="shared" si="11"/>
        <v>4</v>
      </c>
      <c r="S42" s="14" cm="1">
        <f t="array" ref="S42">INDEX('Pregnancy-ConceptMap-2'!$I$15:$N$120,Q42+1,R42)</f>
        <v>0</v>
      </c>
    </row>
    <row r="43" spans="1:20" x14ac:dyDescent="0.75">
      <c r="P43" s="9">
        <v>29</v>
      </c>
      <c r="Q43" s="9">
        <f t="shared" si="10"/>
        <v>4</v>
      </c>
      <c r="R43" s="9">
        <f t="shared" si="11"/>
        <v>5</v>
      </c>
      <c r="S43" s="14" cm="1">
        <f t="array" ref="S43">INDEX('Pregnancy-ConceptMap-2'!$I$15:$N$120,Q43+1,R43)</f>
        <v>0</v>
      </c>
    </row>
    <row r="44" spans="1:20" x14ac:dyDescent="0.75">
      <c r="P44" s="9">
        <v>30</v>
      </c>
      <c r="Q44" s="9">
        <f t="shared" si="10"/>
        <v>4</v>
      </c>
      <c r="R44" s="9">
        <f t="shared" si="11"/>
        <v>6</v>
      </c>
      <c r="S44" s="14" cm="1">
        <f t="array" ref="S44">INDEX('Pregnancy-ConceptMap-2'!$I$15:$N$120,Q44+1,R44)</f>
        <v>0</v>
      </c>
    </row>
    <row r="45" spans="1:20" x14ac:dyDescent="0.75">
      <c r="P45" s="9">
        <v>31</v>
      </c>
      <c r="Q45" s="9">
        <f t="shared" si="10"/>
        <v>5</v>
      </c>
      <c r="R45" s="9">
        <f t="shared" si="11"/>
        <v>1</v>
      </c>
      <c r="S45" s="14" cm="1">
        <f t="array" ref="S45">INDEX('Pregnancy-ConceptMap-2'!$I$15:$N$120,Q45+1,R45)</f>
        <v>0</v>
      </c>
    </row>
    <row r="46" spans="1:20" x14ac:dyDescent="0.75">
      <c r="P46" s="9">
        <v>32</v>
      </c>
      <c r="Q46" s="9">
        <f t="shared" si="10"/>
        <v>5</v>
      </c>
      <c r="R46" s="9">
        <f t="shared" si="11"/>
        <v>2</v>
      </c>
      <c r="S46" s="14" cm="1">
        <f t="array" ref="S46">INDEX('Pregnancy-ConceptMap-2'!$I$15:$N$120,Q46+1,R46)</f>
        <v>0</v>
      </c>
    </row>
    <row r="47" spans="1:20" x14ac:dyDescent="0.75">
      <c r="P47" s="9">
        <v>33</v>
      </c>
      <c r="Q47" s="9">
        <f t="shared" si="10"/>
        <v>5</v>
      </c>
      <c r="R47" s="9">
        <f t="shared" si="11"/>
        <v>3</v>
      </c>
      <c r="S47" s="14" cm="1">
        <f t="array" ref="S47">INDEX('Pregnancy-ConceptMap-2'!$I$15:$N$120,Q47+1,R47)</f>
        <v>0</v>
      </c>
    </row>
    <row r="48" spans="1:20" x14ac:dyDescent="0.75">
      <c r="P48" s="9">
        <v>34</v>
      </c>
      <c r="Q48" s="9">
        <f t="shared" si="10"/>
        <v>5</v>
      </c>
      <c r="R48" s="9">
        <f t="shared" si="11"/>
        <v>4</v>
      </c>
      <c r="S48" s="14" cm="1">
        <f t="array" ref="S48">INDEX('Pregnancy-ConceptMap-2'!$I$15:$N$120,Q48+1,R48)</f>
        <v>0</v>
      </c>
    </row>
    <row r="49" spans="16:19" x14ac:dyDescent="0.75">
      <c r="P49" s="9">
        <v>35</v>
      </c>
      <c r="Q49" s="9">
        <f t="shared" si="10"/>
        <v>5</v>
      </c>
      <c r="R49" s="9">
        <f t="shared" si="11"/>
        <v>5</v>
      </c>
      <c r="S49" s="14" cm="1">
        <f t="array" ref="S49">INDEX('Pregnancy-ConceptMap-2'!$I$15:$N$120,Q49+1,R49)</f>
        <v>0</v>
      </c>
    </row>
    <row r="50" spans="16:19" x14ac:dyDescent="0.75">
      <c r="P50" s="9">
        <v>36</v>
      </c>
      <c r="Q50" s="9">
        <f t="shared" si="10"/>
        <v>5</v>
      </c>
      <c r="R50" s="9">
        <f t="shared" si="11"/>
        <v>6</v>
      </c>
      <c r="S50" s="14" cm="1">
        <f t="array" ref="S50">INDEX('Pregnancy-ConceptMap-2'!$I$15:$N$120,Q50+1,R50)</f>
        <v>0</v>
      </c>
    </row>
    <row r="51" spans="16:19" x14ac:dyDescent="0.75">
      <c r="P51" s="9">
        <v>37</v>
      </c>
      <c r="Q51" s="9">
        <f t="shared" si="10"/>
        <v>6</v>
      </c>
      <c r="R51" s="9">
        <f t="shared" si="11"/>
        <v>1</v>
      </c>
      <c r="S51" s="14" cm="1">
        <f t="array" ref="S51">INDEX('Pregnancy-ConceptMap-2'!$I$15:$N$120,Q51+1,R51)</f>
        <v>0</v>
      </c>
    </row>
    <row r="52" spans="16:19" x14ac:dyDescent="0.75">
      <c r="P52" s="9">
        <v>38</v>
      </c>
      <c r="Q52" s="9">
        <f t="shared" si="10"/>
        <v>6</v>
      </c>
      <c r="R52" s="9">
        <f t="shared" si="11"/>
        <v>2</v>
      </c>
      <c r="S52" s="14" cm="1">
        <f t="array" ref="S52">INDEX('Pregnancy-ConceptMap-2'!$I$15:$N$120,Q52+1,R52)</f>
        <v>0</v>
      </c>
    </row>
    <row r="53" spans="16:19" x14ac:dyDescent="0.75">
      <c r="P53" s="9">
        <v>39</v>
      </c>
      <c r="Q53" s="9">
        <f t="shared" si="10"/>
        <v>6</v>
      </c>
      <c r="R53" s="9">
        <f t="shared" si="11"/>
        <v>3</v>
      </c>
      <c r="S53" s="14" cm="1">
        <f t="array" ref="S53">INDEX('Pregnancy-ConceptMap-2'!$I$15:$N$120,Q53+1,R53)</f>
        <v>0</v>
      </c>
    </row>
    <row r="54" spans="16:19" x14ac:dyDescent="0.75">
      <c r="P54" s="9">
        <v>40</v>
      </c>
      <c r="Q54" s="9">
        <f t="shared" si="10"/>
        <v>6</v>
      </c>
      <c r="R54" s="9">
        <f t="shared" si="11"/>
        <v>4</v>
      </c>
      <c r="S54" s="14" cm="1">
        <f t="array" ref="S54">INDEX('Pregnancy-ConceptMap-2'!$I$15:$N$120,Q54+1,R54)</f>
        <v>0</v>
      </c>
    </row>
    <row r="55" spans="16:19" x14ac:dyDescent="0.75">
      <c r="P55" s="9">
        <v>41</v>
      </c>
      <c r="Q55" s="9">
        <f t="shared" si="10"/>
        <v>6</v>
      </c>
      <c r="R55" s="9">
        <f t="shared" si="11"/>
        <v>5</v>
      </c>
      <c r="S55" s="14" cm="1">
        <f t="array" ref="S55">INDEX('Pregnancy-ConceptMap-2'!$I$15:$N$120,Q55+1,R55)</f>
        <v>0</v>
      </c>
    </row>
    <row r="56" spans="16:19" x14ac:dyDescent="0.75">
      <c r="P56" s="9">
        <v>42</v>
      </c>
      <c r="Q56" s="9">
        <f t="shared" si="10"/>
        <v>6</v>
      </c>
      <c r="R56" s="9">
        <f t="shared" si="11"/>
        <v>6</v>
      </c>
      <c r="S56" s="14" t="str" cm="1">
        <f t="array" ref="S56">INDEX('Pregnancy-ConceptMap-2'!$I$15:$N$120,Q56+1,R56)</f>
        <v/>
      </c>
    </row>
    <row r="57" spans="16:19" x14ac:dyDescent="0.75">
      <c r="P57" s="9">
        <v>43</v>
      </c>
      <c r="Q57" s="9">
        <f t="shared" si="10"/>
        <v>7</v>
      </c>
      <c r="R57" s="9">
        <f t="shared" si="11"/>
        <v>1</v>
      </c>
      <c r="S57" s="14" cm="1">
        <f t="array" ref="S57">INDEX('Pregnancy-ConceptMap-2'!$I$15:$N$120,Q57+1,R57)</f>
        <v>0</v>
      </c>
    </row>
    <row r="58" spans="16:19" x14ac:dyDescent="0.75">
      <c r="P58" s="9">
        <v>44</v>
      </c>
      <c r="Q58" s="9">
        <f t="shared" si="10"/>
        <v>7</v>
      </c>
      <c r="R58" s="9">
        <f t="shared" si="11"/>
        <v>2</v>
      </c>
      <c r="S58" s="14" cm="1">
        <f t="array" ref="S58">INDEX('Pregnancy-ConceptMap-2'!$I$15:$N$120,Q58+1,R58)</f>
        <v>0</v>
      </c>
    </row>
    <row r="59" spans="16:19" x14ac:dyDescent="0.75">
      <c r="P59" s="9">
        <v>45</v>
      </c>
      <c r="Q59" s="9">
        <f t="shared" si="10"/>
        <v>7</v>
      </c>
      <c r="R59" s="9">
        <f t="shared" si="11"/>
        <v>3</v>
      </c>
      <c r="S59" s="14" cm="1">
        <f t="array" ref="S59">INDEX('Pregnancy-ConceptMap-2'!$I$15:$N$120,Q59+1,R59)</f>
        <v>0</v>
      </c>
    </row>
    <row r="60" spans="16:19" x14ac:dyDescent="0.75">
      <c r="P60" s="9">
        <v>46</v>
      </c>
      <c r="Q60" s="9">
        <f t="shared" si="10"/>
        <v>7</v>
      </c>
      <c r="R60" s="9">
        <f t="shared" si="11"/>
        <v>4</v>
      </c>
      <c r="S60" s="14" cm="1">
        <f t="array" ref="S60">INDEX('Pregnancy-ConceptMap-2'!$I$15:$N$120,Q60+1,R60)</f>
        <v>0</v>
      </c>
    </row>
    <row r="61" spans="16:19" x14ac:dyDescent="0.75">
      <c r="P61" s="9">
        <v>47</v>
      </c>
      <c r="Q61" s="9">
        <f t="shared" si="10"/>
        <v>7</v>
      </c>
      <c r="R61" s="9">
        <f t="shared" si="11"/>
        <v>5</v>
      </c>
      <c r="S61" s="14" cm="1">
        <f t="array" ref="S61">INDEX('Pregnancy-ConceptMap-2'!$I$15:$N$120,Q61+1,R61)</f>
        <v>0</v>
      </c>
    </row>
    <row r="62" spans="16:19" x14ac:dyDescent="0.75">
      <c r="P62" s="9">
        <v>48</v>
      </c>
      <c r="Q62" s="9">
        <f t="shared" si="10"/>
        <v>7</v>
      </c>
      <c r="R62" s="9">
        <f t="shared" si="11"/>
        <v>6</v>
      </c>
      <c r="S62" s="14" t="str" cm="1">
        <f t="array" ref="S62">INDEX('Pregnancy-ConceptMap-2'!$I$15:$N$120,Q62+1,R62)</f>
        <v/>
      </c>
    </row>
    <row r="63" spans="16:19" x14ac:dyDescent="0.75">
      <c r="P63" s="9">
        <v>49</v>
      </c>
      <c r="Q63" s="9">
        <f t="shared" si="10"/>
        <v>8</v>
      </c>
      <c r="R63" s="9">
        <f t="shared" si="11"/>
        <v>1</v>
      </c>
      <c r="S63" s="14" cm="1">
        <f t="array" ref="S63">INDEX('Pregnancy-ConceptMap-2'!$I$15:$N$120,Q63+1,R63)</f>
        <v>0</v>
      </c>
    </row>
    <row r="64" spans="16:19" x14ac:dyDescent="0.75">
      <c r="P64" s="9">
        <v>50</v>
      </c>
      <c r="Q64" s="9">
        <f t="shared" si="10"/>
        <v>8</v>
      </c>
      <c r="R64" s="9">
        <f t="shared" si="11"/>
        <v>2</v>
      </c>
      <c r="S64" s="14" cm="1">
        <f t="array" ref="S64">INDEX('Pregnancy-ConceptMap-2'!$I$15:$N$120,Q64+1,R64)</f>
        <v>0</v>
      </c>
    </row>
    <row r="65" spans="16:19" x14ac:dyDescent="0.75">
      <c r="P65" s="9">
        <v>51</v>
      </c>
      <c r="Q65" s="9">
        <f t="shared" si="10"/>
        <v>8</v>
      </c>
      <c r="R65" s="9">
        <f t="shared" si="11"/>
        <v>3</v>
      </c>
      <c r="S65" s="14" cm="1">
        <f t="array" ref="S65">INDEX('Pregnancy-ConceptMap-2'!$I$15:$N$120,Q65+1,R65)</f>
        <v>0</v>
      </c>
    </row>
    <row r="66" spans="16:19" x14ac:dyDescent="0.75">
      <c r="P66" s="9">
        <v>52</v>
      </c>
      <c r="Q66" s="9">
        <f t="shared" si="10"/>
        <v>8</v>
      </c>
      <c r="R66" s="9">
        <f t="shared" si="11"/>
        <v>4</v>
      </c>
      <c r="S66" s="14" cm="1">
        <f t="array" ref="S66">INDEX('Pregnancy-ConceptMap-2'!$I$15:$N$120,Q66+1,R66)</f>
        <v>0</v>
      </c>
    </row>
    <row r="67" spans="16:19" x14ac:dyDescent="0.75">
      <c r="P67" s="9">
        <v>53</v>
      </c>
      <c r="Q67" s="9">
        <f t="shared" si="10"/>
        <v>8</v>
      </c>
      <c r="R67" s="9">
        <f t="shared" si="11"/>
        <v>5</v>
      </c>
      <c r="S67" s="14" cm="1">
        <f t="array" ref="S67">INDEX('Pregnancy-ConceptMap-2'!$I$15:$N$120,Q67+1,R67)</f>
        <v>0</v>
      </c>
    </row>
    <row r="68" spans="16:19" x14ac:dyDescent="0.75">
      <c r="P68" s="9">
        <v>54</v>
      </c>
      <c r="Q68" s="9">
        <f t="shared" si="10"/>
        <v>8</v>
      </c>
      <c r="R68" s="9">
        <f t="shared" si="11"/>
        <v>6</v>
      </c>
      <c r="S68" s="14" t="str" cm="1">
        <f t="array" ref="S68">INDEX('Pregnancy-ConceptMap-2'!$I$15:$N$120,Q68+1,R68)</f>
        <v/>
      </c>
    </row>
    <row r="69" spans="16:19" x14ac:dyDescent="0.75">
      <c r="P69" s="9">
        <v>55</v>
      </c>
      <c r="Q69" s="9">
        <f t="shared" si="10"/>
        <v>9</v>
      </c>
      <c r="R69" s="9">
        <f t="shared" si="11"/>
        <v>1</v>
      </c>
      <c r="S69" s="14" cm="1">
        <f t="array" ref="S69">INDEX('Pregnancy-ConceptMap-2'!$I$15:$N$120,Q69+1,R69)</f>
        <v>0</v>
      </c>
    </row>
    <row r="70" spans="16:19" x14ac:dyDescent="0.75">
      <c r="P70" s="9">
        <v>56</v>
      </c>
      <c r="Q70" s="9">
        <f t="shared" si="10"/>
        <v>9</v>
      </c>
      <c r="R70" s="9">
        <f t="shared" si="11"/>
        <v>2</v>
      </c>
      <c r="S70" s="14" cm="1">
        <f t="array" ref="S70">INDEX('Pregnancy-ConceptMap-2'!$I$15:$N$120,Q70+1,R70)</f>
        <v>0</v>
      </c>
    </row>
    <row r="71" spans="16:19" x14ac:dyDescent="0.75">
      <c r="P71" s="9">
        <v>57</v>
      </c>
      <c r="Q71" s="9">
        <f t="shared" si="10"/>
        <v>9</v>
      </c>
      <c r="R71" s="9">
        <f t="shared" si="11"/>
        <v>3</v>
      </c>
      <c r="S71" s="14" cm="1">
        <f t="array" ref="S71">INDEX('Pregnancy-ConceptMap-2'!$I$15:$N$120,Q71+1,R71)</f>
        <v>0</v>
      </c>
    </row>
    <row r="72" spans="16:19" x14ac:dyDescent="0.75">
      <c r="P72" s="9">
        <v>58</v>
      </c>
      <c r="Q72" s="9">
        <f t="shared" si="10"/>
        <v>9</v>
      </c>
      <c r="R72" s="9">
        <f t="shared" si="11"/>
        <v>4</v>
      </c>
      <c r="S72" s="14" cm="1">
        <f t="array" ref="S72">INDEX('Pregnancy-ConceptMap-2'!$I$15:$N$120,Q72+1,R72)</f>
        <v>0</v>
      </c>
    </row>
    <row r="73" spans="16:19" x14ac:dyDescent="0.75">
      <c r="P73" s="9">
        <v>59</v>
      </c>
      <c r="Q73" s="9">
        <f t="shared" si="10"/>
        <v>9</v>
      </c>
      <c r="R73" s="9">
        <f t="shared" si="11"/>
        <v>5</v>
      </c>
      <c r="S73" s="14" cm="1">
        <f t="array" ref="S73">INDEX('Pregnancy-ConceptMap-2'!$I$15:$N$120,Q73+1,R73)</f>
        <v>0</v>
      </c>
    </row>
    <row r="74" spans="16:19" x14ac:dyDescent="0.75">
      <c r="P74" s="9">
        <v>60</v>
      </c>
      <c r="Q74" s="9">
        <f t="shared" si="10"/>
        <v>9</v>
      </c>
      <c r="R74" s="9">
        <f t="shared" si="11"/>
        <v>6</v>
      </c>
      <c r="S74" s="14" t="str" cm="1">
        <f t="array" ref="S74">INDEX('Pregnancy-ConceptMap-2'!$I$15:$N$120,Q74+1,R74)</f>
        <v/>
      </c>
    </row>
    <row r="75" spans="16:19" x14ac:dyDescent="0.75">
      <c r="P75" s="9">
        <v>61</v>
      </c>
      <c r="Q75" s="9">
        <f t="shared" si="10"/>
        <v>10</v>
      </c>
      <c r="R75" s="9">
        <f t="shared" si="11"/>
        <v>1</v>
      </c>
      <c r="S75" s="14" cm="1">
        <f t="array" ref="S75">INDEX('Pregnancy-ConceptMap-2'!$I$15:$N$120,Q75+1,R75)</f>
        <v>0</v>
      </c>
    </row>
    <row r="76" spans="16:19" x14ac:dyDescent="0.75">
      <c r="P76" s="9">
        <v>62</v>
      </c>
      <c r="Q76" s="9">
        <f t="shared" si="10"/>
        <v>10</v>
      </c>
      <c r="R76" s="9">
        <f t="shared" si="11"/>
        <v>2</v>
      </c>
      <c r="S76" s="14" cm="1">
        <f t="array" ref="S76">INDEX('Pregnancy-ConceptMap-2'!$I$15:$N$120,Q76+1,R76)</f>
        <v>0</v>
      </c>
    </row>
    <row r="77" spans="16:19" x14ac:dyDescent="0.75">
      <c r="P77" s="9">
        <v>63</v>
      </c>
      <c r="Q77" s="9">
        <f t="shared" si="10"/>
        <v>10</v>
      </c>
      <c r="R77" s="9">
        <f t="shared" si="11"/>
        <v>3</v>
      </c>
      <c r="S77" s="14" cm="1">
        <f t="array" ref="S77">INDEX('Pregnancy-ConceptMap-2'!$I$15:$N$120,Q77+1,R77)</f>
        <v>0</v>
      </c>
    </row>
    <row r="78" spans="16:19" x14ac:dyDescent="0.75">
      <c r="P78" s="9">
        <v>64</v>
      </c>
      <c r="Q78" s="9">
        <f t="shared" si="10"/>
        <v>10</v>
      </c>
      <c r="R78" s="9">
        <f t="shared" si="11"/>
        <v>4</v>
      </c>
      <c r="S78" s="14" cm="1">
        <f t="array" ref="S78">INDEX('Pregnancy-ConceptMap-2'!$I$15:$N$120,Q78+1,R78)</f>
        <v>0</v>
      </c>
    </row>
  </sheetData>
  <mergeCells count="5">
    <mergeCell ref="B1:C1"/>
    <mergeCell ref="E3:G3"/>
    <mergeCell ref="E4:G4"/>
    <mergeCell ref="E6:G6"/>
    <mergeCell ref="E7:G7"/>
  </mergeCells>
  <hyperlinks>
    <hyperlink ref="E3" r:id="rId1" display="http://hl7.eu/fhir/laboratory/StructureDefinition/LeaglAu" xr:uid="{A3711A53-F4D5-4EB4-A263-654EC7664AAC}"/>
    <hyperlink ref="E6" r:id="rId2" display="http://hl7.eu/fhir/laboratory/StructureDefinition/Recipient" xr:uid="{E40C68BF-A85E-4574-9AFC-9411DD098943}"/>
    <hyperlink ref="E7" r:id="rId3" display="http://hl7.eu/fhir/StructureDefinition/information-recipient" xr:uid="{7097B404-E48B-4FAB-8404-DF5528007BB5}"/>
    <hyperlink ref="E4" r:id="rId4" xr:uid="{10D1DBFF-5B66-4559-8138-889887C31D6B}"/>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03CBD-BCB1-4116-920B-1B32794F80BC}">
  <sheetPr codeName="Foglio75">
    <tabColor theme="0" tint="-0.499984740745262"/>
  </sheetPr>
  <dimension ref="A1:T80"/>
  <sheetViews>
    <sheetView topLeftCell="N11" zoomScale="78"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6" t="s">
        <v>1316</v>
      </c>
      <c r="C1" s="167"/>
      <c r="E1" s="141" t="s">
        <v>1317</v>
      </c>
    </row>
    <row r="2" spans="1:19" ht="15.5" thickBot="1" x14ac:dyDescent="0.9"/>
    <row r="3" spans="1:19" ht="15.5" thickBot="1" x14ac:dyDescent="0.9">
      <c r="B3" s="61" t="s">
        <v>34</v>
      </c>
      <c r="C3" s="47" t="s">
        <v>1246</v>
      </c>
      <c r="D3" s="61" t="s">
        <v>208</v>
      </c>
      <c r="E3" s="165" t="str">
        <f>"http://hl7.eu/fhir/ig/xpandh/ps/StructureDefinition/"&amp;'A.2.3.3 Pregnancy'!B5</f>
        <v>http://hl7.eu/fhir/ig/xpandh/ps/StructureDefinition/Pregnancy</v>
      </c>
      <c r="F3" s="164"/>
      <c r="G3" s="164"/>
    </row>
    <row r="4" spans="1:19" x14ac:dyDescent="0.75">
      <c r="B4" s="61" t="s">
        <v>19</v>
      </c>
      <c r="C4" s="47" t="s">
        <v>1247</v>
      </c>
      <c r="D4" s="61" t="s">
        <v>209</v>
      </c>
      <c r="E4" s="168" t="s">
        <v>1223</v>
      </c>
      <c r="F4" s="169"/>
      <c r="G4" s="169"/>
    </row>
    <row r="5" spans="1:19" x14ac:dyDescent="0.75">
      <c r="B5" s="61" t="s">
        <v>13</v>
      </c>
      <c r="C5" s="10" t="s">
        <v>226</v>
      </c>
      <c r="D5" s="61"/>
      <c r="E5" s="10"/>
    </row>
    <row r="6" spans="1:19" x14ac:dyDescent="0.75">
      <c r="B6" s="61" t="s">
        <v>35</v>
      </c>
      <c r="C6" s="60"/>
      <c r="D6" s="61" t="s">
        <v>206</v>
      </c>
      <c r="E6" s="165" t="str">
        <f>E3</f>
        <v>http://hl7.eu/fhir/ig/xpandh/ps/StructureDefinition/Pregnancy</v>
      </c>
      <c r="F6" s="164"/>
      <c r="G6" s="164"/>
    </row>
    <row r="7" spans="1:19" x14ac:dyDescent="0.75">
      <c r="B7" s="61" t="s">
        <v>18</v>
      </c>
      <c r="C7" s="68"/>
      <c r="D7" s="61" t="s">
        <v>207</v>
      </c>
      <c r="E7" s="168" t="str">
        <f>E4</f>
        <v>http://hl7.eu/fhir/ig/xpandh/ps/StructureDefinition/Composition-ps-xpandh</v>
      </c>
      <c r="F7" s="169"/>
      <c r="G7" s="169"/>
    </row>
    <row r="8" spans="1:19" ht="44.25" x14ac:dyDescent="0.75">
      <c r="B8" s="61" t="s">
        <v>204</v>
      </c>
      <c r="C8" s="10" t="s">
        <v>1177</v>
      </c>
      <c r="D8" s="61"/>
      <c r="E8"/>
      <c r="I8" s="14" t="s">
        <v>181</v>
      </c>
      <c r="J8" s="14" t="s">
        <v>182</v>
      </c>
      <c r="K8" s="14" t="s">
        <v>183</v>
      </c>
      <c r="L8" s="14" t="s">
        <v>184</v>
      </c>
      <c r="M8" s="9" t="s">
        <v>185</v>
      </c>
      <c r="P8" s="57" t="s">
        <v>186</v>
      </c>
      <c r="Q8" s="57">
        <v>6</v>
      </c>
    </row>
    <row r="9" spans="1:19" ht="29.5" x14ac:dyDescent="0.75">
      <c r="B9" s="61" t="s">
        <v>205</v>
      </c>
      <c r="C9" s="1" t="s">
        <v>1178</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t="s">
        <v>245</v>
      </c>
      <c r="E14" s="110"/>
      <c r="F14" s="3"/>
      <c r="I14" s="14"/>
      <c r="J14" s="9"/>
      <c r="K14" s="9"/>
      <c r="L14" s="9"/>
      <c r="M14" s="59"/>
      <c r="N14" s="62"/>
    </row>
    <row r="15" spans="1:19" ht="88.5" x14ac:dyDescent="0.75">
      <c r="A15" s="22"/>
      <c r="B15" s="9" t="str">
        <f>'A.2.3.3 Pregnancy'!B12</f>
        <v>hxPreviousPregnancies</v>
      </c>
      <c r="C15" s="9" t="str">
        <f>'A.2.3.3 Pregnancy'!C12</f>
        <v>A.2.6.2 History of previous pregnancies</v>
      </c>
      <c r="D15" s="4"/>
      <c r="E15" s="9"/>
      <c r="F15" s="63" t="s">
        <v>193</v>
      </c>
      <c r="G15" s="14"/>
      <c r="H15" s="64"/>
      <c r="I15" s="14" t="str">
        <f t="shared" ref="I15" si="0">"* group[=].element[+].code = #"&amp;$B$14&amp;"."&amp;B15</f>
        <v>* group[=].element[+].code = #Pregnancy.hxPreviousPregnancies</v>
      </c>
      <c r="J15" s="14" t="str">
        <f t="shared" ref="J15" si="1">"* group[=].element[=].display = ##34#"&amp;C15&amp;"##34#"</f>
        <v>* group[=].element[=].display = ##34#A.2.6.2 History of previous pregnancies##34#</v>
      </c>
      <c r="K15" s="14" t="str">
        <f t="shared" ref="K15" si="2">IF(F15="unmatched","//-- unmatched","* group[=].element[=].target.code = #"&amp;$D$14&amp;"."&amp;D15)</f>
        <v>* group[=].element[=].target.code = #Observation.</v>
      </c>
      <c r="L15" s="14" t="str">
        <f t="shared" ref="L15" si="3">IF(F15="unmatched","//-- unmatched","* group[=].element[=].target.display = ##34#"&amp;E15&amp;"##34#")</f>
        <v>* group[=].element[=].target.display = ##34###34#</v>
      </c>
      <c r="M15" s="14" t="str">
        <f t="shared" ref="M15" si="4">"* group[=].element[=].target.equivalence = #"&amp;F15</f>
        <v>* group[=].element[=].target.equivalence = #relatedto</v>
      </c>
      <c r="N15" s="14" t="str">
        <f t="shared" ref="N15" si="5">IF(G15&lt;&gt;"",CONCATENATE("* group[=].element[=].target.comment = ","##34#",G15,"##34#"),"")</f>
        <v/>
      </c>
      <c r="P15" s="9">
        <v>1</v>
      </c>
      <c r="Q15" s="9">
        <f t="shared" ref="Q15" si="6">IF(MOD(P15,$Q$8)=0,P15/$Q$8-1,INT(P15/$Q$8))</f>
        <v>0</v>
      </c>
      <c r="R15" s="9">
        <f t="shared" ref="R15" si="7">IF(MOD(P15,$Q$8)=0,$Q$8,MOD(P15,$Q$8))</f>
        <v>1</v>
      </c>
      <c r="S15" s="14" t="str" cm="1">
        <f t="array" ref="S15">INDEX('Pregnancy-ConceptMap-3'!$I$15:$N$122,Q15+1,R15)</f>
        <v>* group[=].element[+].code = #Pregnancy.hxPreviousPregnancies</v>
      </c>
    </row>
    <row r="16" spans="1:19" ht="73.75" x14ac:dyDescent="0.75">
      <c r="A16" s="22"/>
      <c r="B16" s="9" t="str">
        <f>'A.2.3.3 Pregnancy'!B13</f>
        <v>hxPreviousPregnancies.status</v>
      </c>
      <c r="C16" s="9" t="str">
        <f>'A.2.3.3 Pregnancy'!C13</f>
        <v>A.2.6.2.1 Previous pregnancies status</v>
      </c>
      <c r="D16" s="4" t="s">
        <v>1282</v>
      </c>
      <c r="E16" s="9"/>
      <c r="F16" s="63" t="s">
        <v>193</v>
      </c>
      <c r="G16" s="4" t="s">
        <v>1283</v>
      </c>
      <c r="H16" s="64"/>
      <c r="I16" s="14" t="str">
        <f t="shared" ref="I16:I20" si="8">"* group[=].element[+].code = #"&amp;$B$14&amp;"."&amp;B16</f>
        <v>* group[=].element[+].code = #Pregnancy.hxPreviousPregnancies.status</v>
      </c>
      <c r="J16" s="14" t="str">
        <f t="shared" ref="J16:J20" si="9">"* group[=].element[=].display = ##34#"&amp;C16&amp;"##34#"</f>
        <v>* group[=].element[=].display = ##34#A.2.6.2.1 Previous pregnancies status##34#</v>
      </c>
      <c r="K16" s="14" t="str">
        <f t="shared" ref="K16:K20" si="10">IF(F16="unmatched","//-- unmatched","* group[=].element[=].target.code = #"&amp;$D$14&amp;"."&amp;D16)</f>
        <v>* group[=].element[=].target.code = #Observation.section:sectionPregnancyHx.entry</v>
      </c>
      <c r="L16" s="14" t="str">
        <f t="shared" ref="L16:L20" si="11">IF(F16="unmatched","//-- unmatched","* group[=].element[=].target.display = ##34#"&amp;E16&amp;"##34#")</f>
        <v>* group[=].element[=].target.display = ##34###34#</v>
      </c>
      <c r="M16" s="14" t="str">
        <f t="shared" ref="M16:M20" si="12">"* group[=].element[=].target.equivalence = #"&amp;F16</f>
        <v>* group[=].element[=].target.equivalence = #relatedto</v>
      </c>
      <c r="N16" s="14" t="str">
        <f t="shared" ref="N16:N20" si="13">IF(G16&lt;&gt;"",CONCATENATE("* group[=].element[=].target.comment = ","##34#",G16,"##34#"),"")</f>
        <v>* group[=].element[=].target.comment = ##34#Observation profile to be added##34#</v>
      </c>
      <c r="P16" s="9">
        <v>2</v>
      </c>
      <c r="Q16" s="9">
        <f t="shared" ref="Q16:Q79" si="14">IF(MOD(P16,$Q$8)=0,P16/$Q$8-1,INT(P16/$Q$8))</f>
        <v>0</v>
      </c>
      <c r="R16" s="9">
        <f t="shared" ref="R16:R79" si="15">IF(MOD(P16,$Q$8)=0,$Q$8,MOD(P16,$Q$8))</f>
        <v>2</v>
      </c>
      <c r="S16" s="14" t="str" cm="1">
        <f t="array" ref="S16">INDEX('Pregnancy-ConceptMap-3'!$I$15:$N$122,Q16+1,R16)</f>
        <v>* group[=].element[=].display = ##34#A.2.6.2 History of previous pregnancies##34#</v>
      </c>
    </row>
    <row r="17" spans="1:19" ht="44.25" x14ac:dyDescent="0.75">
      <c r="A17" s="22"/>
      <c r="B17" s="9" t="str">
        <f>'A.2.3.3 Pregnancy'!B14</f>
        <v>hxPreviousPregnancies.description</v>
      </c>
      <c r="C17" s="9" t="str">
        <f>'A.2.3.3 Pregnancy'!C14</f>
        <v>A.2.6.2.2 Previous pregnancies description</v>
      </c>
      <c r="D17" s="4"/>
      <c r="E17" s="9"/>
      <c r="F17" s="63" t="s">
        <v>193</v>
      </c>
      <c r="G17" s="79" t="s">
        <v>515</v>
      </c>
      <c r="H17" s="64"/>
      <c r="I17" s="14" t="str">
        <f t="shared" si="8"/>
        <v>* group[=].element[+].code = #Pregnancy.hxPreviousPregnancies.description</v>
      </c>
      <c r="J17" s="14" t="str">
        <f t="shared" si="9"/>
        <v>* group[=].element[=].display = ##34#A.2.6.2.2 Previous pregnancies description##34#</v>
      </c>
      <c r="K17" s="14" t="str">
        <f t="shared" si="10"/>
        <v>* group[=].element[=].target.code = #Observation.</v>
      </c>
      <c r="L17" s="14" t="str">
        <f t="shared" si="11"/>
        <v>* group[=].element[=].target.display = ##34###34#</v>
      </c>
      <c r="M17" s="14" t="str">
        <f t="shared" si="12"/>
        <v>* group[=].element[=].target.equivalence = #relatedto</v>
      </c>
      <c r="N17" s="14" t="str">
        <f t="shared" si="13"/>
        <v>* group[=].element[=].target.comment = ##34#To be checked##34#</v>
      </c>
      <c r="P17" s="9">
        <v>3</v>
      </c>
      <c r="Q17" s="9">
        <f t="shared" si="14"/>
        <v>0</v>
      </c>
      <c r="R17" s="9">
        <f t="shared" si="15"/>
        <v>3</v>
      </c>
      <c r="S17" s="14" t="str" cm="1">
        <f t="array" ref="S17">INDEX('Pregnancy-ConceptMap-3'!$I$15:$N$122,Q17+1,R17)</f>
        <v>* group[=].element[=].target.code = #Observation.</v>
      </c>
    </row>
    <row r="18" spans="1:19" ht="59" x14ac:dyDescent="0.75">
      <c r="A18" s="22"/>
      <c r="B18" s="9" t="str">
        <f>'A.2.3.3 Pregnancy'!B15</f>
        <v>hxPreviousPregnancies.description.outcomeDate</v>
      </c>
      <c r="C18" s="9" t="str">
        <f>'A.2.3.3 Pregnancy'!C15</f>
        <v>A.2.6.2.2.1 Outcome date</v>
      </c>
      <c r="D18" s="14" t="s">
        <v>1098</v>
      </c>
      <c r="E18" s="9"/>
      <c r="F18" s="63" t="s">
        <v>192</v>
      </c>
      <c r="G18" s="70"/>
      <c r="H18" s="64"/>
      <c r="I18" s="14" t="str">
        <f t="shared" si="8"/>
        <v>* group[=].element[+].code = #Pregnancy.hxPreviousPregnancies.description.outcomeDate</v>
      </c>
      <c r="J18" s="14" t="str">
        <f t="shared" si="9"/>
        <v>* group[=].element[=].display = ##34#A.2.6.2.2.1 Outcome date##34#</v>
      </c>
      <c r="K18" s="14" t="str">
        <f t="shared" si="10"/>
        <v>* group[=].element[=].target.code = #Observation.effectiveDateTime</v>
      </c>
      <c r="L18" s="14" t="str">
        <f t="shared" si="11"/>
        <v>* group[=].element[=].target.display = ##34###34#</v>
      </c>
      <c r="M18" s="14" t="str">
        <f t="shared" si="12"/>
        <v>* group[=].element[=].target.equivalence = #equivalent</v>
      </c>
      <c r="N18" s="14" t="str">
        <f t="shared" si="13"/>
        <v/>
      </c>
      <c r="P18" s="9">
        <v>4</v>
      </c>
      <c r="Q18" s="9">
        <f t="shared" si="14"/>
        <v>0</v>
      </c>
      <c r="R18" s="9">
        <f t="shared" si="15"/>
        <v>4</v>
      </c>
      <c r="S18" s="14" t="str" cm="1">
        <f t="array" ref="S18">INDEX('Pregnancy-ConceptMap-3'!$I$15:$N$122,Q18+1,R18)</f>
        <v>* group[=].element[=].target.display = ##34###34#</v>
      </c>
    </row>
    <row r="19" spans="1:19" ht="44.25" x14ac:dyDescent="0.75">
      <c r="A19" s="22"/>
      <c r="B19" s="9" t="str">
        <f>'A.2.3.3 Pregnancy'!B16</f>
        <v>hxPreviousPregnancies.description.outcome</v>
      </c>
      <c r="C19" s="9" t="str">
        <f>'A.2.3.3 Pregnancy'!C16</f>
        <v>A.2.6.2.2.2 Outcome</v>
      </c>
      <c r="D19" s="14" t="s">
        <v>189</v>
      </c>
      <c r="E19" s="9"/>
      <c r="F19" s="63" t="s">
        <v>192</v>
      </c>
      <c r="G19" s="79" t="s">
        <v>1286</v>
      </c>
      <c r="H19" s="64"/>
      <c r="I19" s="14" t="str">
        <f t="shared" si="8"/>
        <v>* group[=].element[+].code = #Pregnancy.hxPreviousPregnancies.description.outcome</v>
      </c>
      <c r="J19" s="14" t="str">
        <f t="shared" si="9"/>
        <v>* group[=].element[=].display = ##34#A.2.6.2.2.2 Outcome##34#</v>
      </c>
      <c r="K19" s="14" t="str">
        <f t="shared" si="10"/>
        <v>* group[=].element[=].target.code = #Observation.code</v>
      </c>
      <c r="L19" s="14" t="str">
        <f t="shared" si="11"/>
        <v>* group[=].element[=].target.display = ##34###34#</v>
      </c>
      <c r="M19" s="14" t="str">
        <f t="shared" si="12"/>
        <v>* group[=].element[=].target.equivalence = #equivalent</v>
      </c>
      <c r="N19" s="14" t="str">
        <f t="shared" si="13"/>
        <v>* group[=].element[=].target.comment = ##34#to be checked##34#</v>
      </c>
      <c r="P19" s="9">
        <v>5</v>
      </c>
      <c r="Q19" s="9">
        <f t="shared" si="14"/>
        <v>0</v>
      </c>
      <c r="R19" s="9">
        <f t="shared" si="15"/>
        <v>5</v>
      </c>
      <c r="S19" s="14" t="str" cm="1">
        <f t="array" ref="S19">INDEX('Pregnancy-ConceptMap-3'!$I$15:$N$122,Q19+1,R19)</f>
        <v>* group[=].element[=].target.equivalence = #relatedto</v>
      </c>
    </row>
    <row r="20" spans="1:19" ht="44.25" x14ac:dyDescent="0.75">
      <c r="A20" s="22"/>
      <c r="B20" s="9" t="str">
        <f>'A.2.3.3 Pregnancy'!B17</f>
        <v>hxPreviousPregnancies.description.numberOfChildren</v>
      </c>
      <c r="C20" s="9" t="str">
        <f>'A.2.3.3 Pregnancy'!C17</f>
        <v>A.2.6.2.2.3 Number of children</v>
      </c>
      <c r="D20" s="14" t="s">
        <v>1321</v>
      </c>
      <c r="E20" s="14"/>
      <c r="F20" s="63" t="s">
        <v>192</v>
      </c>
      <c r="G20" s="70"/>
      <c r="H20" s="64"/>
      <c r="I20" s="14" t="str">
        <f t="shared" si="8"/>
        <v>* group[=].element[+].code = #Pregnancy.hxPreviousPregnancies.description.numberOfChildren</v>
      </c>
      <c r="J20" s="14" t="str">
        <f t="shared" si="9"/>
        <v>* group[=].element[=].display = ##34#A.2.6.2.2.3 Number of children##34#</v>
      </c>
      <c r="K20" s="14" t="str">
        <f t="shared" si="10"/>
        <v>* group[=].element[=].target.code = #Observation.valueQuentity</v>
      </c>
      <c r="L20" s="14" t="str">
        <f t="shared" si="11"/>
        <v>* group[=].element[=].target.display = ##34###34#</v>
      </c>
      <c r="M20" s="14" t="str">
        <f t="shared" si="12"/>
        <v>* group[=].element[=].target.equivalence = #equivalent</v>
      </c>
      <c r="N20" s="14" t="str">
        <f t="shared" si="13"/>
        <v/>
      </c>
      <c r="P20" s="9">
        <v>6</v>
      </c>
      <c r="Q20" s="9">
        <f t="shared" si="14"/>
        <v>0</v>
      </c>
      <c r="R20" s="9">
        <f t="shared" si="15"/>
        <v>6</v>
      </c>
      <c r="S20" s="14" t="str" cm="1">
        <f t="array" ref="S20">INDEX('Pregnancy-ConceptMap-3'!$I$15:$N$122,Q20+1,R20)</f>
        <v/>
      </c>
    </row>
    <row r="21" spans="1:19" x14ac:dyDescent="0.75">
      <c r="A21" s="22"/>
      <c r="B21" s="22"/>
      <c r="C21" s="22"/>
      <c r="D21" s="22"/>
      <c r="E21" s="14"/>
      <c r="F21" s="63"/>
      <c r="G21" s="70"/>
      <c r="H21" s="64"/>
      <c r="I21" s="14"/>
      <c r="J21" s="14"/>
      <c r="K21" s="14"/>
      <c r="L21" s="14"/>
      <c r="M21" s="14"/>
      <c r="N21" s="14"/>
      <c r="P21" s="9">
        <v>7</v>
      </c>
      <c r="Q21" s="9">
        <f t="shared" si="14"/>
        <v>1</v>
      </c>
      <c r="R21" s="9">
        <f t="shared" si="15"/>
        <v>1</v>
      </c>
      <c r="S21" s="14" t="str" cm="1">
        <f t="array" ref="S21">INDEX('Pregnancy-ConceptMap-3'!$I$15:$N$122,Q21+1,R21)</f>
        <v>* group[=].element[+].code = #Pregnancy.hxPreviousPregnancies.status</v>
      </c>
    </row>
    <row r="22" spans="1:19" x14ac:dyDescent="0.75">
      <c r="D22"/>
      <c r="E22" s="14"/>
      <c r="F22" s="63"/>
      <c r="G22" s="70"/>
      <c r="H22" s="64"/>
      <c r="I22" s="14"/>
      <c r="J22" s="14"/>
      <c r="K22" s="14"/>
      <c r="L22" s="14"/>
      <c r="M22" s="14"/>
      <c r="N22" s="14"/>
      <c r="P22" s="9">
        <v>8</v>
      </c>
      <c r="Q22" s="9">
        <f t="shared" si="14"/>
        <v>1</v>
      </c>
      <c r="R22" s="9">
        <f t="shared" si="15"/>
        <v>2</v>
      </c>
      <c r="S22" s="14" t="str" cm="1">
        <f t="array" ref="S22">INDEX('Pregnancy-ConceptMap-3'!$I$15:$N$122,Q22+1,R22)</f>
        <v>* group[=].element[=].display = ##34#A.2.6.2.1 Previous pregnancies status##34#</v>
      </c>
    </row>
    <row r="23" spans="1:19" x14ac:dyDescent="0.75">
      <c r="D23"/>
      <c r="E23" s="14"/>
      <c r="F23" s="63"/>
      <c r="G23" s="70"/>
      <c r="H23" s="64"/>
      <c r="I23" s="14"/>
      <c r="J23" s="14"/>
      <c r="K23" s="14"/>
      <c r="L23" s="14"/>
      <c r="M23" s="14"/>
      <c r="N23" s="14" t="str">
        <f t="shared" ref="N23:N42" si="16">IF(G23&lt;&gt;"",CONCATENATE("* group[=].element[=].target.comment = ","##34#",G23,"##34#"),"")</f>
        <v/>
      </c>
      <c r="P23" s="9">
        <v>9</v>
      </c>
      <c r="Q23" s="9">
        <f t="shared" si="14"/>
        <v>1</v>
      </c>
      <c r="R23" s="9">
        <f t="shared" si="15"/>
        <v>3</v>
      </c>
      <c r="S23" s="14" t="str" cm="1">
        <f t="array" ref="S23">INDEX('Pregnancy-ConceptMap-3'!$I$15:$N$122,Q23+1,R23)</f>
        <v>* group[=].element[=].target.code = #Observation.section:sectionPregnancyHx.entry</v>
      </c>
    </row>
    <row r="24" spans="1:19" x14ac:dyDescent="0.75">
      <c r="B24" s="9"/>
      <c r="C24" s="9"/>
      <c r="D24" s="14"/>
      <c r="E24" s="14"/>
      <c r="F24" s="63"/>
      <c r="G24" s="70"/>
      <c r="H24" s="64"/>
      <c r="I24" s="14"/>
      <c r="J24" s="14"/>
      <c r="K24" s="14"/>
      <c r="L24" s="14"/>
      <c r="M24" s="14"/>
      <c r="N24" s="14" t="str">
        <f t="shared" si="16"/>
        <v/>
      </c>
      <c r="P24" s="9">
        <v>10</v>
      </c>
      <c r="Q24" s="9">
        <f t="shared" si="14"/>
        <v>1</v>
      </c>
      <c r="R24" s="9">
        <f t="shared" si="15"/>
        <v>4</v>
      </c>
      <c r="S24" s="14" t="str" cm="1">
        <f t="array" ref="S24">INDEX('Pregnancy-ConceptMap-3'!$I$15:$N$122,Q24+1,R24)</f>
        <v>* group[=].element[=].target.display = ##34###34#</v>
      </c>
    </row>
    <row r="25" spans="1:19" x14ac:dyDescent="0.75">
      <c r="B25" s="9"/>
      <c r="C25" s="9"/>
      <c r="D25" s="14"/>
      <c r="E25" s="14"/>
      <c r="F25" s="63"/>
      <c r="G25" s="70"/>
      <c r="H25" s="64"/>
      <c r="I25" s="14"/>
      <c r="J25" s="14"/>
      <c r="K25" s="14"/>
      <c r="L25" s="14"/>
      <c r="M25" s="14"/>
      <c r="N25" s="14" t="str">
        <f t="shared" si="16"/>
        <v/>
      </c>
      <c r="P25" s="9">
        <v>11</v>
      </c>
      <c r="Q25" s="9">
        <f t="shared" si="14"/>
        <v>1</v>
      </c>
      <c r="R25" s="9">
        <f t="shared" si="15"/>
        <v>5</v>
      </c>
      <c r="S25" s="14" t="str" cm="1">
        <f t="array" ref="S25">INDEX('Pregnancy-ConceptMap-3'!$I$15:$N$122,Q25+1,R25)</f>
        <v>* group[=].element[=].target.equivalence = #relatedto</v>
      </c>
    </row>
    <row r="26" spans="1:19" x14ac:dyDescent="0.75">
      <c r="B26" s="9"/>
      <c r="C26" s="9"/>
      <c r="D26" s="14"/>
      <c r="E26" s="14"/>
      <c r="F26" s="63"/>
      <c r="G26" s="70"/>
      <c r="H26" s="64"/>
      <c r="I26" s="14"/>
      <c r="J26" s="14"/>
      <c r="K26" s="14"/>
      <c r="L26" s="14"/>
      <c r="M26" s="14"/>
      <c r="N26" s="14" t="str">
        <f t="shared" si="16"/>
        <v/>
      </c>
      <c r="P26" s="9">
        <v>12</v>
      </c>
      <c r="Q26" s="9">
        <f t="shared" si="14"/>
        <v>1</v>
      </c>
      <c r="R26" s="9">
        <f t="shared" si="15"/>
        <v>6</v>
      </c>
      <c r="S26" s="14" t="str" cm="1">
        <f t="array" ref="S26">INDEX('Pregnancy-ConceptMap-3'!$I$15:$N$122,Q26+1,R26)</f>
        <v>* group[=].element[=].target.comment = ##34#Observation profile to be added##34#</v>
      </c>
    </row>
    <row r="27" spans="1:19" x14ac:dyDescent="0.75">
      <c r="B27" s="9"/>
      <c r="C27" s="9"/>
      <c r="D27" s="14"/>
      <c r="E27" s="14"/>
      <c r="F27" s="63"/>
      <c r="G27" s="70"/>
      <c r="H27" s="64"/>
      <c r="I27" s="14"/>
      <c r="J27" s="14"/>
      <c r="K27" s="14"/>
      <c r="L27" s="14"/>
      <c r="M27" s="14"/>
      <c r="N27" s="14" t="str">
        <f t="shared" si="16"/>
        <v/>
      </c>
      <c r="P27" s="9">
        <v>13</v>
      </c>
      <c r="Q27" s="9">
        <f t="shared" si="14"/>
        <v>2</v>
      </c>
      <c r="R27" s="9">
        <f t="shared" si="15"/>
        <v>1</v>
      </c>
      <c r="S27" s="14" t="str" cm="1">
        <f t="array" ref="S27">INDEX('Pregnancy-ConceptMap-3'!$I$15:$N$122,Q27+1,R27)</f>
        <v>* group[=].element[+].code = #Pregnancy.hxPreviousPregnancies.description</v>
      </c>
    </row>
    <row r="28" spans="1:19" ht="29.5" x14ac:dyDescent="0.75">
      <c r="B28" s="9"/>
      <c r="C28" s="9"/>
      <c r="D28" s="14"/>
      <c r="E28" s="14"/>
      <c r="F28" s="63"/>
      <c r="G28" s="70"/>
      <c r="H28" s="64"/>
      <c r="I28" s="14"/>
      <c r="J28" s="14"/>
      <c r="K28" s="14"/>
      <c r="L28" s="14"/>
      <c r="M28" s="14"/>
      <c r="N28" s="14" t="str">
        <f t="shared" si="16"/>
        <v/>
      </c>
      <c r="P28" s="9">
        <v>14</v>
      </c>
      <c r="Q28" s="9">
        <f t="shared" si="14"/>
        <v>2</v>
      </c>
      <c r="R28" s="9">
        <f t="shared" si="15"/>
        <v>2</v>
      </c>
      <c r="S28" s="14" t="str" cm="1">
        <f t="array" ref="S28">INDEX('Pregnancy-ConceptMap-3'!$I$15:$N$122,Q28+1,R28)</f>
        <v>* group[=].element[=].display = ##34#A.2.6.2.2 Previous pregnancies description##34#</v>
      </c>
    </row>
    <row r="29" spans="1:19" x14ac:dyDescent="0.75">
      <c r="B29" s="9"/>
      <c r="C29" s="9"/>
      <c r="D29" s="14"/>
      <c r="E29" s="14"/>
      <c r="F29" s="63"/>
      <c r="G29" s="70"/>
      <c r="H29" s="64"/>
      <c r="I29" s="14"/>
      <c r="J29" s="14"/>
      <c r="K29" s="14"/>
      <c r="L29" s="14"/>
      <c r="M29" s="14"/>
      <c r="N29" s="14" t="str">
        <f t="shared" si="16"/>
        <v/>
      </c>
      <c r="P29" s="9">
        <v>15</v>
      </c>
      <c r="Q29" s="9">
        <f t="shared" si="14"/>
        <v>2</v>
      </c>
      <c r="R29" s="9">
        <f t="shared" si="15"/>
        <v>3</v>
      </c>
      <c r="S29" s="14" t="str" cm="1">
        <f t="array" ref="S29">INDEX('Pregnancy-ConceptMap-3'!$I$15:$N$122,Q29+1,R29)</f>
        <v>* group[=].element[=].target.code = #Observation.</v>
      </c>
    </row>
    <row r="30" spans="1:19" x14ac:dyDescent="0.75">
      <c r="B30" s="9"/>
      <c r="C30" s="9"/>
      <c r="D30" s="14"/>
      <c r="E30" s="14"/>
      <c r="F30" s="63"/>
      <c r="G30" s="70"/>
      <c r="H30" s="64"/>
      <c r="I30" s="14"/>
      <c r="J30" s="14"/>
      <c r="K30" s="14"/>
      <c r="L30" s="14"/>
      <c r="M30" s="14"/>
      <c r="N30" s="14" t="str">
        <f t="shared" si="16"/>
        <v/>
      </c>
      <c r="P30" s="9">
        <v>16</v>
      </c>
      <c r="Q30" s="9">
        <f t="shared" si="14"/>
        <v>2</v>
      </c>
      <c r="R30" s="9">
        <f t="shared" si="15"/>
        <v>4</v>
      </c>
      <c r="S30" s="14" t="str" cm="1">
        <f t="array" ref="S30">INDEX('Pregnancy-ConceptMap-3'!$I$15:$N$122,Q30+1,R30)</f>
        <v>* group[=].element[=].target.display = ##34###34#</v>
      </c>
    </row>
    <row r="31" spans="1:19" x14ac:dyDescent="0.75">
      <c r="B31" s="9"/>
      <c r="C31" s="9"/>
      <c r="D31" s="14"/>
      <c r="E31" s="14"/>
      <c r="F31" s="63"/>
      <c r="G31" s="70"/>
      <c r="H31" s="64"/>
      <c r="I31" s="14"/>
      <c r="J31" s="14"/>
      <c r="K31" s="14"/>
      <c r="L31" s="14"/>
      <c r="M31" s="14"/>
      <c r="N31" s="14" t="str">
        <f t="shared" si="16"/>
        <v/>
      </c>
      <c r="P31" s="9">
        <v>17</v>
      </c>
      <c r="Q31" s="9">
        <f t="shared" si="14"/>
        <v>2</v>
      </c>
      <c r="R31" s="9">
        <f t="shared" si="15"/>
        <v>5</v>
      </c>
      <c r="S31" s="14" t="str" cm="1">
        <f t="array" ref="S31">INDEX('Pregnancy-ConceptMap-3'!$I$15:$N$122,Q31+1,R31)</f>
        <v>* group[=].element[=].target.equivalence = #relatedto</v>
      </c>
    </row>
    <row r="32" spans="1:19" x14ac:dyDescent="0.75">
      <c r="B32" s="9"/>
      <c r="C32" s="9"/>
      <c r="D32" s="14"/>
      <c r="E32" s="14"/>
      <c r="F32" s="63"/>
      <c r="G32" s="70"/>
      <c r="H32" s="64"/>
      <c r="I32" s="14"/>
      <c r="J32" s="14"/>
      <c r="K32" s="14"/>
      <c r="L32" s="14"/>
      <c r="M32" s="14"/>
      <c r="N32" s="14" t="str">
        <f t="shared" si="16"/>
        <v/>
      </c>
      <c r="P32" s="9">
        <v>18</v>
      </c>
      <c r="Q32" s="9">
        <f t="shared" si="14"/>
        <v>2</v>
      </c>
      <c r="R32" s="9">
        <f t="shared" si="15"/>
        <v>6</v>
      </c>
      <c r="S32" s="14" t="str" cm="1">
        <f t="array" ref="S32">INDEX('Pregnancy-ConceptMap-3'!$I$15:$N$122,Q32+1,R32)</f>
        <v>* group[=].element[=].target.comment = ##34#To be checked##34#</v>
      </c>
    </row>
    <row r="33" spans="1:20" ht="29.5" x14ac:dyDescent="0.75">
      <c r="B33" s="9"/>
      <c r="C33" s="9"/>
      <c r="D33" s="14"/>
      <c r="E33" s="14"/>
      <c r="F33" s="63"/>
      <c r="G33" s="70"/>
      <c r="H33" s="64"/>
      <c r="I33" s="14"/>
      <c r="J33" s="14"/>
      <c r="K33" s="14"/>
      <c r="L33" s="14"/>
      <c r="M33" s="14"/>
      <c r="N33" s="14" t="str">
        <f t="shared" si="16"/>
        <v/>
      </c>
      <c r="P33" s="9">
        <v>19</v>
      </c>
      <c r="Q33" s="9">
        <f t="shared" si="14"/>
        <v>3</v>
      </c>
      <c r="R33" s="9">
        <f t="shared" si="15"/>
        <v>1</v>
      </c>
      <c r="S33" s="14" t="str" cm="1">
        <f t="array" ref="S33">INDEX('Pregnancy-ConceptMap-3'!$I$15:$N$122,Q33+1,R33)</f>
        <v>* group[=].element[+].code = #Pregnancy.hxPreviousPregnancies.description.outcomeDate</v>
      </c>
    </row>
    <row r="34" spans="1:20" s="1" customFormat="1" x14ac:dyDescent="0.75">
      <c r="A34"/>
      <c r="B34" s="9"/>
      <c r="C34" s="9"/>
      <c r="D34" s="14"/>
      <c r="E34" s="14"/>
      <c r="F34" s="63"/>
      <c r="G34" s="81"/>
      <c r="H34" s="64"/>
      <c r="I34" s="14"/>
      <c r="J34" s="14"/>
      <c r="K34" s="14"/>
      <c r="L34" s="14"/>
      <c r="M34" s="14"/>
      <c r="N34" s="14" t="str">
        <f t="shared" si="16"/>
        <v/>
      </c>
      <c r="P34" s="9">
        <v>20</v>
      </c>
      <c r="Q34" s="9">
        <f t="shared" si="14"/>
        <v>3</v>
      </c>
      <c r="R34" s="9">
        <f t="shared" si="15"/>
        <v>2</v>
      </c>
      <c r="S34" s="14" t="str" cm="1">
        <f t="array" ref="S34">INDEX('Pregnancy-ConceptMap-3'!$I$15:$N$122,Q34+1,R34)</f>
        <v>* group[=].element[=].display = ##34#A.2.6.2.2.1 Outcome date##34#</v>
      </c>
      <c r="T34"/>
    </row>
    <row r="35" spans="1:20" s="1" customFormat="1" x14ac:dyDescent="0.75">
      <c r="A35"/>
      <c r="B35" s="9"/>
      <c r="C35" s="9"/>
      <c r="D35" s="52"/>
      <c r="F35" s="64"/>
      <c r="G35" s="81"/>
      <c r="H35" s="64"/>
      <c r="I35" s="14"/>
      <c r="J35" s="14"/>
      <c r="K35" s="14"/>
      <c r="L35" s="14"/>
      <c r="M35" s="14"/>
      <c r="N35" s="14" t="str">
        <f t="shared" si="16"/>
        <v/>
      </c>
      <c r="P35" s="9">
        <v>21</v>
      </c>
      <c r="Q35" s="9">
        <f t="shared" si="14"/>
        <v>3</v>
      </c>
      <c r="R35" s="9">
        <f t="shared" si="15"/>
        <v>3</v>
      </c>
      <c r="S35" s="14" t="str" cm="1">
        <f t="array" ref="S35">INDEX('Pregnancy-ConceptMap-3'!$I$15:$N$122,Q35+1,R35)</f>
        <v>* group[=].element[=].target.code = #Observation.effectiveDateTime</v>
      </c>
      <c r="T35"/>
    </row>
    <row r="36" spans="1:20" s="1" customFormat="1" x14ac:dyDescent="0.75">
      <c r="A36"/>
      <c r="B36" s="9"/>
      <c r="C36" s="9"/>
      <c r="F36" s="64"/>
      <c r="G36" s="81"/>
      <c r="H36" s="64"/>
      <c r="I36" s="14"/>
      <c r="J36" s="14"/>
      <c r="K36" s="14"/>
      <c r="L36" s="14"/>
      <c r="M36" s="14"/>
      <c r="N36" s="14" t="str">
        <f t="shared" si="16"/>
        <v/>
      </c>
      <c r="P36" s="9">
        <v>22</v>
      </c>
      <c r="Q36" s="9">
        <f t="shared" si="14"/>
        <v>3</v>
      </c>
      <c r="R36" s="9">
        <f t="shared" si="15"/>
        <v>4</v>
      </c>
      <c r="S36" s="14" t="str" cm="1">
        <f t="array" ref="S36">INDEX('Pregnancy-ConceptMap-3'!$I$15:$N$122,Q36+1,R36)</f>
        <v>* group[=].element[=].target.display = ##34###34#</v>
      </c>
      <c r="T36"/>
    </row>
    <row r="37" spans="1:20" s="1" customFormat="1" x14ac:dyDescent="0.75">
      <c r="A37"/>
      <c r="B37" s="9"/>
      <c r="C37" s="9"/>
      <c r="F37" s="64"/>
      <c r="G37" s="81"/>
      <c r="H37" s="64"/>
      <c r="I37" s="14"/>
      <c r="J37" s="14"/>
      <c r="K37" s="14"/>
      <c r="L37" s="14"/>
      <c r="M37" s="14"/>
      <c r="N37" s="14" t="str">
        <f t="shared" si="16"/>
        <v/>
      </c>
      <c r="P37" s="9">
        <v>23</v>
      </c>
      <c r="Q37" s="9">
        <f t="shared" si="14"/>
        <v>3</v>
      </c>
      <c r="R37" s="9">
        <f t="shared" si="15"/>
        <v>5</v>
      </c>
      <c r="S37" s="14" t="str" cm="1">
        <f t="array" ref="S37">INDEX('Pregnancy-ConceptMap-3'!$I$15:$N$122,Q37+1,R37)</f>
        <v>* group[=].element[=].target.equivalence = #equivalent</v>
      </c>
      <c r="T37"/>
    </row>
    <row r="38" spans="1:20" s="1" customFormat="1" x14ac:dyDescent="0.75">
      <c r="A38"/>
      <c r="B38" s="9"/>
      <c r="C38" s="9"/>
      <c r="F38" s="64"/>
      <c r="G38" s="81"/>
      <c r="H38" s="64"/>
      <c r="I38" s="14"/>
      <c r="J38" s="14"/>
      <c r="K38" s="14"/>
      <c r="L38" s="14"/>
      <c r="M38" s="14"/>
      <c r="N38" s="14" t="str">
        <f t="shared" si="16"/>
        <v/>
      </c>
      <c r="P38" s="9">
        <v>24</v>
      </c>
      <c r="Q38" s="9">
        <f t="shared" si="14"/>
        <v>3</v>
      </c>
      <c r="R38" s="9">
        <f t="shared" si="15"/>
        <v>6</v>
      </c>
      <c r="S38" s="14" t="str" cm="1">
        <f t="array" ref="S38">INDEX('Pregnancy-ConceptMap-3'!$I$15:$N$122,Q38+1,R38)</f>
        <v/>
      </c>
      <c r="T38"/>
    </row>
    <row r="39" spans="1:20" s="1" customFormat="1" ht="29.5" x14ac:dyDescent="0.75">
      <c r="A39"/>
      <c r="B39" s="9"/>
      <c r="C39" s="9"/>
      <c r="F39" s="64"/>
      <c r="G39" s="81"/>
      <c r="H39" s="64"/>
      <c r="I39" s="14"/>
      <c r="J39" s="14"/>
      <c r="K39" s="14"/>
      <c r="L39" s="14"/>
      <c r="M39" s="14"/>
      <c r="N39" s="14" t="str">
        <f t="shared" si="16"/>
        <v/>
      </c>
      <c r="P39" s="9">
        <v>25</v>
      </c>
      <c r="Q39" s="9">
        <f t="shared" si="14"/>
        <v>4</v>
      </c>
      <c r="R39" s="9">
        <f t="shared" si="15"/>
        <v>1</v>
      </c>
      <c r="S39" s="14" t="str" cm="1">
        <f t="array" ref="S39">INDEX('Pregnancy-ConceptMap-3'!$I$15:$N$122,Q39+1,R39)</f>
        <v>* group[=].element[+].code = #Pregnancy.hxPreviousPregnancies.description.outcome</v>
      </c>
      <c r="T39"/>
    </row>
    <row r="40" spans="1:20" s="1" customFormat="1" x14ac:dyDescent="0.75">
      <c r="A40"/>
      <c r="B40" s="9"/>
      <c r="C40" s="9"/>
      <c r="F40" s="64"/>
      <c r="G40" s="81"/>
      <c r="H40" s="64"/>
      <c r="I40" s="14"/>
      <c r="J40" s="14"/>
      <c r="K40" s="14"/>
      <c r="L40" s="14"/>
      <c r="M40" s="14"/>
      <c r="N40" s="14" t="str">
        <f t="shared" si="16"/>
        <v/>
      </c>
      <c r="P40" s="9">
        <v>26</v>
      </c>
      <c r="Q40" s="9">
        <f t="shared" si="14"/>
        <v>4</v>
      </c>
      <c r="R40" s="9">
        <f t="shared" si="15"/>
        <v>2</v>
      </c>
      <c r="S40" s="14" t="str" cm="1">
        <f t="array" ref="S40">INDEX('Pregnancy-ConceptMap-3'!$I$15:$N$122,Q40+1,R40)</f>
        <v>* group[=].element[=].display = ##34#A.2.6.2.2.2 Outcome##34#</v>
      </c>
      <c r="T40"/>
    </row>
    <row r="41" spans="1:20" s="1" customFormat="1" x14ac:dyDescent="0.75">
      <c r="A41"/>
      <c r="B41" s="9"/>
      <c r="C41"/>
      <c r="F41" s="64"/>
      <c r="G41" s="81"/>
      <c r="H41" s="64"/>
      <c r="I41" s="14"/>
      <c r="J41" s="14"/>
      <c r="K41" s="14"/>
      <c r="L41" s="14"/>
      <c r="M41" s="14"/>
      <c r="N41" s="14" t="str">
        <f t="shared" si="16"/>
        <v/>
      </c>
      <c r="P41" s="9">
        <v>27</v>
      </c>
      <c r="Q41" s="9">
        <f t="shared" si="14"/>
        <v>4</v>
      </c>
      <c r="R41" s="9">
        <f t="shared" si="15"/>
        <v>3</v>
      </c>
      <c r="S41" s="14" t="str" cm="1">
        <f t="array" ref="S41">INDEX('Pregnancy-ConceptMap-3'!$I$15:$N$122,Q41+1,R41)</f>
        <v>* group[=].element[=].target.code = #Observation.code</v>
      </c>
      <c r="T41"/>
    </row>
    <row r="42" spans="1:20" s="1" customFormat="1" x14ac:dyDescent="0.75">
      <c r="A42"/>
      <c r="B42" s="9"/>
      <c r="C42"/>
      <c r="F42" s="64"/>
      <c r="G42" s="81"/>
      <c r="H42" s="64"/>
      <c r="I42" s="14"/>
      <c r="J42" s="14"/>
      <c r="K42" s="14"/>
      <c r="L42" s="14"/>
      <c r="M42" s="14"/>
      <c r="N42" s="14" t="str">
        <f t="shared" si="16"/>
        <v/>
      </c>
      <c r="P42" s="9">
        <v>28</v>
      </c>
      <c r="Q42" s="9">
        <f t="shared" si="14"/>
        <v>4</v>
      </c>
      <c r="R42" s="9">
        <f t="shared" si="15"/>
        <v>4</v>
      </c>
      <c r="S42" s="14" t="str" cm="1">
        <f t="array" ref="S42">INDEX('Pregnancy-ConceptMap-3'!$I$15:$N$122,Q42+1,R42)</f>
        <v>* group[=].element[=].target.display = ##34###34#</v>
      </c>
      <c r="T42"/>
    </row>
    <row r="43" spans="1:20" x14ac:dyDescent="0.75">
      <c r="P43" s="9">
        <v>29</v>
      </c>
      <c r="Q43" s="9">
        <f t="shared" si="14"/>
        <v>4</v>
      </c>
      <c r="R43" s="9">
        <f t="shared" si="15"/>
        <v>5</v>
      </c>
      <c r="S43" s="14" t="str" cm="1">
        <f t="array" ref="S43">INDEX('Pregnancy-ConceptMap-3'!$I$15:$N$122,Q43+1,R43)</f>
        <v>* group[=].element[=].target.equivalence = #equivalent</v>
      </c>
    </row>
    <row r="44" spans="1:20" x14ac:dyDescent="0.75">
      <c r="P44" s="9">
        <v>30</v>
      </c>
      <c r="Q44" s="9">
        <f t="shared" si="14"/>
        <v>4</v>
      </c>
      <c r="R44" s="9">
        <f t="shared" si="15"/>
        <v>6</v>
      </c>
      <c r="S44" s="14" t="str" cm="1">
        <f t="array" ref="S44">INDEX('Pregnancy-ConceptMap-3'!$I$15:$N$122,Q44+1,R44)</f>
        <v>* group[=].element[=].target.comment = ##34#to be checked##34#</v>
      </c>
    </row>
    <row r="45" spans="1:20" ht="29.5" x14ac:dyDescent="0.75">
      <c r="P45" s="9">
        <v>31</v>
      </c>
      <c r="Q45" s="9">
        <f t="shared" si="14"/>
        <v>5</v>
      </c>
      <c r="R45" s="9">
        <f t="shared" si="15"/>
        <v>1</v>
      </c>
      <c r="S45" s="14" t="str" cm="1">
        <f t="array" ref="S45">INDEX('Pregnancy-ConceptMap-3'!$I$15:$N$122,Q45+1,R45)</f>
        <v>* group[=].element[+].code = #Pregnancy.hxPreviousPregnancies.description.numberOfChildren</v>
      </c>
    </row>
    <row r="46" spans="1:20" x14ac:dyDescent="0.75">
      <c r="P46" s="9">
        <v>32</v>
      </c>
      <c r="Q46" s="9">
        <f t="shared" si="14"/>
        <v>5</v>
      </c>
      <c r="R46" s="9">
        <f t="shared" si="15"/>
        <v>2</v>
      </c>
      <c r="S46" s="14" t="str" cm="1">
        <f t="array" ref="S46">INDEX('Pregnancy-ConceptMap-3'!$I$15:$N$122,Q46+1,R46)</f>
        <v>* group[=].element[=].display = ##34#A.2.6.2.2.3 Number of children##34#</v>
      </c>
    </row>
    <row r="47" spans="1:20" x14ac:dyDescent="0.75">
      <c r="P47" s="9">
        <v>33</v>
      </c>
      <c r="Q47" s="9">
        <f t="shared" si="14"/>
        <v>5</v>
      </c>
      <c r="R47" s="9">
        <f t="shared" si="15"/>
        <v>3</v>
      </c>
      <c r="S47" s="14" t="str" cm="1">
        <f t="array" ref="S47">INDEX('Pregnancy-ConceptMap-3'!$I$15:$N$122,Q47+1,R47)</f>
        <v>* group[=].element[=].target.code = #Observation.valueQuentity</v>
      </c>
    </row>
    <row r="48" spans="1:20" x14ac:dyDescent="0.75">
      <c r="P48" s="9">
        <v>34</v>
      </c>
      <c r="Q48" s="9">
        <f t="shared" si="14"/>
        <v>5</v>
      </c>
      <c r="R48" s="9">
        <f t="shared" si="15"/>
        <v>4</v>
      </c>
      <c r="S48" s="14" t="str" cm="1">
        <f t="array" ref="S48">INDEX('Pregnancy-ConceptMap-3'!$I$15:$N$122,Q48+1,R48)</f>
        <v>* group[=].element[=].target.display = ##34###34#</v>
      </c>
    </row>
    <row r="49" spans="16:19" x14ac:dyDescent="0.75">
      <c r="P49" s="9">
        <v>35</v>
      </c>
      <c r="Q49" s="9">
        <f t="shared" si="14"/>
        <v>5</v>
      </c>
      <c r="R49" s="9">
        <f t="shared" si="15"/>
        <v>5</v>
      </c>
      <c r="S49" s="14" t="str" cm="1">
        <f t="array" ref="S49">INDEX('Pregnancy-ConceptMap-3'!$I$15:$N$122,Q49+1,R49)</f>
        <v>* group[=].element[=].target.equivalence = #equivalent</v>
      </c>
    </row>
    <row r="50" spans="16:19" x14ac:dyDescent="0.75">
      <c r="P50" s="9">
        <v>36</v>
      </c>
      <c r="Q50" s="9">
        <f t="shared" si="14"/>
        <v>5</v>
      </c>
      <c r="R50" s="9">
        <f t="shared" si="15"/>
        <v>6</v>
      </c>
      <c r="S50" s="14" t="str" cm="1">
        <f t="array" ref="S50">INDEX('Pregnancy-ConceptMap-3'!$I$15:$N$122,Q50+1,R50)</f>
        <v/>
      </c>
    </row>
    <row r="51" spans="16:19" x14ac:dyDescent="0.75">
      <c r="P51" s="9">
        <v>37</v>
      </c>
      <c r="Q51" s="9">
        <f t="shared" si="14"/>
        <v>6</v>
      </c>
      <c r="R51" s="9">
        <f t="shared" si="15"/>
        <v>1</v>
      </c>
      <c r="S51" s="14" cm="1">
        <f t="array" ref="S51">INDEX('Pregnancy-ConceptMap-3'!$I$15:$N$122,Q51+1,R51)</f>
        <v>0</v>
      </c>
    </row>
    <row r="52" spans="16:19" x14ac:dyDescent="0.75">
      <c r="P52" s="9">
        <v>38</v>
      </c>
      <c r="Q52" s="9">
        <f t="shared" si="14"/>
        <v>6</v>
      </c>
      <c r="R52" s="9">
        <f t="shared" si="15"/>
        <v>2</v>
      </c>
      <c r="S52" s="14" cm="1">
        <f t="array" ref="S52">INDEX('Pregnancy-ConceptMap-3'!$I$15:$N$122,Q52+1,R52)</f>
        <v>0</v>
      </c>
    </row>
    <row r="53" spans="16:19" x14ac:dyDescent="0.75">
      <c r="P53" s="9">
        <v>39</v>
      </c>
      <c r="Q53" s="9">
        <f t="shared" si="14"/>
        <v>6</v>
      </c>
      <c r="R53" s="9">
        <f t="shared" si="15"/>
        <v>3</v>
      </c>
      <c r="S53" s="14" cm="1">
        <f t="array" ref="S53">INDEX('Pregnancy-ConceptMap-3'!$I$15:$N$122,Q53+1,R53)</f>
        <v>0</v>
      </c>
    </row>
    <row r="54" spans="16:19" x14ac:dyDescent="0.75">
      <c r="P54" s="9">
        <v>40</v>
      </c>
      <c r="Q54" s="9">
        <f t="shared" si="14"/>
        <v>6</v>
      </c>
      <c r="R54" s="9">
        <f t="shared" si="15"/>
        <v>4</v>
      </c>
      <c r="S54" s="14" cm="1">
        <f t="array" ref="S54">INDEX('Pregnancy-ConceptMap-3'!$I$15:$N$122,Q54+1,R54)</f>
        <v>0</v>
      </c>
    </row>
    <row r="55" spans="16:19" x14ac:dyDescent="0.75">
      <c r="P55" s="9">
        <v>41</v>
      </c>
      <c r="Q55" s="9">
        <f t="shared" si="14"/>
        <v>6</v>
      </c>
      <c r="R55" s="9">
        <f t="shared" si="15"/>
        <v>5</v>
      </c>
      <c r="S55" s="14" cm="1">
        <f t="array" ref="S55">INDEX('Pregnancy-ConceptMap-3'!$I$15:$N$122,Q55+1,R55)</f>
        <v>0</v>
      </c>
    </row>
    <row r="56" spans="16:19" x14ac:dyDescent="0.75">
      <c r="P56" s="9">
        <v>42</v>
      </c>
      <c r="Q56" s="9">
        <f t="shared" si="14"/>
        <v>6</v>
      </c>
      <c r="R56" s="9">
        <f t="shared" si="15"/>
        <v>6</v>
      </c>
      <c r="S56" s="14" cm="1">
        <f t="array" ref="S56">INDEX('Pregnancy-ConceptMap-3'!$I$15:$N$122,Q56+1,R56)</f>
        <v>0</v>
      </c>
    </row>
    <row r="57" spans="16:19" x14ac:dyDescent="0.75">
      <c r="P57" s="9">
        <v>43</v>
      </c>
      <c r="Q57" s="9">
        <f t="shared" si="14"/>
        <v>7</v>
      </c>
      <c r="R57" s="9">
        <f t="shared" si="15"/>
        <v>1</v>
      </c>
      <c r="S57" s="14" cm="1">
        <f t="array" ref="S57">INDEX('Pregnancy-ConceptMap-3'!$I$15:$N$122,Q57+1,R57)</f>
        <v>0</v>
      </c>
    </row>
    <row r="58" spans="16:19" x14ac:dyDescent="0.75">
      <c r="P58" s="9">
        <v>44</v>
      </c>
      <c r="Q58" s="9">
        <f t="shared" si="14"/>
        <v>7</v>
      </c>
      <c r="R58" s="9">
        <f t="shared" si="15"/>
        <v>2</v>
      </c>
      <c r="S58" s="14" cm="1">
        <f t="array" ref="S58">INDEX('Pregnancy-ConceptMap-3'!$I$15:$N$122,Q58+1,R58)</f>
        <v>0</v>
      </c>
    </row>
    <row r="59" spans="16:19" x14ac:dyDescent="0.75">
      <c r="P59" s="9">
        <v>45</v>
      </c>
      <c r="Q59" s="9">
        <f t="shared" si="14"/>
        <v>7</v>
      </c>
      <c r="R59" s="9">
        <f t="shared" si="15"/>
        <v>3</v>
      </c>
      <c r="S59" s="14" cm="1">
        <f t="array" ref="S59">INDEX('Pregnancy-ConceptMap-3'!$I$15:$N$122,Q59+1,R59)</f>
        <v>0</v>
      </c>
    </row>
    <row r="60" spans="16:19" x14ac:dyDescent="0.75">
      <c r="P60" s="9">
        <v>46</v>
      </c>
      <c r="Q60" s="9">
        <f t="shared" si="14"/>
        <v>7</v>
      </c>
      <c r="R60" s="9">
        <f t="shared" si="15"/>
        <v>4</v>
      </c>
      <c r="S60" s="14" cm="1">
        <f t="array" ref="S60">INDEX('Pregnancy-ConceptMap-3'!$I$15:$N$122,Q60+1,R60)</f>
        <v>0</v>
      </c>
    </row>
    <row r="61" spans="16:19" x14ac:dyDescent="0.75">
      <c r="P61" s="9">
        <v>47</v>
      </c>
      <c r="Q61" s="9">
        <f t="shared" si="14"/>
        <v>7</v>
      </c>
      <c r="R61" s="9">
        <f t="shared" si="15"/>
        <v>5</v>
      </c>
      <c r="S61" s="14" cm="1">
        <f t="array" ref="S61">INDEX('Pregnancy-ConceptMap-3'!$I$15:$N$122,Q61+1,R61)</f>
        <v>0</v>
      </c>
    </row>
    <row r="62" spans="16:19" x14ac:dyDescent="0.75">
      <c r="P62" s="9">
        <v>48</v>
      </c>
      <c r="Q62" s="9">
        <f t="shared" si="14"/>
        <v>7</v>
      </c>
      <c r="R62" s="9">
        <f t="shared" si="15"/>
        <v>6</v>
      </c>
      <c r="S62" s="14" cm="1">
        <f t="array" ref="S62">INDEX('Pregnancy-ConceptMap-3'!$I$15:$N$122,Q62+1,R62)</f>
        <v>0</v>
      </c>
    </row>
    <row r="63" spans="16:19" x14ac:dyDescent="0.75">
      <c r="P63" s="9">
        <v>49</v>
      </c>
      <c r="Q63" s="9">
        <f t="shared" si="14"/>
        <v>8</v>
      </c>
      <c r="R63" s="9">
        <f t="shared" si="15"/>
        <v>1</v>
      </c>
      <c r="S63" s="14" cm="1">
        <f t="array" ref="S63">INDEX('Pregnancy-ConceptMap-3'!$I$15:$N$122,Q63+1,R63)</f>
        <v>0</v>
      </c>
    </row>
    <row r="64" spans="16:19" x14ac:dyDescent="0.75">
      <c r="P64" s="9">
        <v>50</v>
      </c>
      <c r="Q64" s="9">
        <f t="shared" si="14"/>
        <v>8</v>
      </c>
      <c r="R64" s="9">
        <f t="shared" si="15"/>
        <v>2</v>
      </c>
      <c r="S64" s="14" cm="1">
        <f t="array" ref="S64">INDEX('Pregnancy-ConceptMap-3'!$I$15:$N$122,Q64+1,R64)</f>
        <v>0</v>
      </c>
    </row>
    <row r="65" spans="16:19" x14ac:dyDescent="0.75">
      <c r="P65" s="9">
        <v>51</v>
      </c>
      <c r="Q65" s="9">
        <f t="shared" si="14"/>
        <v>8</v>
      </c>
      <c r="R65" s="9">
        <f t="shared" si="15"/>
        <v>3</v>
      </c>
      <c r="S65" s="14" cm="1">
        <f t="array" ref="S65">INDEX('Pregnancy-ConceptMap-3'!$I$15:$N$122,Q65+1,R65)</f>
        <v>0</v>
      </c>
    </row>
    <row r="66" spans="16:19" x14ac:dyDescent="0.75">
      <c r="P66" s="9">
        <v>52</v>
      </c>
      <c r="Q66" s="9">
        <f t="shared" si="14"/>
        <v>8</v>
      </c>
      <c r="R66" s="9">
        <f t="shared" si="15"/>
        <v>4</v>
      </c>
      <c r="S66" s="14" cm="1">
        <f t="array" ref="S66">INDEX('Pregnancy-ConceptMap-3'!$I$15:$N$122,Q66+1,R66)</f>
        <v>0</v>
      </c>
    </row>
    <row r="67" spans="16:19" x14ac:dyDescent="0.75">
      <c r="P67" s="9">
        <v>53</v>
      </c>
      <c r="Q67" s="9">
        <f t="shared" si="14"/>
        <v>8</v>
      </c>
      <c r="R67" s="9">
        <f t="shared" si="15"/>
        <v>5</v>
      </c>
      <c r="S67" s="14" cm="1">
        <f t="array" ref="S67">INDEX('Pregnancy-ConceptMap-3'!$I$15:$N$122,Q67+1,R67)</f>
        <v>0</v>
      </c>
    </row>
    <row r="68" spans="16:19" x14ac:dyDescent="0.75">
      <c r="P68" s="9">
        <v>54</v>
      </c>
      <c r="Q68" s="9">
        <f t="shared" si="14"/>
        <v>8</v>
      </c>
      <c r="R68" s="9">
        <f t="shared" si="15"/>
        <v>6</v>
      </c>
      <c r="S68" s="14" t="str" cm="1">
        <f t="array" ref="S68">INDEX('Pregnancy-ConceptMap-3'!$I$15:$N$122,Q68+1,R68)</f>
        <v/>
      </c>
    </row>
    <row r="69" spans="16:19" x14ac:dyDescent="0.75">
      <c r="P69" s="9">
        <v>55</v>
      </c>
      <c r="Q69" s="9">
        <f t="shared" si="14"/>
        <v>9</v>
      </c>
      <c r="R69" s="9">
        <f t="shared" si="15"/>
        <v>1</v>
      </c>
      <c r="S69" s="14" cm="1">
        <f t="array" ref="S69">INDEX('Pregnancy-ConceptMap-3'!$I$15:$N$122,Q69+1,R69)</f>
        <v>0</v>
      </c>
    </row>
    <row r="70" spans="16:19" x14ac:dyDescent="0.75">
      <c r="P70" s="9">
        <v>56</v>
      </c>
      <c r="Q70" s="9">
        <f t="shared" si="14"/>
        <v>9</v>
      </c>
      <c r="R70" s="9">
        <f t="shared" si="15"/>
        <v>2</v>
      </c>
      <c r="S70" s="14" cm="1">
        <f t="array" ref="S70">INDEX('Pregnancy-ConceptMap-3'!$I$15:$N$122,Q70+1,R70)</f>
        <v>0</v>
      </c>
    </row>
    <row r="71" spans="16:19" x14ac:dyDescent="0.75">
      <c r="P71" s="9">
        <v>57</v>
      </c>
      <c r="Q71" s="9">
        <f t="shared" si="14"/>
        <v>9</v>
      </c>
      <c r="R71" s="9">
        <f t="shared" si="15"/>
        <v>3</v>
      </c>
      <c r="S71" s="14" cm="1">
        <f t="array" ref="S71">INDEX('Pregnancy-ConceptMap-3'!$I$15:$N$122,Q71+1,R71)</f>
        <v>0</v>
      </c>
    </row>
    <row r="72" spans="16:19" x14ac:dyDescent="0.75">
      <c r="P72" s="9">
        <v>58</v>
      </c>
      <c r="Q72" s="9">
        <f t="shared" si="14"/>
        <v>9</v>
      </c>
      <c r="R72" s="9">
        <f t="shared" si="15"/>
        <v>4</v>
      </c>
      <c r="S72" s="14" cm="1">
        <f t="array" ref="S72">INDEX('Pregnancy-ConceptMap-3'!$I$15:$N$122,Q72+1,R72)</f>
        <v>0</v>
      </c>
    </row>
    <row r="73" spans="16:19" x14ac:dyDescent="0.75">
      <c r="P73" s="9">
        <v>59</v>
      </c>
      <c r="Q73" s="9">
        <f t="shared" si="14"/>
        <v>9</v>
      </c>
      <c r="R73" s="9">
        <f t="shared" si="15"/>
        <v>5</v>
      </c>
      <c r="S73" s="14" cm="1">
        <f t="array" ref="S73">INDEX('Pregnancy-ConceptMap-3'!$I$15:$N$122,Q73+1,R73)</f>
        <v>0</v>
      </c>
    </row>
    <row r="74" spans="16:19" x14ac:dyDescent="0.75">
      <c r="P74" s="9">
        <v>60</v>
      </c>
      <c r="Q74" s="9">
        <f t="shared" si="14"/>
        <v>9</v>
      </c>
      <c r="R74" s="9">
        <f t="shared" si="15"/>
        <v>6</v>
      </c>
      <c r="S74" s="14" t="str" cm="1">
        <f t="array" ref="S74">INDEX('Pregnancy-ConceptMap-3'!$I$15:$N$122,Q74+1,R74)</f>
        <v/>
      </c>
    </row>
    <row r="75" spans="16:19" x14ac:dyDescent="0.75">
      <c r="P75" s="9">
        <v>61</v>
      </c>
      <c r="Q75" s="9">
        <f t="shared" si="14"/>
        <v>10</v>
      </c>
      <c r="R75" s="9">
        <f t="shared" si="15"/>
        <v>1</v>
      </c>
      <c r="S75" s="14" cm="1">
        <f t="array" ref="S75">INDEX('Pregnancy-ConceptMap-3'!$I$15:$N$122,Q75+1,R75)</f>
        <v>0</v>
      </c>
    </row>
    <row r="76" spans="16:19" x14ac:dyDescent="0.75">
      <c r="P76" s="9">
        <v>62</v>
      </c>
      <c r="Q76" s="9">
        <f t="shared" si="14"/>
        <v>10</v>
      </c>
      <c r="R76" s="9">
        <f t="shared" si="15"/>
        <v>2</v>
      </c>
      <c r="S76" s="14" cm="1">
        <f t="array" ref="S76">INDEX('Pregnancy-ConceptMap-3'!$I$15:$N$122,Q76+1,R76)</f>
        <v>0</v>
      </c>
    </row>
    <row r="77" spans="16:19" x14ac:dyDescent="0.75">
      <c r="P77" s="9">
        <v>63</v>
      </c>
      <c r="Q77" s="9">
        <f t="shared" si="14"/>
        <v>10</v>
      </c>
      <c r="R77" s="9">
        <f t="shared" si="15"/>
        <v>3</v>
      </c>
      <c r="S77" s="14" cm="1">
        <f t="array" ref="S77">INDEX('Pregnancy-ConceptMap-3'!$I$15:$N$122,Q77+1,R77)</f>
        <v>0</v>
      </c>
    </row>
    <row r="78" spans="16:19" x14ac:dyDescent="0.75">
      <c r="P78" s="9">
        <v>64</v>
      </c>
      <c r="Q78" s="9">
        <f t="shared" si="14"/>
        <v>10</v>
      </c>
      <c r="R78" s="9">
        <f t="shared" si="15"/>
        <v>4</v>
      </c>
      <c r="S78" s="14" cm="1">
        <f t="array" ref="S78">INDEX('Pregnancy-ConceptMap-3'!$I$15:$N$122,Q78+1,R78)</f>
        <v>0</v>
      </c>
    </row>
    <row r="79" spans="16:19" x14ac:dyDescent="0.75">
      <c r="P79" s="9">
        <v>65</v>
      </c>
      <c r="Q79" s="9">
        <f t="shared" si="14"/>
        <v>10</v>
      </c>
      <c r="R79" s="9">
        <f t="shared" si="15"/>
        <v>5</v>
      </c>
      <c r="S79" s="14" cm="1">
        <f t="array" ref="S79">INDEX('Pregnancy-ConceptMap-3'!$I$15:$N$122,Q79+1,R79)</f>
        <v>0</v>
      </c>
    </row>
    <row r="80" spans="16:19" x14ac:dyDescent="0.75">
      <c r="P80" s="9">
        <v>66</v>
      </c>
      <c r="Q80" s="9">
        <f t="shared" ref="Q80" si="17">IF(MOD(P80,$Q$8)=0,P80/$Q$8-1,INT(P80/$Q$8))</f>
        <v>10</v>
      </c>
      <c r="R80" s="9">
        <f t="shared" ref="R80" si="18">IF(MOD(P80,$Q$8)=0,$Q$8,MOD(P80,$Q$8))</f>
        <v>6</v>
      </c>
      <c r="S80" s="14" t="str" cm="1">
        <f t="array" ref="S80">INDEX('Pregnancy-ConceptMap-3'!$I$15:$N$122,Q80+1,R80)</f>
        <v/>
      </c>
    </row>
  </sheetData>
  <mergeCells count="5">
    <mergeCell ref="B1:C1"/>
    <mergeCell ref="E3:G3"/>
    <mergeCell ref="E4:G4"/>
    <mergeCell ref="E6:G6"/>
    <mergeCell ref="E7:G7"/>
  </mergeCells>
  <hyperlinks>
    <hyperlink ref="E3" r:id="rId1" display="http://hl7.eu/fhir/laboratory/StructureDefinition/LeaglAu" xr:uid="{4462510D-2ABE-48D6-A1BA-02AC7E5093E8}"/>
    <hyperlink ref="E6" r:id="rId2" display="http://hl7.eu/fhir/laboratory/StructureDefinition/Recipient" xr:uid="{A4842D9D-E401-4D5B-A801-247FE022F1FA}"/>
    <hyperlink ref="E7" r:id="rId3" display="http://hl7.eu/fhir/StructureDefinition/information-recipient" xr:uid="{F0109F9F-1AF7-4CD4-85EE-8C50D9BBB499}"/>
    <hyperlink ref="E4" r:id="rId4" xr:uid="{E660722F-682B-4FC6-9236-BBA152E2B6AC}"/>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43ED4-204B-445C-AA49-7D9BAF650DF0}">
  <sheetPr codeName="Foglio73">
    <tabColor theme="0" tint="-0.34998626667073579"/>
  </sheetPr>
  <dimension ref="B1:G163"/>
  <sheetViews>
    <sheetView topLeftCell="A151" workbookViewId="0">
      <selection activeCell="B165" sqref="B16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1249</v>
      </c>
    </row>
    <row r="3" spans="2:7" x14ac:dyDescent="0.75">
      <c r="B3" s="32" t="s">
        <v>37</v>
      </c>
    </row>
    <row r="4" spans="2:7" x14ac:dyDescent="0.75">
      <c r="B4" s="65" t="str">
        <f>"Instance: "&amp;'Pregnancy-ConceptMap-1'!C4</f>
        <v>Instance: pregnancy2FHIR-eu-ps</v>
      </c>
    </row>
    <row r="5" spans="2:7" x14ac:dyDescent="0.75">
      <c r="B5" s="65" t="s">
        <v>196</v>
      </c>
    </row>
    <row r="6" spans="2:7" x14ac:dyDescent="0.75">
      <c r="B6" s="65" t="s">
        <v>197</v>
      </c>
    </row>
    <row r="7" spans="2:7" x14ac:dyDescent="0.75">
      <c r="B7" s="65" t="s">
        <v>203</v>
      </c>
    </row>
    <row r="8" spans="2:7" x14ac:dyDescent="0.75">
      <c r="B8" s="65" t="str">
        <f>"* name = ##34#"&amp;'Pregnancy-ConceptMap-1'!C3&amp;"##34#"</f>
        <v>* name = ##34#Pregnancy2Fhir##34#</v>
      </c>
    </row>
    <row r="9" spans="2:7" x14ac:dyDescent="0.75">
      <c r="B9" s="65" t="str">
        <f>"* title = ##34#"&amp;'Pregnancy-ConceptMap-1'!C5&amp;"##34#"</f>
        <v>* title = ##34#eHN Recipient to this guide Map##34#</v>
      </c>
    </row>
    <row r="10" spans="2:7" x14ac:dyDescent="0.75">
      <c r="B10" s="65" t="s">
        <v>198</v>
      </c>
    </row>
    <row r="11" spans="2:7" x14ac:dyDescent="0.75">
      <c r="B11" s="65" t="s">
        <v>199</v>
      </c>
    </row>
    <row r="12" spans="2:7" x14ac:dyDescent="0.75">
      <c r="B12" s="65" t="str">
        <f>"* description = ##34#"&amp;'Pregnancy-ConceptMap-1'!C8&amp;"##34#"</f>
        <v>* description = ##34#eHN Medical Devices Model to this guide Map##34#</v>
      </c>
    </row>
    <row r="13" spans="2:7" x14ac:dyDescent="0.75">
      <c r="B13" s="65" t="str">
        <f>"* purpose = ##34#"&amp;'Pregnancy-ConceptMap-1'!C9&amp;"##34#"</f>
        <v>* purpose = ##34#It shows how theMedical Devices Recipient data set defined by the EU eHN guidelines is mapped into this guide##34#</v>
      </c>
    </row>
    <row r="14" spans="2:7" x14ac:dyDescent="0.75">
      <c r="B14" s="66" t="str">
        <f>"* sourceUri = ##34#"&amp;'Pregnancy-ConceptMap-1'!E3&amp;"##34#"</f>
        <v>* sourceUri = ##34#http://hl7.eu/fhir/ig/xpandh/ps/StructureDefinition/Pregnancy##34#</v>
      </c>
    </row>
    <row r="15" spans="2:7" x14ac:dyDescent="0.75">
      <c r="B15" s="66" t="str">
        <f>"* targetUri = ##34#"&amp;'Pregnancy-ConceptMap-1'!E4&amp;"##34#"</f>
        <v>* targetUri = ##34#http://hl7.eu/fhir/ig/xpandh/ps/StructureDefinition/Composition-ps-xpandh##34#</v>
      </c>
    </row>
    <row r="16" spans="2:7" x14ac:dyDescent="0.75">
      <c r="B16" s="65"/>
    </row>
    <row r="17" spans="2:7" x14ac:dyDescent="0.75">
      <c r="B17" s="67" t="str">
        <f>"* group[+].source = ##34#"&amp;'Pregnancy-ConceptMap-1'!E6&amp;"##34#"</f>
        <v>* group[+].source = ##34#http://hl7.eu/fhir/ig/xpandh/ps/StructureDefinition/Pregnancy##34#</v>
      </c>
    </row>
    <row r="18" spans="2:7" x14ac:dyDescent="0.75">
      <c r="B18" s="67" t="str">
        <f>"* group[=].target = ##34#"&amp;'Pregnancy-ConceptMap-1'!E7&amp;"##34#"</f>
        <v>* group[=].target = ##34#http://hl7.eu/fhir/ig/xpandh/ps/StructureDefinition/Composition-ps-xpandh##34#</v>
      </c>
    </row>
    <row r="19" spans="2:7" x14ac:dyDescent="0.75">
      <c r="B19" s="69"/>
    </row>
    <row r="20" spans="2:7" x14ac:dyDescent="0.75">
      <c r="B20" s="14" t="str">
        <f>IF('Pregnancy-ConceptMap-1'!S15=0,"//---END",'Pregnancy-ConceptMap-1'!S15)</f>
        <v>* group[=].element[+].code = #Pregnancy.pregnancyStatus</v>
      </c>
    </row>
    <row r="21" spans="2:7" x14ac:dyDescent="0.75">
      <c r="B21" s="14" t="str">
        <f>IF('Pregnancy-ConceptMap-1'!S16=0,"//---END",'Pregnancy-ConceptMap-1'!S16)</f>
        <v>* group[=].element[=].display = ##34#A.2.6.1 Current pregnancy status##34#</v>
      </c>
    </row>
    <row r="22" spans="2:7" x14ac:dyDescent="0.75">
      <c r="B22" s="14" t="str">
        <f>IF('Pregnancy-ConceptMap-1'!S17=0,"//---END",'Pregnancy-ConceptMap-1'!S17)</f>
        <v>* group[=].element[=].target.code = #Composition.section:sectionPregnancyHx.entry:pregnancyStatus</v>
      </c>
    </row>
    <row r="23" spans="2:7" x14ac:dyDescent="0.75">
      <c r="B23" s="14" t="str">
        <f>IF('Pregnancy-ConceptMap-1'!S18=0,"//---END",'Pregnancy-ConceptMap-1'!S18)</f>
        <v>* group[=].element[=].target.display = ##34###34#</v>
      </c>
    </row>
    <row r="24" spans="2:7" x14ac:dyDescent="0.75">
      <c r="B24" s="14" t="str">
        <f>IF('Pregnancy-ConceptMap-1'!S19=0,"//---END",'Pregnancy-ConceptMap-1'!S19)</f>
        <v>* group[=].element[=].target.equivalence = #relatedto</v>
      </c>
    </row>
    <row r="25" spans="2:7" x14ac:dyDescent="0.75">
      <c r="B25" s="14" t="str">
        <f>IF('Pregnancy-ConceptMap-1'!S20=0,"//---END",'Pregnancy-ConceptMap-1'!S20)</f>
        <v/>
      </c>
      <c r="G25" s="10"/>
    </row>
    <row r="26" spans="2:7" x14ac:dyDescent="0.75">
      <c r="B26" s="14" t="str">
        <f>IF('Pregnancy-ConceptMap-1'!S21=0,"//---END",'Pregnancy-ConceptMap-1'!S21)</f>
        <v>* group[=].element[+].code = #Pregnancy.pregnancyStatus.dateOfObservation</v>
      </c>
    </row>
    <row r="27" spans="2:7" x14ac:dyDescent="0.75">
      <c r="B27" s="14" t="str">
        <f>IF('Pregnancy-ConceptMap-1'!S22=0,"//---END",'Pregnancy-ConceptMap-1'!S22)</f>
        <v>* group[=].element[=].display = ##34#A.2.6.1.1 Date of observation##34#</v>
      </c>
    </row>
    <row r="28" spans="2:7" x14ac:dyDescent="0.75">
      <c r="B28" s="14" t="str">
        <f>IF('Pregnancy-ConceptMap-1'!S23=0,"//---END",'Pregnancy-ConceptMap-1'!S23)</f>
        <v>* group[=].element[=].target.code = #Composition.section:sectionPregnancyHx.entry:pregnancyStatus.effectiveDateTime</v>
      </c>
    </row>
    <row r="29" spans="2:7" x14ac:dyDescent="0.75">
      <c r="B29" s="14" t="str">
        <f>IF('Pregnancy-ConceptMap-1'!S24=0,"//---END",'Pregnancy-ConceptMap-1'!S24)</f>
        <v>* group[=].element[=].target.display = ##34###34#</v>
      </c>
    </row>
    <row r="30" spans="2:7" x14ac:dyDescent="0.75">
      <c r="B30" s="14" t="str">
        <f>IF('Pregnancy-ConceptMap-1'!S25=0,"//---END",'Pregnancy-ConceptMap-1'!S25)</f>
        <v>* group[=].element[=].target.equivalence = #equivalent</v>
      </c>
    </row>
    <row r="31" spans="2:7" x14ac:dyDescent="0.75">
      <c r="B31" s="14" t="str">
        <f>IF('Pregnancy-ConceptMap-1'!S26=0,"//---END",'Pregnancy-ConceptMap-1'!S26)</f>
        <v/>
      </c>
    </row>
    <row r="32" spans="2:7" x14ac:dyDescent="0.75">
      <c r="B32" s="14" t="str">
        <f>IF('Pregnancy-ConceptMap-1'!S27=0,"//---END",'Pregnancy-ConceptMap-1'!S27)</f>
        <v>* group[=].element[+].code = #Pregnancy.pregnancyStatus.status</v>
      </c>
    </row>
    <row r="33" spans="2:2" x14ac:dyDescent="0.75">
      <c r="B33" s="14" t="str">
        <f>IF('Pregnancy-ConceptMap-1'!S28=0,"//---END",'Pregnancy-ConceptMap-1'!S28)</f>
        <v>* group[=].element[=].display = ##34#A.2.6.1.2 Status##34#</v>
      </c>
    </row>
    <row r="34" spans="2:2" x14ac:dyDescent="0.75">
      <c r="B34" s="14" t="str">
        <f>IF('Pregnancy-ConceptMap-1'!S29=0,"//---END",'Pregnancy-ConceptMap-1'!S29)</f>
        <v>* group[=].element[=].target.code = #Composition.section:sectionPregnancyHx.entry:pregnancyStatus.valueCodeabelConcept</v>
      </c>
    </row>
    <row r="35" spans="2:2" x14ac:dyDescent="0.75">
      <c r="B35" s="14" t="str">
        <f>IF('Pregnancy-ConceptMap-1'!S30=0,"//---END",'Pregnancy-ConceptMap-1'!S30)</f>
        <v>* group[=].element[=].target.display = ##34###34#</v>
      </c>
    </row>
    <row r="36" spans="2:2" x14ac:dyDescent="0.75">
      <c r="B36" s="14" t="str">
        <f>IF('Pregnancy-ConceptMap-1'!S31=0,"//---END",'Pregnancy-ConceptMap-1'!S31)</f>
        <v>* group[=].element[=].target.equivalence = #equivalent</v>
      </c>
    </row>
    <row r="37" spans="2:2" x14ac:dyDescent="0.75">
      <c r="B37" s="14" t="str">
        <f>IF('Pregnancy-ConceptMap-1'!S32=0,"//---END",'Pregnancy-ConceptMap-1'!S32)</f>
        <v/>
      </c>
    </row>
    <row r="38" spans="2:2" x14ac:dyDescent="0.75">
      <c r="B38" s="14" t="str">
        <f>IF('Pregnancy-ConceptMap-1'!S33=0,"//---END",'Pregnancy-ConceptMap-1'!S33)</f>
        <v>* group[=].element[+].code = #Pregnancy.pregnancyStatus.deliveryDate</v>
      </c>
    </row>
    <row r="39" spans="2:2" x14ac:dyDescent="0.75">
      <c r="B39" s="14" t="str">
        <f>IF('Pregnancy-ConceptMap-1'!S34=0,"//---END",'Pregnancy-ConceptMap-1'!S34)</f>
        <v>* group[=].element[=].display = ##34#A.2.6.1.3 Expected date of delivery##34#</v>
      </c>
    </row>
    <row r="40" spans="2:2" x14ac:dyDescent="0.75">
      <c r="B40" s="14" t="str">
        <f>IF('Pregnancy-ConceptMap-1'!S35=0,"//---END",'Pregnancy-ConceptMap-1'!S35)</f>
        <v>* group[=].element[=].target.code = #Composition.section:sectionPregnancyHx.entry:pregnancyStatus.hasMember.valueDateTime</v>
      </c>
    </row>
    <row r="41" spans="2:2" x14ac:dyDescent="0.75">
      <c r="B41" s="14" t="str">
        <f>IF('Pregnancy-ConceptMap-1'!S36=0,"//---END",'Pregnancy-ConceptMap-1'!S36)</f>
        <v>* group[=].element[=].target.display = ##34###34#</v>
      </c>
    </row>
    <row r="42" spans="2:2" x14ac:dyDescent="0.75">
      <c r="B42" s="14" t="str">
        <f>IF('Pregnancy-ConceptMap-1'!S37=0,"//---END",'Pregnancy-ConceptMap-1'!S37)</f>
        <v>* group[=].element[=].target.equivalence = #equivalent</v>
      </c>
    </row>
    <row r="43" spans="2:2" ht="29.5" x14ac:dyDescent="0.75">
      <c r="B43" s="14" t="str">
        <f>IF('Pregnancy-ConceptMap-1'!S38=0,"//---END",'Pregnancy-ConceptMap-1'!S38)</f>
        <v>* group[=].element[=].target.comment = ##34#where section:sectionPregnancyHx.entry:pregnancyStatus.hasMember.code IN PregnancyExpectedDeliveryDateMethodUvIps value set##34#</v>
      </c>
    </row>
    <row r="44" spans="2:2" x14ac:dyDescent="0.75">
      <c r="B44" s="14" t="str">
        <f>IF('Pregnancy-ConceptMap-1'!S39=0,"//---END",'Pregnancy-ConceptMap-1'!S39)</f>
        <v>* group[=].element[+].code = #Pregnancy.hxPreviousPregnancies</v>
      </c>
    </row>
    <row r="45" spans="2:2" x14ac:dyDescent="0.75">
      <c r="B45" s="14" t="str">
        <f>IF('Pregnancy-ConceptMap-1'!S40=0,"//---END",'Pregnancy-ConceptMap-1'!S40)</f>
        <v>* group[=].element[=].display = ##34#A.2.6.2 History of previous pregnancies##34#</v>
      </c>
    </row>
    <row r="46" spans="2:2" x14ac:dyDescent="0.75">
      <c r="B46" s="14" t="str">
        <f>IF('Pregnancy-ConceptMap-1'!S41=0,"//---END",'Pregnancy-ConceptMap-1'!S41)</f>
        <v xml:space="preserve">* group[=].element[=].target.code = #Composition.section:sectionPregnancyHx.entry:pregnancyOutcomeSummary	</v>
      </c>
    </row>
    <row r="47" spans="2:2" x14ac:dyDescent="0.75">
      <c r="B47" s="14" t="str">
        <f>IF('Pregnancy-ConceptMap-1'!S42=0,"//---END",'Pregnancy-ConceptMap-1'!S42)</f>
        <v>* group[=].element[=].target.display = ##34###34#</v>
      </c>
    </row>
    <row r="48" spans="2:2" x14ac:dyDescent="0.75">
      <c r="B48" s="14" t="str">
        <f>IF('Pregnancy-ConceptMap-1'!S43=0,"//---END",'Pregnancy-ConceptMap-1'!S43)</f>
        <v>* group[=].element[=].target.equivalence = #relatedto</v>
      </c>
    </row>
    <row r="49" spans="2:2" x14ac:dyDescent="0.75">
      <c r="B49" s="14" t="str">
        <f>IF('Pregnancy-ConceptMap-1'!S44=0,"//---END",'Pregnancy-ConceptMap-1'!S44)</f>
        <v/>
      </c>
    </row>
    <row r="50" spans="2:2" x14ac:dyDescent="0.75">
      <c r="B50" s="14" t="str">
        <f>IF('Pregnancy-ConceptMap-1'!S45=0,"//---END",'Pregnancy-ConceptMap-1'!S45)</f>
        <v>* group[=].element[+].code = #Pregnancy.hxPreviousPregnancies.status</v>
      </c>
    </row>
    <row r="51" spans="2:2" x14ac:dyDescent="0.75">
      <c r="B51" s="14" t="str">
        <f>IF('Pregnancy-ConceptMap-1'!S46=0,"//---END",'Pregnancy-ConceptMap-1'!S46)</f>
        <v>* group[=].element[=].display = ##34#A.2.6.2.1 Previous pregnancies status##34#</v>
      </c>
    </row>
    <row r="52" spans="2:2" x14ac:dyDescent="0.75">
      <c r="B52" s="14" t="str">
        <f>IF('Pregnancy-ConceptMap-1'!S47=0,"//---END",'Pregnancy-ConceptMap-1'!S47)</f>
        <v>* group[=].element[=].target.code = #Composition.section:sectionPregnancyHx.entry</v>
      </c>
    </row>
    <row r="53" spans="2:2" x14ac:dyDescent="0.75">
      <c r="B53" s="14" t="str">
        <f>IF('Pregnancy-ConceptMap-1'!S48=0,"//---END",'Pregnancy-ConceptMap-1'!S48)</f>
        <v>* group[=].element[=].target.display = ##34###34#</v>
      </c>
    </row>
    <row r="54" spans="2:2" x14ac:dyDescent="0.75">
      <c r="B54" s="14" t="str">
        <f>IF('Pregnancy-ConceptMap-1'!S49=0,"//---END",'Pregnancy-ConceptMap-1'!S49)</f>
        <v>* group[=].element[=].target.equivalence = #relatedto</v>
      </c>
    </row>
    <row r="55" spans="2:2" x14ac:dyDescent="0.75">
      <c r="B55" s="14" t="str">
        <f>IF('Pregnancy-ConceptMap-1'!S50=0,"//---END",'Pregnancy-ConceptMap-1'!S50)</f>
        <v>* group[=].element[=].target.comment = ##34#Observation profile to be added##34#</v>
      </c>
    </row>
    <row r="56" spans="2:2" x14ac:dyDescent="0.75">
      <c r="B56" s="14" t="str">
        <f>IF('Pregnancy-ConceptMap-1'!S51=0,"//---END",'Pregnancy-ConceptMap-1'!S51)</f>
        <v>* group[=].element[+].code = #Pregnancy.hxPreviousPregnancies.description</v>
      </c>
    </row>
    <row r="57" spans="2:2" x14ac:dyDescent="0.75">
      <c r="B57" s="14" t="str">
        <f>IF('Pregnancy-ConceptMap-1'!S52=0,"//---END",'Pregnancy-ConceptMap-1'!S52)</f>
        <v>* group[=].element[=].display = ##34#A.2.6.2.2 Previous pregnancies description##34#</v>
      </c>
    </row>
    <row r="58" spans="2:2" x14ac:dyDescent="0.75">
      <c r="B58" s="14" t="str">
        <f>IF('Pregnancy-ConceptMap-1'!S53=0,"//---END",'Pregnancy-ConceptMap-1'!S53)</f>
        <v xml:space="preserve">* group[=].element[=].target.code = #Composition.section:sectionPregnancyHx.entry:pregnancyOutcomeSummary	</v>
      </c>
    </row>
    <row r="59" spans="2:2" x14ac:dyDescent="0.75">
      <c r="B59" s="14" t="str">
        <f>IF('Pregnancy-ConceptMap-1'!S54=0,"//---END",'Pregnancy-ConceptMap-1'!S54)</f>
        <v>* group[=].element[=].target.display = ##34###34#</v>
      </c>
    </row>
    <row r="60" spans="2:2" x14ac:dyDescent="0.75">
      <c r="B60" s="14" t="str">
        <f>IF('Pregnancy-ConceptMap-1'!S55=0,"//---END",'Pregnancy-ConceptMap-1'!S55)</f>
        <v>* group[=].element[=].target.equivalence = #relatedto</v>
      </c>
    </row>
    <row r="61" spans="2:2" x14ac:dyDescent="0.75">
      <c r="B61" s="14" t="str">
        <f>IF('Pregnancy-ConceptMap-1'!S56=0,"//---END",'Pregnancy-ConceptMap-1'!S56)</f>
        <v/>
      </c>
    </row>
    <row r="62" spans="2:2" x14ac:dyDescent="0.75">
      <c r="B62" s="14" t="str">
        <f>IF('Pregnancy-ConceptMap-1'!S57=0,"//---END",'Pregnancy-ConceptMap-1'!S57)</f>
        <v>* group[=].element[+].code = #Pregnancy.hxPreviousPregnancies.description.outcomeDate</v>
      </c>
    </row>
    <row r="63" spans="2:2" x14ac:dyDescent="0.75">
      <c r="B63" s="14" t="str">
        <f>IF('Pregnancy-ConceptMap-1'!S58=0,"//---END",'Pregnancy-ConceptMap-1'!S58)</f>
        <v>* group[=].element[=].display = ##34#A.2.6.2.2.1 Outcome date##34#</v>
      </c>
    </row>
    <row r="64" spans="2:2" x14ac:dyDescent="0.75">
      <c r="B64" s="14" t="str">
        <f>IF('Pregnancy-ConceptMap-1'!S59=0,"//---END",'Pregnancy-ConceptMap-1'!S59)</f>
        <v>* group[=].element[=].target.code = #Composition.section:sectionPregnancyHx.entry:pregnancyOutcomeSummary.effectiveDateTime</v>
      </c>
    </row>
    <row r="65" spans="2:2" x14ac:dyDescent="0.75">
      <c r="B65" s="14" t="str">
        <f>IF('Pregnancy-ConceptMap-1'!S60=0,"//---END",'Pregnancy-ConceptMap-1'!S60)</f>
        <v>* group[=].element[=].target.display = ##34###34#</v>
      </c>
    </row>
    <row r="66" spans="2:2" x14ac:dyDescent="0.75">
      <c r="B66" s="14" t="str">
        <f>IF('Pregnancy-ConceptMap-1'!S61=0,"//---END",'Pregnancy-ConceptMap-1'!S61)</f>
        <v>* group[=].element[=].target.equivalence = #equivalent</v>
      </c>
    </row>
    <row r="67" spans="2:2" x14ac:dyDescent="0.75">
      <c r="B67" s="14" t="str">
        <f>IF('Pregnancy-ConceptMap-1'!S62=0,"//---END",'Pregnancy-ConceptMap-1'!S62)</f>
        <v/>
      </c>
    </row>
    <row r="68" spans="2:2" x14ac:dyDescent="0.75">
      <c r="B68" s="14" t="str">
        <f>IF('Pregnancy-ConceptMap-1'!S63=0,"//---END",'Pregnancy-ConceptMap-1'!S63)</f>
        <v>* group[=].element[+].code = #Pregnancy.hxPreviousPregnancies.description.outcome</v>
      </c>
    </row>
    <row r="69" spans="2:2" x14ac:dyDescent="0.75">
      <c r="B69" s="14" t="str">
        <f>IF('Pregnancy-ConceptMap-1'!S64=0,"//---END",'Pregnancy-ConceptMap-1'!S64)</f>
        <v>* group[=].element[=].display = ##34#A.2.6.2.2.2 Outcome##34#</v>
      </c>
    </row>
    <row r="70" spans="2:2" x14ac:dyDescent="0.75">
      <c r="B70" s="14" t="str">
        <f>IF('Pregnancy-ConceptMap-1'!S65=0,"//---END",'Pregnancy-ConceptMap-1'!S65)</f>
        <v>* group[=].element[=].target.code = #Composition.section:sectionPregnancyHx.entry:pregnancyOutcomeSummary.code</v>
      </c>
    </row>
    <row r="71" spans="2:2" x14ac:dyDescent="0.75">
      <c r="B71" s="14" t="str">
        <f>IF('Pregnancy-ConceptMap-1'!S66=0,"//---END",'Pregnancy-ConceptMap-1'!S66)</f>
        <v>* group[=].element[=].target.display = ##34###34#</v>
      </c>
    </row>
    <row r="72" spans="2:2" x14ac:dyDescent="0.75">
      <c r="B72" s="14" t="str">
        <f>IF('Pregnancy-ConceptMap-1'!S67=0,"//---END",'Pregnancy-ConceptMap-1'!S67)</f>
        <v>* group[=].element[=].target.equivalence = #equivalent</v>
      </c>
    </row>
    <row r="73" spans="2:2" x14ac:dyDescent="0.75">
      <c r="B73" s="14" t="str">
        <f>IF('Pregnancy-ConceptMap-1'!S68=0,"//---END",'Pregnancy-ConceptMap-1'!S68)</f>
        <v>* group[=].element[=].target.comment = ##34#to be checked##34#</v>
      </c>
    </row>
    <row r="74" spans="2:2" x14ac:dyDescent="0.75">
      <c r="B74" s="14" t="str">
        <f>IF('Pregnancy-ConceptMap-1'!S69=0,"//---END",'Pregnancy-ConceptMap-1'!S69)</f>
        <v>* group[=].element[+].code = #Pregnancy.hxPreviousPregnancies.description.numberOfChildren</v>
      </c>
    </row>
    <row r="75" spans="2:2" x14ac:dyDescent="0.75">
      <c r="B75" s="14" t="str">
        <f>IF('Pregnancy-ConceptMap-1'!S70=0,"//---END",'Pregnancy-ConceptMap-1'!S70)</f>
        <v>* group[=].element[=].display = ##34#A.2.6.2.2.3 Number of children##34#</v>
      </c>
    </row>
    <row r="76" spans="2:2" x14ac:dyDescent="0.75">
      <c r="B76" s="14" t="str">
        <f>IF('Pregnancy-ConceptMap-1'!S71=0,"//---END",'Pregnancy-ConceptMap-1'!S71)</f>
        <v>* group[=].element[=].target.code = #Composition.section:sectionPregnancyHx.entry:pregnancyOutcomeSummary.valueQuentity</v>
      </c>
    </row>
    <row r="77" spans="2:2" x14ac:dyDescent="0.75">
      <c r="B77" s="14" t="str">
        <f>IF('Pregnancy-ConceptMap-1'!S72=0,"//---END",'Pregnancy-ConceptMap-1'!S72)</f>
        <v>* group[=].element[=].target.display = ##34###34#</v>
      </c>
    </row>
    <row r="78" spans="2:2" x14ac:dyDescent="0.75">
      <c r="B78" s="14" t="str">
        <f>IF('Pregnancy-ConceptMap-1'!S73=0,"//---END",'Pregnancy-ConceptMap-1'!S73)</f>
        <v>* group[=].element[=].target.equivalence = #equivalent</v>
      </c>
    </row>
    <row r="79" spans="2:2" x14ac:dyDescent="0.75">
      <c r="B79" s="14" t="str">
        <f>IF('Pregnancy-ConceptMap-1'!S74=0,"//---END",'Pregnancy-ConceptMap-1'!S74)</f>
        <v/>
      </c>
    </row>
    <row r="80" spans="2:2" x14ac:dyDescent="0.75">
      <c r="B80" s="14" t="str">
        <f>IF('Pregnancy-ConceptMap-1'!S75=0,"//---END",'Pregnancy-ConceptMap-1'!S75)</f>
        <v>//---END</v>
      </c>
    </row>
    <row r="81" spans="2:2" x14ac:dyDescent="0.75">
      <c r="B81" s="14" t="str">
        <f>IF('Pregnancy-ConceptMap-1'!S76=0,"//---END",'Pregnancy-ConceptMap-1'!S76)</f>
        <v>//---END</v>
      </c>
    </row>
    <row r="82" spans="2:2" x14ac:dyDescent="0.75">
      <c r="B82" s="14" t="str">
        <f>IF('Pregnancy-ConceptMap-1'!S77=0,"//---END",'Pregnancy-ConceptMap-1'!S77)</f>
        <v>//---END</v>
      </c>
    </row>
    <row r="83" spans="2:2" x14ac:dyDescent="0.75">
      <c r="B83" s="14" t="str">
        <f>IF('Pregnancy-ConceptMap-1'!S78=0,"//---END",'Pregnancy-ConceptMap-1'!S78)</f>
        <v>//---END</v>
      </c>
    </row>
    <row r="84" spans="2:2" x14ac:dyDescent="0.75">
      <c r="B84" s="14" t="str">
        <f>IF('Pregnancy-ConceptMap-1'!S79=0,"//---END",'Pregnancy-ConceptMap-1'!S79)</f>
        <v>//---END</v>
      </c>
    </row>
    <row r="85" spans="2:2" x14ac:dyDescent="0.75">
      <c r="B85" s="14" t="str">
        <f>IF('Pregnancy-ConceptMap-1'!S80=0,"//---END",'Pregnancy-ConceptMap-1'!S80)</f>
        <v>//---END</v>
      </c>
    </row>
    <row r="87" spans="2:2" x14ac:dyDescent="0.75">
      <c r="B87" s="65"/>
    </row>
    <row r="88" spans="2:2" x14ac:dyDescent="0.75">
      <c r="B88" s="67" t="str">
        <f>"* group[+].source = ##34#"&amp;'Pregnancy-ConceptMap-2'!E6&amp;"##34#"</f>
        <v>* group[+].source = ##34#http://hl7.eu/fhir/ig/xpandh/ps/StructureDefinition/Pregnancy##34#</v>
      </c>
    </row>
    <row r="89" spans="2:2" x14ac:dyDescent="0.75">
      <c r="B89" s="67" t="str">
        <f>"* group[=].target = ##34#"&amp;'Pregnancy-ConceptMap-2'!E7&amp;"##34#"</f>
        <v>* group[=].target = ##34#http://hl7.eu/fhir/ig/xpandh/ps/StructureDefinition/Composition-ps-xpandh##34#</v>
      </c>
    </row>
    <row r="90" spans="2:2" x14ac:dyDescent="0.75">
      <c r="B90" s="69"/>
    </row>
    <row r="91" spans="2:2" x14ac:dyDescent="0.75">
      <c r="B91" t="str">
        <f>IF('Pregnancy-ConceptMap-2'!S15=0,"//---END",'Pregnancy-ConceptMap-2'!S15)</f>
        <v>* group[=].element[+].code = #Pregnancy.pregnancyStatus</v>
      </c>
    </row>
    <row r="92" spans="2:2" x14ac:dyDescent="0.75">
      <c r="B92" t="str">
        <f>IF('Pregnancy-ConceptMap-2'!S16=0,"//---END",'Pregnancy-ConceptMap-2'!S16)</f>
        <v>* group[=].element[=].display = ##34#A.2.6.1 Current pregnancy status##34#</v>
      </c>
    </row>
    <row r="93" spans="2:2" x14ac:dyDescent="0.75">
      <c r="B93" t="str">
        <f>IF('Pregnancy-ConceptMap-2'!S17=0,"//---END",'Pregnancy-ConceptMap-2'!S17)</f>
        <v>* group[=].element[=].target.code = #Observation.</v>
      </c>
    </row>
    <row r="94" spans="2:2" x14ac:dyDescent="0.75">
      <c r="B94" t="str">
        <f>IF('Pregnancy-ConceptMap-2'!S18=0,"//---END",'Pregnancy-ConceptMap-2'!S18)</f>
        <v>* group[=].element[=].target.display = ##34###34#</v>
      </c>
    </row>
    <row r="95" spans="2:2" x14ac:dyDescent="0.75">
      <c r="B95" t="str">
        <f>IF('Pregnancy-ConceptMap-2'!S19=0,"//---END",'Pregnancy-ConceptMap-2'!S19)</f>
        <v>* group[=].element[=].target.equivalence = #relatedto</v>
      </c>
    </row>
    <row r="96" spans="2:2" x14ac:dyDescent="0.75">
      <c r="B96" t="str">
        <f>IF('Pregnancy-ConceptMap-2'!S20=0,"//---END",'Pregnancy-ConceptMap-2'!S20)</f>
        <v/>
      </c>
    </row>
    <row r="97" spans="2:2" x14ac:dyDescent="0.75">
      <c r="B97" t="str">
        <f>IF('Pregnancy-ConceptMap-2'!S21=0,"//---END",'Pregnancy-ConceptMap-2'!S21)</f>
        <v>* group[=].element[+].code = #Pregnancy.pregnancyStatus.dateOfObservation</v>
      </c>
    </row>
    <row r="98" spans="2:2" x14ac:dyDescent="0.75">
      <c r="B98" t="str">
        <f>IF('Pregnancy-ConceptMap-2'!S22=0,"//---END",'Pregnancy-ConceptMap-2'!S22)</f>
        <v>* group[=].element[=].display = ##34#A.2.6.1.1 Date of observation##34#</v>
      </c>
    </row>
    <row r="99" spans="2:2" x14ac:dyDescent="0.75">
      <c r="B99" t="str">
        <f>IF('Pregnancy-ConceptMap-2'!S23=0,"//---END",'Pregnancy-ConceptMap-2'!S23)</f>
        <v>* group[=].element[=].target.code = #Observation.effectiveDateTime</v>
      </c>
    </row>
    <row r="100" spans="2:2" x14ac:dyDescent="0.75">
      <c r="B100" t="str">
        <f>IF('Pregnancy-ConceptMap-2'!S24=0,"//---END",'Pregnancy-ConceptMap-2'!S24)</f>
        <v>* group[=].element[=].target.display = ##34###34#</v>
      </c>
    </row>
    <row r="101" spans="2:2" x14ac:dyDescent="0.75">
      <c r="B101" t="str">
        <f>IF('Pregnancy-ConceptMap-2'!S25=0,"//---END",'Pregnancy-ConceptMap-2'!S25)</f>
        <v>* group[=].element[=].target.equivalence = #equivalent</v>
      </c>
    </row>
    <row r="102" spans="2:2" x14ac:dyDescent="0.75">
      <c r="B102" t="str">
        <f>IF('Pregnancy-ConceptMap-2'!S26=0,"//---END",'Pregnancy-ConceptMap-2'!S26)</f>
        <v/>
      </c>
    </row>
    <row r="103" spans="2:2" x14ac:dyDescent="0.75">
      <c r="B103" t="str">
        <f>IF('Pregnancy-ConceptMap-2'!S27=0,"//---END",'Pregnancy-ConceptMap-2'!S27)</f>
        <v>* group[=].element[+].code = #Pregnancy.pregnancyStatus.status</v>
      </c>
    </row>
    <row r="104" spans="2:2" x14ac:dyDescent="0.75">
      <c r="B104" t="str">
        <f>IF('Pregnancy-ConceptMap-2'!S28=0,"//---END",'Pregnancy-ConceptMap-2'!S28)</f>
        <v>* group[=].element[=].display = ##34#A.2.6.1.2 Status##34#</v>
      </c>
    </row>
    <row r="105" spans="2:2" x14ac:dyDescent="0.75">
      <c r="B105" t="str">
        <f>IF('Pregnancy-ConceptMap-2'!S29=0,"//---END",'Pregnancy-ConceptMap-2'!S29)</f>
        <v>* group[=].element[=].target.code = #Observation.valueCodeabelConcept</v>
      </c>
    </row>
    <row r="106" spans="2:2" x14ac:dyDescent="0.75">
      <c r="B106" t="str">
        <f>IF('Pregnancy-ConceptMap-2'!S30=0,"//---END",'Pregnancy-ConceptMap-2'!S30)</f>
        <v>* group[=].element[=].target.display = ##34###34#</v>
      </c>
    </row>
    <row r="107" spans="2:2" x14ac:dyDescent="0.75">
      <c r="B107" t="str">
        <f>IF('Pregnancy-ConceptMap-2'!S31=0,"//---END",'Pregnancy-ConceptMap-2'!S31)</f>
        <v>* group[=].element[=].target.equivalence = #equivalent</v>
      </c>
    </row>
    <row r="108" spans="2:2" x14ac:dyDescent="0.75">
      <c r="B108" t="str">
        <f>IF('Pregnancy-ConceptMap-2'!S32=0,"//---END",'Pregnancy-ConceptMap-2'!S32)</f>
        <v/>
      </c>
    </row>
    <row r="109" spans="2:2" x14ac:dyDescent="0.75">
      <c r="B109" t="str">
        <f>IF('Pregnancy-ConceptMap-2'!S33=0,"//---END",'Pregnancy-ConceptMap-2'!S33)</f>
        <v>* group[=].element[+].code = #Pregnancy.pregnancyStatus.deliveryDate</v>
      </c>
    </row>
    <row r="110" spans="2:2" x14ac:dyDescent="0.75">
      <c r="B110" t="str">
        <f>IF('Pregnancy-ConceptMap-2'!S34=0,"//---END",'Pregnancy-ConceptMap-2'!S34)</f>
        <v>* group[=].element[=].display = ##34#A.2.6.1.3 Expected date of delivery##34#</v>
      </c>
    </row>
    <row r="111" spans="2:2" x14ac:dyDescent="0.75">
      <c r="B111" t="str">
        <f>IF('Pregnancy-ConceptMap-2'!S35=0,"//---END",'Pregnancy-ConceptMap-2'!S35)</f>
        <v>* group[=].element[=].target.code = #Observation.hasMember.valueDateTime</v>
      </c>
    </row>
    <row r="112" spans="2:2" x14ac:dyDescent="0.75">
      <c r="B112" t="str">
        <f>IF('Pregnancy-ConceptMap-2'!S36=0,"//---END",'Pregnancy-ConceptMap-2'!S36)</f>
        <v>* group[=].element[=].target.display = ##34###34#</v>
      </c>
    </row>
    <row r="113" spans="2:2" x14ac:dyDescent="0.75">
      <c r="B113" t="str">
        <f>IF('Pregnancy-ConceptMap-2'!S37=0,"//---END",'Pregnancy-ConceptMap-2'!S37)</f>
        <v>* group[=].element[=].target.equivalence = #equivalent</v>
      </c>
    </row>
    <row r="114" spans="2:2" x14ac:dyDescent="0.75">
      <c r="B114" t="str">
        <f>IF('Pregnancy-ConceptMap-2'!S38=0,"//---END",'Pregnancy-ConceptMap-2'!S38)</f>
        <v>* group[=].element[=].target.comment = ##34#Where hasMember.code IN PregnancyExpectedDeliveryDateMethodUvIps value set##34#</v>
      </c>
    </row>
    <row r="115" spans="2:2" x14ac:dyDescent="0.75">
      <c r="B115" t="str">
        <f>IF('Pregnancy-ConceptMap-2'!S39=0,"//---END",'Pregnancy-ConceptMap-2'!S39)</f>
        <v>//---END</v>
      </c>
    </row>
    <row r="116" spans="2:2" x14ac:dyDescent="0.75">
      <c r="B116" t="str">
        <f>IF('Pregnancy-ConceptMap-2'!S40=0,"//---END",'Pregnancy-ConceptMap-2'!S40)</f>
        <v>//---END</v>
      </c>
    </row>
    <row r="117" spans="2:2" x14ac:dyDescent="0.75">
      <c r="B117" t="str">
        <f>IF('Pregnancy-ConceptMap-2'!S41=0,"//---END",'Pregnancy-ConceptMap-2'!S41)</f>
        <v>//---END</v>
      </c>
    </row>
    <row r="118" spans="2:2" x14ac:dyDescent="0.75">
      <c r="B118" t="str">
        <f>IF('Pregnancy-ConceptMap-2'!S42=0,"//---END",'Pregnancy-ConceptMap-2'!S42)</f>
        <v>//---END</v>
      </c>
    </row>
    <row r="119" spans="2:2" x14ac:dyDescent="0.75">
      <c r="B119" t="str">
        <f>IF('Pregnancy-ConceptMap-2'!S43=0,"//---END",'Pregnancy-ConceptMap-2'!S43)</f>
        <v>//---END</v>
      </c>
    </row>
    <row r="120" spans="2:2" x14ac:dyDescent="0.75">
      <c r="B120" t="str">
        <f>IF('Pregnancy-ConceptMap-2'!S44=0,"//---END",'Pregnancy-ConceptMap-2'!S44)</f>
        <v>//---END</v>
      </c>
    </row>
    <row r="121" spans="2:2" x14ac:dyDescent="0.75">
      <c r="B121" s="65"/>
    </row>
    <row r="122" spans="2:2" x14ac:dyDescent="0.75">
      <c r="B122" s="67" t="str">
        <f>"* group[+].source = ##34#"&amp;'Pregnancy-ConceptMap-3'!E6&amp;"##34#"</f>
        <v>* group[+].source = ##34#http://hl7.eu/fhir/ig/xpandh/ps/StructureDefinition/Pregnancy##34#</v>
      </c>
    </row>
    <row r="123" spans="2:2" x14ac:dyDescent="0.75">
      <c r="B123" s="67" t="str">
        <f>"* group[=].target = ##34#"&amp;'Pregnancy-ConceptMap-3'!E7&amp;"##34#"</f>
        <v>* group[=].target = ##34#http://hl7.eu/fhir/ig/xpandh/ps/StructureDefinition/Composition-ps-xpandh##34#</v>
      </c>
    </row>
    <row r="124" spans="2:2" x14ac:dyDescent="0.75">
      <c r="B124" s="69"/>
    </row>
    <row r="125" spans="2:2" x14ac:dyDescent="0.75">
      <c r="B125" t="str">
        <f>IF('Pregnancy-ConceptMap-3'!S15=0,"//---END",'Pregnancy-ConceptMap-3'!S15)</f>
        <v>* group[=].element[+].code = #Pregnancy.hxPreviousPregnancies</v>
      </c>
    </row>
    <row r="126" spans="2:2" x14ac:dyDescent="0.75">
      <c r="B126" t="str">
        <f>IF('Pregnancy-ConceptMap-3'!S16=0,"//---END",'Pregnancy-ConceptMap-3'!S16)</f>
        <v>* group[=].element[=].display = ##34#A.2.6.2 History of previous pregnancies##34#</v>
      </c>
    </row>
    <row r="127" spans="2:2" x14ac:dyDescent="0.75">
      <c r="B127" t="str">
        <f>IF('Pregnancy-ConceptMap-3'!S17=0,"//---END",'Pregnancy-ConceptMap-3'!S17)</f>
        <v>* group[=].element[=].target.code = #Observation.</v>
      </c>
    </row>
    <row r="128" spans="2:2" x14ac:dyDescent="0.75">
      <c r="B128" t="str">
        <f>IF('Pregnancy-ConceptMap-3'!S18=0,"//---END",'Pregnancy-ConceptMap-3'!S18)</f>
        <v>* group[=].element[=].target.display = ##34###34#</v>
      </c>
    </row>
    <row r="129" spans="2:2" x14ac:dyDescent="0.75">
      <c r="B129" t="str">
        <f>IF('Pregnancy-ConceptMap-3'!S19=0,"//---END",'Pregnancy-ConceptMap-3'!S19)</f>
        <v>* group[=].element[=].target.equivalence = #relatedto</v>
      </c>
    </row>
    <row r="130" spans="2:2" x14ac:dyDescent="0.75">
      <c r="B130" t="str">
        <f>IF('Pregnancy-ConceptMap-3'!S20=0,"//---END",'Pregnancy-ConceptMap-3'!S20)</f>
        <v/>
      </c>
    </row>
    <row r="131" spans="2:2" x14ac:dyDescent="0.75">
      <c r="B131" t="str">
        <f>IF('Pregnancy-ConceptMap-3'!S21=0,"//---END",'Pregnancy-ConceptMap-3'!S21)</f>
        <v>* group[=].element[+].code = #Pregnancy.hxPreviousPregnancies.status</v>
      </c>
    </row>
    <row r="132" spans="2:2" x14ac:dyDescent="0.75">
      <c r="B132" t="str">
        <f>IF('Pregnancy-ConceptMap-3'!S22=0,"//---END",'Pregnancy-ConceptMap-3'!S22)</f>
        <v>* group[=].element[=].display = ##34#A.2.6.2.1 Previous pregnancies status##34#</v>
      </c>
    </row>
    <row r="133" spans="2:2" x14ac:dyDescent="0.75">
      <c r="B133" t="str">
        <f>IF('Pregnancy-ConceptMap-3'!S23=0,"//---END",'Pregnancy-ConceptMap-3'!S23)</f>
        <v>* group[=].element[=].target.code = #Observation.section:sectionPregnancyHx.entry</v>
      </c>
    </row>
    <row r="134" spans="2:2" x14ac:dyDescent="0.75">
      <c r="B134" t="str">
        <f>IF('Pregnancy-ConceptMap-3'!S24=0,"//---END",'Pregnancy-ConceptMap-3'!S24)</f>
        <v>* group[=].element[=].target.display = ##34###34#</v>
      </c>
    </row>
    <row r="135" spans="2:2" x14ac:dyDescent="0.75">
      <c r="B135" t="str">
        <f>IF('Pregnancy-ConceptMap-3'!S25=0,"//---END",'Pregnancy-ConceptMap-3'!S25)</f>
        <v>* group[=].element[=].target.equivalence = #relatedto</v>
      </c>
    </row>
    <row r="136" spans="2:2" x14ac:dyDescent="0.75">
      <c r="B136" t="str">
        <f>IF('Pregnancy-ConceptMap-3'!S26=0,"//---END",'Pregnancy-ConceptMap-3'!S26)</f>
        <v>* group[=].element[=].target.comment = ##34#Observation profile to be added##34#</v>
      </c>
    </row>
    <row r="137" spans="2:2" x14ac:dyDescent="0.75">
      <c r="B137" t="str">
        <f>IF('Pregnancy-ConceptMap-3'!S27=0,"//---END",'Pregnancy-ConceptMap-3'!S27)</f>
        <v>* group[=].element[+].code = #Pregnancy.hxPreviousPregnancies.description</v>
      </c>
    </row>
    <row r="138" spans="2:2" x14ac:dyDescent="0.75">
      <c r="B138" t="str">
        <f>IF('Pregnancy-ConceptMap-3'!S28=0,"//---END",'Pregnancy-ConceptMap-3'!S28)</f>
        <v>* group[=].element[=].display = ##34#A.2.6.2.2 Previous pregnancies description##34#</v>
      </c>
    </row>
    <row r="139" spans="2:2" x14ac:dyDescent="0.75">
      <c r="B139" t="str">
        <f>IF('Pregnancy-ConceptMap-3'!S29=0,"//---END",'Pregnancy-ConceptMap-3'!S29)</f>
        <v>* group[=].element[=].target.code = #Observation.</v>
      </c>
    </row>
    <row r="140" spans="2:2" x14ac:dyDescent="0.75">
      <c r="B140" t="str">
        <f>IF('Pregnancy-ConceptMap-3'!S30=0,"//---END",'Pregnancy-ConceptMap-3'!S30)</f>
        <v>* group[=].element[=].target.display = ##34###34#</v>
      </c>
    </row>
    <row r="141" spans="2:2" x14ac:dyDescent="0.75">
      <c r="B141" t="str">
        <f>IF('Pregnancy-ConceptMap-3'!S31=0,"//---END",'Pregnancy-ConceptMap-3'!S31)</f>
        <v>* group[=].element[=].target.equivalence = #relatedto</v>
      </c>
    </row>
    <row r="142" spans="2:2" x14ac:dyDescent="0.75">
      <c r="B142" t="str">
        <f>IF('Pregnancy-ConceptMap-3'!S32=0,"//---END",'Pregnancy-ConceptMap-3'!S32)</f>
        <v>* group[=].element[=].target.comment = ##34#To be checked##34#</v>
      </c>
    </row>
    <row r="143" spans="2:2" x14ac:dyDescent="0.75">
      <c r="B143" t="str">
        <f>IF('Pregnancy-ConceptMap-3'!S33=0,"//---END",'Pregnancy-ConceptMap-3'!S33)</f>
        <v>* group[=].element[+].code = #Pregnancy.hxPreviousPregnancies.description.outcomeDate</v>
      </c>
    </row>
    <row r="144" spans="2:2" x14ac:dyDescent="0.75">
      <c r="B144" t="str">
        <f>IF('Pregnancy-ConceptMap-3'!S34=0,"//---END",'Pregnancy-ConceptMap-3'!S34)</f>
        <v>* group[=].element[=].display = ##34#A.2.6.2.2.1 Outcome date##34#</v>
      </c>
    </row>
    <row r="145" spans="2:2" x14ac:dyDescent="0.75">
      <c r="B145" t="str">
        <f>IF('Pregnancy-ConceptMap-3'!S35=0,"//---END",'Pregnancy-ConceptMap-3'!S35)</f>
        <v>* group[=].element[=].target.code = #Observation.effectiveDateTime</v>
      </c>
    </row>
    <row r="146" spans="2:2" x14ac:dyDescent="0.75">
      <c r="B146" t="str">
        <f>IF('Pregnancy-ConceptMap-3'!S36=0,"//---END",'Pregnancy-ConceptMap-3'!S36)</f>
        <v>* group[=].element[=].target.display = ##34###34#</v>
      </c>
    </row>
    <row r="147" spans="2:2" x14ac:dyDescent="0.75">
      <c r="B147" t="str">
        <f>IF('Pregnancy-ConceptMap-3'!S37=0,"//---END",'Pregnancy-ConceptMap-3'!S37)</f>
        <v>* group[=].element[=].target.equivalence = #equivalent</v>
      </c>
    </row>
    <row r="148" spans="2:2" x14ac:dyDescent="0.75">
      <c r="B148" t="str">
        <f>IF('Pregnancy-ConceptMap-3'!S38=0,"//---END",'Pregnancy-ConceptMap-3'!S38)</f>
        <v/>
      </c>
    </row>
    <row r="149" spans="2:2" x14ac:dyDescent="0.75">
      <c r="B149" t="str">
        <f>IF('Pregnancy-ConceptMap-3'!S39=0,"//---END",'Pregnancy-ConceptMap-3'!S39)</f>
        <v>* group[=].element[+].code = #Pregnancy.hxPreviousPregnancies.description.outcome</v>
      </c>
    </row>
    <row r="150" spans="2:2" x14ac:dyDescent="0.75">
      <c r="B150" t="str">
        <f>IF('Pregnancy-ConceptMap-3'!S40=0,"//---END",'Pregnancy-ConceptMap-3'!S40)</f>
        <v>* group[=].element[=].display = ##34#A.2.6.2.2.2 Outcome##34#</v>
      </c>
    </row>
    <row r="151" spans="2:2" x14ac:dyDescent="0.75">
      <c r="B151" t="str">
        <f>IF('Pregnancy-ConceptMap-3'!S41=0,"//---END",'Pregnancy-ConceptMap-3'!S41)</f>
        <v>* group[=].element[=].target.code = #Observation.code</v>
      </c>
    </row>
    <row r="152" spans="2:2" x14ac:dyDescent="0.75">
      <c r="B152" t="str">
        <f>IF('Pregnancy-ConceptMap-3'!S42=0,"//---END",'Pregnancy-ConceptMap-3'!S42)</f>
        <v>* group[=].element[=].target.display = ##34###34#</v>
      </c>
    </row>
    <row r="153" spans="2:2" x14ac:dyDescent="0.75">
      <c r="B153" t="str">
        <f>IF('Pregnancy-ConceptMap-3'!S43=0,"//---END",'Pregnancy-ConceptMap-3'!S43)</f>
        <v>* group[=].element[=].target.equivalence = #equivalent</v>
      </c>
    </row>
    <row r="154" spans="2:2" x14ac:dyDescent="0.75">
      <c r="B154" t="str">
        <f>IF('Pregnancy-ConceptMap-3'!S44=0,"//---END",'Pregnancy-ConceptMap-3'!S44)</f>
        <v>* group[=].element[=].target.comment = ##34#to be checked##34#</v>
      </c>
    </row>
    <row r="155" spans="2:2" x14ac:dyDescent="0.75">
      <c r="B155" t="str">
        <f>IF('Pregnancy-ConceptMap-3'!S45=0,"//---END",'Pregnancy-ConceptMap-3'!S45)</f>
        <v>* group[=].element[+].code = #Pregnancy.hxPreviousPregnancies.description.numberOfChildren</v>
      </c>
    </row>
    <row r="156" spans="2:2" x14ac:dyDescent="0.75">
      <c r="B156" t="str">
        <f>IF('Pregnancy-ConceptMap-3'!S46=0,"//---END",'Pregnancy-ConceptMap-3'!S46)</f>
        <v>* group[=].element[=].display = ##34#A.2.6.2.2.3 Number of children##34#</v>
      </c>
    </row>
    <row r="157" spans="2:2" x14ac:dyDescent="0.75">
      <c r="B157" t="str">
        <f>IF('Pregnancy-ConceptMap-3'!S47=0,"//---END",'Pregnancy-ConceptMap-3'!S47)</f>
        <v>* group[=].element[=].target.code = #Observation.valueQuentity</v>
      </c>
    </row>
    <row r="158" spans="2:2" x14ac:dyDescent="0.75">
      <c r="B158" t="str">
        <f>IF('Pregnancy-ConceptMap-3'!S48=0,"//---END",'Pregnancy-ConceptMap-3'!S48)</f>
        <v>* group[=].element[=].target.display = ##34###34#</v>
      </c>
    </row>
    <row r="159" spans="2:2" x14ac:dyDescent="0.75">
      <c r="B159" t="str">
        <f>IF('Pregnancy-ConceptMap-3'!S49=0,"//---END",'Pregnancy-ConceptMap-3'!S49)</f>
        <v>* group[=].element[=].target.equivalence = #equivalent</v>
      </c>
    </row>
    <row r="160" spans="2:2" x14ac:dyDescent="0.75">
      <c r="B160" t="str">
        <f>IF('Pregnancy-ConceptMap-3'!S50=0,"//---END",'Pregnancy-ConceptMap-3'!S50)</f>
        <v/>
      </c>
    </row>
    <row r="161" spans="2:2" x14ac:dyDescent="0.75">
      <c r="B161" t="str">
        <f>IF('Pregnancy-ConceptMap-3'!S51=0,"//---END",'Pregnancy-ConceptMap-3'!S51)</f>
        <v>//---END</v>
      </c>
    </row>
    <row r="162" spans="2:2" x14ac:dyDescent="0.75">
      <c r="B162" t="str">
        <f>IF('Pregnancy-ConceptMap-3'!S52=0,"//---END",'Pregnancy-ConceptMap-3'!S52)</f>
        <v>//---END</v>
      </c>
    </row>
    <row r="163" spans="2:2" x14ac:dyDescent="0.75">
      <c r="B163" t="str">
        <f>IF('Pregnancy-ConceptMap-3'!S53=0,"//---END",'Pregnancy-ConceptMap-3'!S53)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80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224A6-AC02-453B-94BC-A9C086427A1C}">
  <sheetPr codeName="Foglio46">
    <tabColor theme="7" tint="0.39997558519241921"/>
  </sheetPr>
  <dimension ref="A1:L31"/>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1203</v>
      </c>
      <c r="I4" s="24" t="str">
        <f>CONCATENATE("Logical: ",B4)</f>
        <v>Logical: FunctionalStatusPsEhn</v>
      </c>
    </row>
    <row r="5" spans="1:11" x14ac:dyDescent="0.75">
      <c r="A5" s="17" t="s">
        <v>19</v>
      </c>
      <c r="B5" s="33" t="s">
        <v>1204</v>
      </c>
      <c r="I5" s="24" t="str">
        <f>CONCATENATE("Id: ",B5)</f>
        <v>Id: FunctionalStatus</v>
      </c>
    </row>
    <row r="6" spans="1:11" x14ac:dyDescent="0.75">
      <c r="A6" s="17" t="s">
        <v>13</v>
      </c>
      <c r="B6" s="18" t="s">
        <v>1219</v>
      </c>
      <c r="I6" s="25" t="str">
        <f>CONCATENATE("Title: ##34#",B6,"##34#")</f>
        <v>Title: ##34#A.2.3.3 - Functional Status##34#</v>
      </c>
    </row>
    <row r="7" spans="1:11" ht="29.5" x14ac:dyDescent="0.75">
      <c r="A7" s="43" t="s">
        <v>5</v>
      </c>
      <c r="B7" s="50" t="s">
        <v>1220</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204</v>
      </c>
      <c r="C8" s="9" t="s">
        <v>1208</v>
      </c>
      <c r="D8" s="14" t="s">
        <v>1217</v>
      </c>
      <c r="E8" s="9">
        <v>0</v>
      </c>
      <c r="F8" s="9" t="s">
        <v>11</v>
      </c>
      <c r="G8" s="9" t="s">
        <v>160</v>
      </c>
      <c r="H8" s="22"/>
      <c r="I8" s="14" t="str">
        <f>CONCATENATE("* ",B8, " ",E8,"..",F8," ",G8," ##34#",C8,"##34# ##334#",D8,"##334#")</f>
        <v>* description 0..* Narrative ##34#A.2.3.4.1 Description##34# ##334#Need for the patient to be continuously assessed by third parties; functional status may influence decisions about how to plan and administer treatments.##334#</v>
      </c>
    </row>
    <row r="9" spans="1:11" ht="30.25" thickBot="1" x14ac:dyDescent="0.9">
      <c r="A9" s="9">
        <v>2</v>
      </c>
      <c r="B9" s="9" t="s">
        <v>890</v>
      </c>
      <c r="C9" s="9" t="s">
        <v>1209</v>
      </c>
      <c r="D9" s="94" t="s">
        <v>1213</v>
      </c>
      <c r="E9" s="9">
        <v>0</v>
      </c>
      <c r="F9" s="9" t="s">
        <v>11</v>
      </c>
      <c r="G9" s="9" t="s">
        <v>2</v>
      </c>
      <c r="H9" s="22"/>
      <c r="I9" s="14" t="str">
        <f t="shared" ref="I9:I16" si="0">CONCATENATE("* ",B9, " ",E9,"..",F9," ",G9," ##34#",C9,"##34# ##334#",D9,"##334#")</f>
        <v>* onsetDate 0..* dateTime ##34#A.2.3.4.2 Onset Date##34# ##334#Onset date of a condition - Preferred system(s): ISO 8601##334#</v>
      </c>
    </row>
    <row r="10" spans="1:11" ht="30.25" customHeight="1" x14ac:dyDescent="0.75">
      <c r="A10" s="9">
        <v>3</v>
      </c>
      <c r="B10" s="9" t="s">
        <v>189</v>
      </c>
      <c r="C10" s="9" t="s">
        <v>1210</v>
      </c>
      <c r="D10" s="14" t="s">
        <v>1214</v>
      </c>
      <c r="E10" s="9">
        <v>0</v>
      </c>
      <c r="F10" s="9" t="s">
        <v>11</v>
      </c>
      <c r="G10" s="9" t="s">
        <v>1</v>
      </c>
      <c r="H10" s="22"/>
      <c r="I10" s="14" t="str">
        <f t="shared" si="0"/>
        <v>* code 0..* CodeableConcept ##34#A.2.3.4.3 Functional assessment description##34# ##334#Description of the functional assessment - Preferred system(s): ICF##334#</v>
      </c>
    </row>
    <row r="11" spans="1:11" ht="45" customHeight="1" x14ac:dyDescent="0.75">
      <c r="A11" s="51"/>
      <c r="B11" s="51" t="s">
        <v>211</v>
      </c>
      <c r="C11" t="s">
        <v>1211</v>
      </c>
      <c r="D11" s="52" t="s">
        <v>1215</v>
      </c>
      <c r="E11" s="9">
        <v>0</v>
      </c>
      <c r="F11" s="9">
        <v>1</v>
      </c>
      <c r="G11" s="9" t="s">
        <v>2</v>
      </c>
      <c r="H11" s="22"/>
      <c r="I11" s="14" t="str">
        <f t="shared" si="0"/>
        <v>* date 0..1 dateTime ##34#A.2.3.4.4 Functional assessment date##34# ##334#Date of the functional assessment - Preferred system(s): ISO 8601##334#</v>
      </c>
    </row>
    <row r="12" spans="1:11" ht="44.25" x14ac:dyDescent="0.75">
      <c r="A12" s="9">
        <v>5</v>
      </c>
      <c r="B12" s="9" t="s">
        <v>121</v>
      </c>
      <c r="C12" s="9" t="s">
        <v>1212</v>
      </c>
      <c r="D12" s="14" t="s">
        <v>1216</v>
      </c>
      <c r="E12" s="9">
        <v>0</v>
      </c>
      <c r="F12" s="9" t="s">
        <v>11</v>
      </c>
      <c r="G12" s="9" t="s">
        <v>1</v>
      </c>
      <c r="H12" s="22"/>
      <c r="I12" s="14" t="str">
        <f t="shared" si="0"/>
        <v>* result 0..* CodeableConcept ##34#A.2.3.4.5 Functional assessment result##34# ##334#Functional assessment result value - Preferred system(s): ICF##334#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t="str">
        <f t="shared" si="0"/>
        <v>*  ..  ##34###34# ##334###334#</v>
      </c>
      <c r="J15" s="15"/>
      <c r="K15" s="9"/>
    </row>
    <row r="16" spans="1:11" ht="29.5" customHeight="1" x14ac:dyDescent="0.75">
      <c r="A16" s="9">
        <v>9</v>
      </c>
      <c r="B16" s="9"/>
      <c r="C16" s="9"/>
      <c r="D16" s="14"/>
      <c r="E16" s="9"/>
      <c r="F16" s="9"/>
      <c r="G16" s="46"/>
      <c r="H16" s="9"/>
      <c r="I16" s="14" t="str">
        <f t="shared" si="0"/>
        <v>*  ..  ##34###34# ##334###334#</v>
      </c>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2"/>
      <c r="E26" s="152"/>
      <c r="F26" s="153"/>
    </row>
    <row r="27" spans="2:9" ht="384.75" customHeight="1" thickBot="1" x14ac:dyDescent="0.9">
      <c r="B27" t="str">
        <f t="shared" ref="B27:B31" si="2">CONCATENATE(C27," ",D27)</f>
        <v>A.2.3.4.1 Description</v>
      </c>
      <c r="C27" s="93" t="s">
        <v>738</v>
      </c>
      <c r="D27" s="94" t="s">
        <v>5</v>
      </c>
      <c r="E27" s="94" t="s">
        <v>671</v>
      </c>
      <c r="F27" s="94"/>
      <c r="I27" s="1" t="str">
        <f t="shared" ref="I27:I31" si="3">CONCATENATE(E27," - Preferred system(s): ",F27)</f>
        <v xml:space="preserve">Need for the patient to be continuously assessed by third parties; functional status may influence decisions about how to plan and administer treatments - Preferred system(s): </v>
      </c>
    </row>
    <row r="28" spans="2:9" ht="45" thickBot="1" x14ac:dyDescent="0.9">
      <c r="B28" t="str">
        <f t="shared" si="2"/>
        <v>A.2.3.4.2 Onset Date</v>
      </c>
      <c r="C28" s="93" t="s">
        <v>739</v>
      </c>
      <c r="D28" s="94" t="s">
        <v>672</v>
      </c>
      <c r="E28" s="94" t="s">
        <v>673</v>
      </c>
      <c r="F28" s="94" t="s">
        <v>94</v>
      </c>
      <c r="I28" s="1" t="str">
        <f t="shared" si="3"/>
        <v>Onset date of a condition - Preferred system(s): ISO 8601</v>
      </c>
    </row>
    <row r="29" spans="2:9" ht="74.5" thickBot="1" x14ac:dyDescent="0.9">
      <c r="B29" t="str">
        <f t="shared" si="2"/>
        <v>A.2.3.4.3 Functional assessment description</v>
      </c>
      <c r="C29" s="93" t="s">
        <v>740</v>
      </c>
      <c r="D29" s="94" t="s">
        <v>674</v>
      </c>
      <c r="E29" s="94" t="s">
        <v>1207</v>
      </c>
      <c r="F29" s="94" t="s">
        <v>1205</v>
      </c>
      <c r="I29" s="1" t="str">
        <f t="shared" si="3"/>
        <v>Description of the functional assessment - Preferred system(s): ICF</v>
      </c>
    </row>
    <row r="30" spans="2:9" ht="59.75" thickBot="1" x14ac:dyDescent="0.9">
      <c r="B30" t="str">
        <f t="shared" si="2"/>
        <v>A.2.3.4.4 Functional assessment date</v>
      </c>
      <c r="C30" s="93" t="s">
        <v>741</v>
      </c>
      <c r="D30" s="94" t="s">
        <v>675</v>
      </c>
      <c r="E30" s="94" t="s">
        <v>676</v>
      </c>
      <c r="F30" s="94" t="s">
        <v>94</v>
      </c>
      <c r="I30" s="1" t="str">
        <f t="shared" si="3"/>
        <v>Date of the functional assessment - Preferred system(s): ISO 8601</v>
      </c>
    </row>
    <row r="31" spans="2:9" ht="59.75" thickBot="1" x14ac:dyDescent="0.9">
      <c r="B31" t="str">
        <f t="shared" si="2"/>
        <v>A.2.3.4.5 Functional assessment result</v>
      </c>
      <c r="C31" s="93" t="s">
        <v>742</v>
      </c>
      <c r="D31" s="94" t="s">
        <v>677</v>
      </c>
      <c r="E31" s="94" t="s">
        <v>1206</v>
      </c>
      <c r="F31" s="94" t="s">
        <v>1205</v>
      </c>
      <c r="I31" s="1" t="str">
        <f t="shared" si="3"/>
        <v>Functional assessment result value - Preferred system(s): ICF</v>
      </c>
    </row>
  </sheetData>
  <mergeCells count="1">
    <mergeCell ref="C26:F26"/>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3F331-3179-4FFF-82C6-D2C6A73015F4}">
  <sheetPr codeName="Foglio67">
    <tabColor theme="8" tint="-0.249977111117893"/>
  </sheetPr>
  <dimension ref="C1:G16"/>
  <sheetViews>
    <sheetView workbookViewId="0">
      <selection activeCell="B8" sqref="B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FunctionalStatus'!I1</f>
        <v>// -------------------------------------------------------------------------------</v>
      </c>
    </row>
    <row r="2" spans="3:7" ht="16.75" thickBot="1" x14ac:dyDescent="0.9">
      <c r="C2" s="32" t="str">
        <f>'A.2.3.3 FunctionalStatus'!I2</f>
        <v>//  Logical Model</v>
      </c>
      <c r="G2" s="48" t="s">
        <v>1218</v>
      </c>
    </row>
    <row r="3" spans="3:7" x14ac:dyDescent="0.75">
      <c r="C3" s="32" t="str">
        <f>'A.2.3.3 FunctionalStatus'!I3</f>
        <v>// -------------------------------------------------------------------------------</v>
      </c>
    </row>
    <row r="4" spans="3:7" x14ac:dyDescent="0.75">
      <c r="C4" s="24" t="str">
        <f>'A.2.3.3 FunctionalStatus'!I4</f>
        <v>Logical: FunctionalStatusPsEhn</v>
      </c>
    </row>
    <row r="5" spans="3:7" x14ac:dyDescent="0.75">
      <c r="C5" s="24" t="str">
        <f>'A.2.3.3 FunctionalStatus'!I5</f>
        <v>Id: FunctionalStatus</v>
      </c>
    </row>
    <row r="6" spans="3:7" x14ac:dyDescent="0.75">
      <c r="C6" s="24" t="str">
        <f>'A.2.3.3 FunctionalStatus'!I6</f>
        <v>Title: ##34#A.2.3.3 - Functional Status##34#</v>
      </c>
    </row>
    <row r="7" spans="3:7" x14ac:dyDescent="0.75">
      <c r="C7" s="24" t="str">
        <f>'A.2.3.3 FunctionalStatus'!I7</f>
        <v>Description:  ##334#Functional Status. Section A.2.3.3 of the eHN guideline.##334#</v>
      </c>
    </row>
    <row r="8" spans="3:7" ht="29.5" x14ac:dyDescent="0.75">
      <c r="C8" s="14" t="str">
        <f>IF('A.2.3.3 FunctionalStatus'!I8="*  ..  ##34###34# ##334###334#","//--- END",'A.2.3.3 FunctionalStatus'!I8)</f>
        <v>* description 0..* Narrative ##34#A.2.3.4.1 Description##34# ##334#Need for the patient to be continuously assessed by third parties; functional status may influence decisions about how to plan and administer treatments.##334#</v>
      </c>
    </row>
    <row r="9" spans="3:7" ht="29.5" x14ac:dyDescent="0.75">
      <c r="C9" s="14" t="str">
        <f>IF('A.2.3.3 FunctionalStatus'!I9="*  ..  ##34###34# ##334###334#","//--- END",'A.2.3.3 FunctionalStatus'!I9)</f>
        <v>* onsetDate 0..* dateTime ##34#A.2.3.4.2 Onset Date##34# ##334#Onset date of a condition - Preferred system(s): ISO 8601##334#</v>
      </c>
    </row>
    <row r="10" spans="3:7" ht="29.5" x14ac:dyDescent="0.75">
      <c r="C10" s="14" t="str">
        <f>IF('A.2.3.3 FunctionalStatus'!I10="*  ..  ##34###34# ##334###334#","//--- END",'A.2.3.3 FunctionalStatus'!I10)</f>
        <v>* code 0..* CodeableConcept ##34#A.2.3.4.3 Functional assessment description##34# ##334#Description of the functional assessment - Preferred system(s): ICF##334#</v>
      </c>
      <c r="E10" t="s">
        <v>116</v>
      </c>
    </row>
    <row r="11" spans="3:7" ht="29.5" x14ac:dyDescent="0.75">
      <c r="C11" s="14" t="str">
        <f>IF('A.2.3.3 FunctionalStatus'!I11="*  ..  ##34###34# ##334###334#","//--- END",'A.2.3.3 FunctionalStatus'!I11)</f>
        <v>* date 0..1 dateTime ##34#A.2.3.4.4 Functional assessment date##34# ##334#Date of the functional assessment - Preferred system(s): ISO 8601##334#</v>
      </c>
    </row>
    <row r="12" spans="3:7" ht="29.5" x14ac:dyDescent="0.75">
      <c r="C12" s="14" t="str">
        <f>IF('A.2.3.3 FunctionalStatus'!I12="*  ..  ##34###34# ##334###334#","//--- END",'A.2.3.3 FunctionalStatus'!I12)</f>
        <v>* result 0..* CodeableConcept ##34#A.2.3.4.5 Functional assessment result##34# ##334#Functional assessment result value - Preferred system(s): ICF##334#</v>
      </c>
    </row>
    <row r="13" spans="3:7" x14ac:dyDescent="0.75">
      <c r="C13" s="14" t="str">
        <f>IF('A.2.3.3 FunctionalStatus'!I13="*  ..  ##34###34# ##334###334#","//--- END",'A.2.3.3 FunctionalStatus'!I13)</f>
        <v>//--- END</v>
      </c>
    </row>
    <row r="14" spans="3:7" x14ac:dyDescent="0.75">
      <c r="C14" s="14" t="str">
        <f>IF('A.2.3.3 FunctionalStatus'!I14="*  ..  ##34###34# ##334###334#","//--- END",'A.2.3.3 FunctionalStatus'!I14)</f>
        <v>//--- END</v>
      </c>
    </row>
    <row r="15" spans="3:7" x14ac:dyDescent="0.75">
      <c r="C15" s="14" t="str">
        <f>IF('A.2.3.3 FunctionalStatus'!I15="*  ..  ##34###34# ##334###334#","//--- END",'A.2.3.3 FunctionalStatus'!I15)</f>
        <v>//--- END</v>
      </c>
    </row>
    <row r="16" spans="3:7" x14ac:dyDescent="0.75">
      <c r="C16" s="14" t="str">
        <f>IF('A.2.3.3 FunctionalStatus'!I16="*  ..  ##34###34# ##334###334#","//--- END",'A.2.3.3 FunctionalStatus'!I16)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396FE-1657-41DC-A236-9C2F643FFE49}">
  <sheetPr codeName="Foglio68">
    <tabColor theme="0" tint="-0.499984740745262"/>
  </sheetPr>
  <dimension ref="A1:T53"/>
  <sheetViews>
    <sheetView topLeftCell="J23" workbookViewId="0">
      <selection activeCell="B8" sqref="B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B1" s="167" t="s">
        <v>1233</v>
      </c>
      <c r="C1" s="167"/>
    </row>
    <row r="2" spans="1:19" ht="15.5" thickBot="1" x14ac:dyDescent="0.9"/>
    <row r="3" spans="1:19" ht="15.5" thickBot="1" x14ac:dyDescent="0.9">
      <c r="B3" s="61" t="s">
        <v>34</v>
      </c>
      <c r="C3" s="47" t="s">
        <v>1221</v>
      </c>
      <c r="D3" s="61" t="s">
        <v>208</v>
      </c>
      <c r="E3" s="165" t="str">
        <f>"http://hl7.eu/fhir/ig/xpandh/ps/StructureDefinition/"&amp;'A.2.3.3 FunctionalStatus'!B5</f>
        <v>http://hl7.eu/fhir/ig/xpandh/ps/StructureDefinition/FunctionalStatus</v>
      </c>
      <c r="F3" s="164"/>
      <c r="G3" s="164"/>
    </row>
    <row r="4" spans="1:19" x14ac:dyDescent="0.75">
      <c r="B4" s="61" t="s">
        <v>19</v>
      </c>
      <c r="C4" s="47" t="s">
        <v>1222</v>
      </c>
      <c r="D4" s="61" t="s">
        <v>209</v>
      </c>
      <c r="E4" s="165" t="s">
        <v>1223</v>
      </c>
      <c r="F4" s="164"/>
      <c r="G4" s="164"/>
    </row>
    <row r="5" spans="1:19" x14ac:dyDescent="0.75">
      <c r="B5" s="61" t="s">
        <v>13</v>
      </c>
      <c r="C5" s="10" t="s">
        <v>226</v>
      </c>
      <c r="D5" s="61"/>
      <c r="E5" s="10"/>
    </row>
    <row r="6" spans="1:19" x14ac:dyDescent="0.75">
      <c r="B6" s="61" t="s">
        <v>35</v>
      </c>
      <c r="C6" s="60"/>
      <c r="D6" s="61" t="s">
        <v>206</v>
      </c>
      <c r="E6" s="165" t="str">
        <f>E3</f>
        <v>http://hl7.eu/fhir/ig/xpandh/ps/StructureDefinition/FunctionalStatus</v>
      </c>
      <c r="F6" s="164"/>
      <c r="G6" s="164"/>
    </row>
    <row r="7" spans="1:19" x14ac:dyDescent="0.75">
      <c r="B7" s="61" t="s">
        <v>18</v>
      </c>
      <c r="C7" s="68"/>
      <c r="D7" s="61" t="s">
        <v>207</v>
      </c>
      <c r="E7" s="165" t="str">
        <f>E4</f>
        <v>http://hl7.eu/fhir/ig/xpandh/ps/StructureDefinition/Composition-ps-xpandh</v>
      </c>
      <c r="F7" s="164"/>
      <c r="G7" s="164"/>
    </row>
    <row r="8" spans="1:19" ht="44.25" x14ac:dyDescent="0.75">
      <c r="B8" s="61" t="s">
        <v>204</v>
      </c>
      <c r="C8" s="10" t="s">
        <v>1177</v>
      </c>
      <c r="D8" s="61"/>
      <c r="E8"/>
      <c r="I8" s="14" t="s">
        <v>181</v>
      </c>
      <c r="J8" s="14" t="s">
        <v>182</v>
      </c>
      <c r="K8" s="14" t="s">
        <v>183</v>
      </c>
      <c r="L8" s="14" t="s">
        <v>184</v>
      </c>
      <c r="M8" s="9" t="s">
        <v>185</v>
      </c>
      <c r="P8" s="57" t="s">
        <v>186</v>
      </c>
      <c r="Q8" s="57">
        <v>6</v>
      </c>
    </row>
    <row r="9" spans="1:19" ht="29.5" x14ac:dyDescent="0.75">
      <c r="B9" s="61" t="s">
        <v>205</v>
      </c>
      <c r="C9" s="1" t="s">
        <v>1178</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FunctionalStatus'!B5</f>
        <v>FunctionalStatus</v>
      </c>
      <c r="C14" s="9"/>
      <c r="D14" t="s">
        <v>107</v>
      </c>
      <c r="E14" s="110"/>
      <c r="F14" s="3"/>
      <c r="I14" s="14"/>
      <c r="J14" s="9"/>
      <c r="K14" s="9"/>
      <c r="L14" s="9"/>
      <c r="M14" s="59"/>
      <c r="N14" s="62"/>
    </row>
    <row r="15" spans="1:19" ht="59" x14ac:dyDescent="0.75">
      <c r="A15" s="22"/>
      <c r="B15" s="9" t="str">
        <f>'A.2.3.3 FunctionalStatus'!B8</f>
        <v>description</v>
      </c>
      <c r="C15" s="9" t="str">
        <f>'A.2.3.3 FunctionalStatus'!C8</f>
        <v>A.2.3.4.1 Description</v>
      </c>
      <c r="D15" s="14" t="s">
        <v>1226</v>
      </c>
      <c r="E15" s="9"/>
      <c r="F15" s="91" t="s">
        <v>193</v>
      </c>
      <c r="G15" s="14" t="s">
        <v>1224</v>
      </c>
      <c r="H15" s="64"/>
      <c r="I15" s="14" t="str">
        <f>"* group[=].element[+].code = #"&amp;$B$14&amp;"."&amp;B15</f>
        <v>* group[=].element[+].code = #FunctionalStatus.description</v>
      </c>
      <c r="J15" s="14" t="str">
        <f t="shared" ref="J15:J16" si="0">"* group[=].element[=].display = ##34#"&amp;C15&amp;"##34#"</f>
        <v>* group[=].element[=].display = ##34#A.2.3.4.1 Description##34#</v>
      </c>
      <c r="K15" s="14" t="str">
        <f t="shared" ref="K15:K16" si="1">IF(F15="unmatched","//-- unmatched","* group[=].element[=].target.code = #"&amp;$D$14&amp;"."&amp;D15)</f>
        <v>* group[=].element[=].target.code = #Composition.section.text</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16" si="4">IF(G15&lt;&gt;"",CONCATENATE("* group[=].element[=].target.comment = ","##34#",G15,"##34#"),"")</f>
        <v>* group[=].element[=].target.comment = ##34#where section.code = 'http://loinc.org#47420-5' ##34#</v>
      </c>
      <c r="P15" s="9">
        <v>1</v>
      </c>
      <c r="Q15" s="9">
        <f>IF(MOD(P15,$Q$8)=0,P15/$Q$8-1,INT(P15/$Q$8))</f>
        <v>0</v>
      </c>
      <c r="R15" s="9">
        <f>IF(MOD(P15,$Q$8)=0,$Q$8,MOD(P15,$Q$8))</f>
        <v>1</v>
      </c>
      <c r="S15" s="14" t="str" cm="1">
        <f t="array" ref="S15">INDEX('FunctionalStat-ConceptMap-1'!$I$15:$N$126,Q15+1,R15)</f>
        <v>* group[=].element[+].code = #FunctionalStatus.description</v>
      </c>
    </row>
    <row r="16" spans="1:19" ht="58.25" customHeight="1" x14ac:dyDescent="0.75">
      <c r="A16" s="22"/>
      <c r="B16" s="9" t="str">
        <f>'A.2.3.3 FunctionalStatus'!B9</f>
        <v>onsetDate</v>
      </c>
      <c r="C16" s="9" t="str">
        <f>'A.2.3.3 FunctionalStatus'!C9</f>
        <v>A.2.3.4.2 Onset Date</v>
      </c>
      <c r="D16" s="14" t="s">
        <v>1232</v>
      </c>
      <c r="E16" s="14"/>
      <c r="F16" s="91" t="s">
        <v>193</v>
      </c>
      <c r="G16" s="14" t="s">
        <v>1225</v>
      </c>
      <c r="H16" s="64"/>
      <c r="I16" s="14" t="str">
        <f t="shared" ref="I16" si="5">"* group[=].element[+].code = #"&amp;$B$14&amp;"."&amp;B16</f>
        <v>* group[=].element[+].code = #FunctionalStatus.onsetDate</v>
      </c>
      <c r="J16" s="14" t="str">
        <f t="shared" si="0"/>
        <v>* group[=].element[=].display = ##34#A.2.3.4.2 Onset Date##34#</v>
      </c>
      <c r="K16" s="14" t="str">
        <f t="shared" si="1"/>
        <v>* group[=].element[=].target.code = #Composition.section.entry.onset[x]</v>
      </c>
      <c r="L16" s="14" t="str">
        <f t="shared" si="2"/>
        <v>* group[=].element[=].target.display = ##34###34#</v>
      </c>
      <c r="M16" s="14" t="str">
        <f t="shared" si="3"/>
        <v>* group[=].element[=].target.equivalence = #relatedto</v>
      </c>
      <c r="N16" s="14" t="str">
        <f t="shared" si="4"/>
        <v>* group[=].element[=].target.comment = ##34#where section.code = 'http://loinc.org#47420-5'  and entry of type Condition##34#</v>
      </c>
      <c r="P16" s="9">
        <v>2</v>
      </c>
      <c r="Q16" s="9">
        <f t="shared" ref="Q16:Q53" si="6">IF(MOD(P16,$Q$8)=0,P16/$Q$8-1,INT(P16/$Q$8))</f>
        <v>0</v>
      </c>
      <c r="R16" s="9">
        <f t="shared" ref="R16:R18" si="7">IF(MOD(P16,$Q$8)=0,$Q$8,MOD(P16,$Q$8))</f>
        <v>2</v>
      </c>
      <c r="S16" s="14" t="str" cm="1">
        <f t="array" ref="S16">INDEX('FunctionalStat-ConceptMap-1'!$I$15:$N$126,Q16+1,R16)</f>
        <v>* group[=].element[=].display = ##34#A.2.3.4.1 Description##34#</v>
      </c>
    </row>
    <row r="17" spans="1:19" ht="57.5" customHeight="1" x14ac:dyDescent="0.75">
      <c r="A17" s="22"/>
      <c r="B17" s="9" t="str">
        <f>'A.2.3.3 FunctionalStatus'!B10</f>
        <v>code</v>
      </c>
      <c r="C17" s="9" t="str">
        <f>'A.2.3.3 FunctionalStatus'!C10</f>
        <v>A.2.3.4.3 Functional assessment description</v>
      </c>
      <c r="D17" s="14" t="s">
        <v>1228</v>
      </c>
      <c r="E17" s="9"/>
      <c r="F17" s="91" t="s">
        <v>193</v>
      </c>
      <c r="G17" s="14" t="s">
        <v>1229</v>
      </c>
      <c r="H17" s="64"/>
      <c r="I17" s="14" t="str">
        <f t="shared" ref="I17:I20" si="8">"* group[=].element[+].code = #"&amp;$B$14&amp;"."&amp;B17</f>
        <v>* group[=].element[+].code = #FunctionalStatus.code</v>
      </c>
      <c r="J17" s="14" t="str">
        <f t="shared" ref="J17:J20" si="9">"* group[=].element[=].display = ##34#"&amp;C17&amp;"##34#"</f>
        <v>* group[=].element[=].display = ##34#A.2.3.4.3 Functional assessment description##34#</v>
      </c>
      <c r="K17" s="14" t="str">
        <f t="shared" ref="K17:K20" si="10">IF(F17="unmatched","//-- unmatched","* group[=].element[=].target.code = #"&amp;$D$14&amp;"."&amp;D17)</f>
        <v>* group[=].element[=].target.code = #Composition.section.entry.description</v>
      </c>
      <c r="L17" s="14" t="str">
        <f t="shared" ref="L17:L20" si="11">IF(F17="unmatched","//-- unmatched","* group[=].element[=].target.display = ##34#"&amp;E17&amp;"##34#")</f>
        <v>* group[=].element[=].target.display = ##34###34#</v>
      </c>
      <c r="M17" s="14" t="str">
        <f t="shared" ref="M17:M20" si="12">"* group[=].element[=].target.equivalence = #"&amp;F17</f>
        <v>* group[=].element[=].target.equivalence = #relatedto</v>
      </c>
      <c r="N17" s="14" t="str">
        <f t="shared" ref="N17:N20" si="13">IF(G17&lt;&gt;"",CONCATENATE("* group[=].element[=].target.comment = ","##34#",G17,"##34#"),"")</f>
        <v>* group[=].element[=].target.comment = ##34#where section.code = 'http://loinc.org#47420-5'  and entry of type ClinicalImpression##34#</v>
      </c>
      <c r="P17" s="9">
        <v>3</v>
      </c>
      <c r="Q17" s="9">
        <f t="shared" si="6"/>
        <v>0</v>
      </c>
      <c r="R17" s="9">
        <f t="shared" si="7"/>
        <v>3</v>
      </c>
      <c r="S17" s="14" t="str" cm="1">
        <f t="array" ref="S17">INDEX('FunctionalStat-ConceptMap-1'!$I$15:$N$126,Q17+1,R17)</f>
        <v>* group[=].element[=].target.code = #Composition.section.text</v>
      </c>
    </row>
    <row r="18" spans="1:19" ht="88.5" x14ac:dyDescent="0.75">
      <c r="A18" s="22"/>
      <c r="B18" s="9" t="str">
        <f>'A.2.3.3 FunctionalStatus'!B11</f>
        <v>date</v>
      </c>
      <c r="C18" s="9" t="str">
        <f>'A.2.3.3 FunctionalStatus'!C11</f>
        <v>A.2.3.4.4 Functional assessment date</v>
      </c>
      <c r="D18" s="14" t="s">
        <v>1230</v>
      </c>
      <c r="E18" s="9"/>
      <c r="F18" s="91" t="s">
        <v>193</v>
      </c>
      <c r="G18" s="14" t="s">
        <v>1229</v>
      </c>
      <c r="H18" s="64"/>
      <c r="I18" s="14" t="str">
        <f t="shared" si="8"/>
        <v>* group[=].element[+].code = #FunctionalStatus.date</v>
      </c>
      <c r="J18" s="14" t="str">
        <f t="shared" si="9"/>
        <v>* group[=].element[=].display = ##34#A.2.3.4.4 Functional assessment date##34#</v>
      </c>
      <c r="K18" s="14" t="str">
        <f t="shared" si="10"/>
        <v>* group[=].element[=].target.code = #Composition.section.entry.effective[x]</v>
      </c>
      <c r="L18" s="14" t="str">
        <f t="shared" si="11"/>
        <v>* group[=].element[=].target.display = ##34###34#</v>
      </c>
      <c r="M18" s="14" t="str">
        <f t="shared" si="12"/>
        <v>* group[=].element[=].target.equivalence = #relatedto</v>
      </c>
      <c r="N18" s="14" t="str">
        <f t="shared" si="13"/>
        <v>* group[=].element[=].target.comment = ##34#where section.code = 'http://loinc.org#47420-5'  and entry of type ClinicalImpression##34#</v>
      </c>
      <c r="P18" s="9">
        <v>4</v>
      </c>
      <c r="Q18" s="9">
        <f t="shared" si="6"/>
        <v>0</v>
      </c>
      <c r="R18" s="9">
        <f t="shared" si="7"/>
        <v>4</v>
      </c>
      <c r="S18" s="14" t="str" cm="1">
        <f t="array" ref="S18">INDEX('FunctionalStat-ConceptMap-1'!$I$15:$N$126,Q18+1,R18)</f>
        <v>* group[=].element[=].target.display = ##34###34#</v>
      </c>
    </row>
    <row r="19" spans="1:19" ht="118" x14ac:dyDescent="0.75">
      <c r="A19" s="22"/>
      <c r="B19" s="9" t="str">
        <f>'A.2.3.3 FunctionalStatus'!B12</f>
        <v>result</v>
      </c>
      <c r="C19" s="9" t="str">
        <f>'A.2.3.3 FunctionalStatus'!C12</f>
        <v>A.2.3.4.5 Functional assessment result</v>
      </c>
      <c r="D19" s="14" t="s">
        <v>1227</v>
      </c>
      <c r="E19" s="9"/>
      <c r="F19" s="91" t="s">
        <v>193</v>
      </c>
      <c r="G19" s="14" t="s">
        <v>1234</v>
      </c>
      <c r="H19" s="64"/>
      <c r="I19" s="14" t="str">
        <f t="shared" si="8"/>
        <v>* group[=].element[+].code = #FunctionalStatus.result</v>
      </c>
      <c r="J19" s="14" t="str">
        <f t="shared" si="9"/>
        <v>* group[=].element[=].display = ##34#A.2.3.4.5 Functional assessment result##34#</v>
      </c>
      <c r="K19" s="14" t="str">
        <f t="shared" si="10"/>
        <v>* group[=].element[=].target.code = #Composition.section.entry.code</v>
      </c>
      <c r="L19" s="14" t="str">
        <f t="shared" si="11"/>
        <v>* group[=].element[=].target.display = ##34###34#</v>
      </c>
      <c r="M19" s="14" t="str">
        <f t="shared" si="12"/>
        <v>* group[=].element[=].target.equivalence = #relatedto</v>
      </c>
      <c r="N19" s="14" t="str">
        <f t="shared" si="13"/>
        <v>* group[=].element[=].target.comment = ##34#where section.code = 'http://loinc.org#47420-5'  and entry of type Condition.Considering the result as indication of the disability##34#</v>
      </c>
      <c r="P19" s="9">
        <v>5</v>
      </c>
      <c r="Q19" s="9">
        <f t="shared" si="6"/>
        <v>0</v>
      </c>
      <c r="R19" s="9">
        <f t="shared" ref="R19:R21" si="14">IF(MOD(P19,$Q$8)=0,$Q$8,MOD(P19,$Q$8))</f>
        <v>5</v>
      </c>
      <c r="S19" s="14" t="str" cm="1">
        <f t="array" ref="S19">INDEX('FunctionalStat-ConceptMap-1'!$I$15:$N$126,Q19+1,R19)</f>
        <v>* group[=].element[=].target.equivalence = #relatedto</v>
      </c>
    </row>
    <row r="20" spans="1:19" ht="88.5" x14ac:dyDescent="0.75">
      <c r="A20" s="22"/>
      <c r="B20" s="9" t="str">
        <f>'A.2.3.3 FunctionalStatus'!B12</f>
        <v>result</v>
      </c>
      <c r="C20" s="9" t="str">
        <f>'A.2.3.3 FunctionalStatus'!C12</f>
        <v>A.2.3.4.5 Functional assessment result</v>
      </c>
      <c r="D20" s="14" t="s">
        <v>1231</v>
      </c>
      <c r="E20" s="9"/>
      <c r="F20" s="91" t="s">
        <v>193</v>
      </c>
      <c r="G20" s="14" t="s">
        <v>1229</v>
      </c>
      <c r="H20" s="64"/>
      <c r="I20" s="14" t="str">
        <f t="shared" si="8"/>
        <v>* group[=].element[+].code = #FunctionalStatus.result</v>
      </c>
      <c r="J20" s="14" t="str">
        <f t="shared" si="9"/>
        <v>* group[=].element[=].display = ##34#A.2.3.4.5 Functional assessment result##34#</v>
      </c>
      <c r="K20" s="14" t="str">
        <f t="shared" si="10"/>
        <v>* group[=].element[=].target.code = #Composition.section.entry.finding</v>
      </c>
      <c r="L20" s="14" t="str">
        <f t="shared" si="11"/>
        <v>* group[=].element[=].target.display = ##34###34#</v>
      </c>
      <c r="M20" s="14" t="str">
        <f t="shared" si="12"/>
        <v>* group[=].element[=].target.equivalence = #relatedto</v>
      </c>
      <c r="N20" s="14" t="str">
        <f t="shared" si="13"/>
        <v>* group[=].element[=].target.comment = ##34#where section.code = 'http://loinc.org#47420-5'  and entry of type ClinicalImpression##34#</v>
      </c>
      <c r="P20" s="9">
        <v>6</v>
      </c>
      <c r="Q20" s="9">
        <f t="shared" si="6"/>
        <v>0</v>
      </c>
      <c r="R20" s="9">
        <f t="shared" si="14"/>
        <v>6</v>
      </c>
      <c r="S20" s="14" t="str" cm="1">
        <f t="array" ref="S20">INDEX('FunctionalStat-ConceptMap-1'!$I$15:$N$126,Q20+1,R20)</f>
        <v>* group[=].element[=].target.comment = ##34#where section.code = 'http://loinc.org#47420-5' ##34#</v>
      </c>
    </row>
    <row r="21" spans="1:19" x14ac:dyDescent="0.75">
      <c r="A21" s="22"/>
      <c r="B21" s="9"/>
      <c r="C21" s="9"/>
      <c r="D21" s="9"/>
      <c r="E21" s="9"/>
      <c r="F21" s="63"/>
      <c r="G21" s="70"/>
      <c r="H21" s="64"/>
      <c r="I21" s="14"/>
      <c r="J21" s="14"/>
      <c r="K21" s="14"/>
      <c r="L21" s="14"/>
      <c r="M21" s="14"/>
      <c r="N21" s="14" t="str">
        <f t="shared" ref="N21:N46" si="15">IF(G21&lt;&gt;"",CONCATENATE("* group[=].element[=].target.comment = ","##34#",G21,"##34#"),"")</f>
        <v/>
      </c>
      <c r="P21" s="9">
        <v>7</v>
      </c>
      <c r="Q21" s="9">
        <f t="shared" si="6"/>
        <v>1</v>
      </c>
      <c r="R21" s="9">
        <f t="shared" si="14"/>
        <v>1</v>
      </c>
      <c r="S21" s="14" t="str" cm="1">
        <f t="array" ref="S21">INDEX('FunctionalStat-ConceptMap-1'!$I$15:$N$126,Q21+1,R21)</f>
        <v>* group[=].element[+].code = #FunctionalStatus.onsetDate</v>
      </c>
    </row>
    <row r="22" spans="1:19" x14ac:dyDescent="0.75">
      <c r="A22" s="22"/>
      <c r="B22" s="9"/>
      <c r="C22" s="9"/>
      <c r="D22" s="9"/>
      <c r="E22" s="9"/>
      <c r="F22" s="63"/>
      <c r="G22" s="70"/>
      <c r="H22" s="64"/>
      <c r="I22" s="14"/>
      <c r="J22" s="14"/>
      <c r="K22" s="14"/>
      <c r="L22" s="14"/>
      <c r="M22" s="14"/>
      <c r="N22" s="14" t="str">
        <f t="shared" si="15"/>
        <v/>
      </c>
      <c r="P22" s="9">
        <v>8</v>
      </c>
      <c r="Q22" s="9">
        <f t="shared" si="6"/>
        <v>1</v>
      </c>
      <c r="R22" s="9">
        <f t="shared" ref="R22:R48" si="16">IF(MOD(P22,$Q$8)=0,$Q$8,MOD(P22,$Q$8))</f>
        <v>2</v>
      </c>
      <c r="S22" s="14" t="str" cm="1">
        <f t="array" ref="S22">INDEX('FunctionalStat-ConceptMap-1'!$I$15:$N$126,Q22+1,R22)</f>
        <v>* group[=].element[=].display = ##34#A.2.3.4.2 Onset Date##34#</v>
      </c>
    </row>
    <row r="23" spans="1:19" ht="29.5" x14ac:dyDescent="0.75">
      <c r="A23" s="22"/>
      <c r="B23" s="9"/>
      <c r="C23" s="9"/>
      <c r="D23" s="46"/>
      <c r="E23" s="9"/>
      <c r="F23" s="63"/>
      <c r="G23" s="70"/>
      <c r="H23" s="64"/>
      <c r="I23" s="14"/>
      <c r="J23" s="14"/>
      <c r="K23" s="14"/>
      <c r="L23" s="14"/>
      <c r="M23" s="14"/>
      <c r="N23" s="14" t="str">
        <f t="shared" si="15"/>
        <v/>
      </c>
      <c r="P23" s="9">
        <v>9</v>
      </c>
      <c r="Q23" s="9">
        <f t="shared" si="6"/>
        <v>1</v>
      </c>
      <c r="R23" s="9">
        <f t="shared" si="16"/>
        <v>3</v>
      </c>
      <c r="S23" s="14" t="str" cm="1">
        <f t="array" ref="S23">INDEX('FunctionalStat-ConceptMap-1'!$I$15:$N$126,Q23+1,R23)</f>
        <v>* group[=].element[=].target.code = #Composition.section.entry.onset[x]</v>
      </c>
    </row>
    <row r="24" spans="1:19" x14ac:dyDescent="0.75">
      <c r="A24" s="22"/>
      <c r="B24" s="9"/>
      <c r="C24" s="14"/>
      <c r="D24" s="9"/>
      <c r="E24" s="14"/>
      <c r="F24" s="63"/>
      <c r="G24" s="70"/>
      <c r="H24" s="64"/>
      <c r="I24" s="14"/>
      <c r="J24" s="14"/>
      <c r="K24" s="14"/>
      <c r="L24" s="14"/>
      <c r="M24" s="14"/>
      <c r="N24" s="14" t="str">
        <f t="shared" si="15"/>
        <v/>
      </c>
      <c r="P24" s="9">
        <v>10</v>
      </c>
      <c r="Q24" s="9">
        <f t="shared" si="6"/>
        <v>1</v>
      </c>
      <c r="R24" s="9">
        <f t="shared" si="16"/>
        <v>4</v>
      </c>
      <c r="S24" s="14" t="str" cm="1">
        <f t="array" ref="S24">INDEX('FunctionalStat-ConceptMap-1'!$I$15:$N$126,Q24+1,R24)</f>
        <v>* group[=].element[=].target.display = ##34###34#</v>
      </c>
    </row>
    <row r="25" spans="1:19" x14ac:dyDescent="0.75">
      <c r="A25" s="22"/>
      <c r="B25" s="9"/>
      <c r="C25" s="14"/>
      <c r="D25" s="14"/>
      <c r="E25" s="14"/>
      <c r="F25" s="63"/>
      <c r="G25" s="70"/>
      <c r="H25" s="64"/>
      <c r="I25" s="14"/>
      <c r="J25" s="14"/>
      <c r="K25" s="14"/>
      <c r="L25" s="14"/>
      <c r="M25" s="14"/>
      <c r="N25" s="14" t="str">
        <f t="shared" si="15"/>
        <v/>
      </c>
      <c r="P25" s="9">
        <v>11</v>
      </c>
      <c r="Q25" s="9">
        <f t="shared" si="6"/>
        <v>1</v>
      </c>
      <c r="R25" s="9">
        <f t="shared" si="16"/>
        <v>5</v>
      </c>
      <c r="S25" s="14" t="str" cm="1">
        <f t="array" ref="S25">INDEX('FunctionalStat-ConceptMap-1'!$I$15:$N$126,Q25+1,R25)</f>
        <v>* group[=].element[=].target.equivalence = #relatedto</v>
      </c>
    </row>
    <row r="26" spans="1:19" ht="29.5" x14ac:dyDescent="0.75">
      <c r="B26" s="9"/>
      <c r="C26" s="14"/>
      <c r="D26" s="14"/>
      <c r="E26" s="14"/>
      <c r="F26" s="63"/>
      <c r="G26" s="70"/>
      <c r="H26" s="64"/>
      <c r="I26" s="14"/>
      <c r="J26" s="14"/>
      <c r="K26" s="14"/>
      <c r="L26" s="14"/>
      <c r="M26" s="14"/>
      <c r="N26" s="14" t="str">
        <f t="shared" si="15"/>
        <v/>
      </c>
      <c r="P26" s="9">
        <v>12</v>
      </c>
      <c r="Q26" s="9">
        <f t="shared" si="6"/>
        <v>1</v>
      </c>
      <c r="R26" s="9">
        <f t="shared" si="16"/>
        <v>6</v>
      </c>
      <c r="S26" s="14" t="str" cm="1">
        <f t="array" ref="S26">INDEX('FunctionalStat-ConceptMap-1'!$I$15:$N$126,Q26+1,R26)</f>
        <v>* group[=].element[=].target.comment = ##34#where section.code = 'http://loinc.org#47420-5'  and entry of type Condition##34#</v>
      </c>
    </row>
    <row r="27" spans="1:19" x14ac:dyDescent="0.75">
      <c r="B27" s="9"/>
      <c r="C27" s="9"/>
      <c r="D27" s="14"/>
      <c r="E27" s="14"/>
      <c r="F27" s="63"/>
      <c r="G27" s="70"/>
      <c r="H27" s="64"/>
      <c r="I27" s="14"/>
      <c r="J27" s="14"/>
      <c r="K27" s="14"/>
      <c r="L27" s="14"/>
      <c r="M27" s="14"/>
      <c r="N27" s="14" t="str">
        <f t="shared" si="15"/>
        <v/>
      </c>
      <c r="P27" s="9">
        <v>13</v>
      </c>
      <c r="Q27" s="9">
        <f t="shared" si="6"/>
        <v>2</v>
      </c>
      <c r="R27" s="9">
        <f t="shared" si="16"/>
        <v>1</v>
      </c>
      <c r="S27" s="14" t="str" cm="1">
        <f t="array" ref="S27">INDEX('FunctionalStat-ConceptMap-1'!$I$15:$N$126,Q27+1,R27)</f>
        <v>* group[=].element[+].code = #FunctionalStatus.code</v>
      </c>
    </row>
    <row r="28" spans="1:19" x14ac:dyDescent="0.75">
      <c r="B28" s="9"/>
      <c r="C28" s="9"/>
      <c r="D28" s="14"/>
      <c r="E28" s="14"/>
      <c r="F28" s="63"/>
      <c r="G28" s="70"/>
      <c r="H28" s="64"/>
      <c r="I28" s="14"/>
      <c r="J28" s="14"/>
      <c r="K28" s="14"/>
      <c r="L28" s="14"/>
      <c r="M28" s="14"/>
      <c r="N28" s="14" t="str">
        <f t="shared" si="15"/>
        <v/>
      </c>
      <c r="P28" s="9">
        <v>14</v>
      </c>
      <c r="Q28" s="9">
        <f t="shared" si="6"/>
        <v>2</v>
      </c>
      <c r="R28" s="9">
        <f t="shared" si="16"/>
        <v>2</v>
      </c>
      <c r="S28" s="14" t="str" cm="1">
        <f t="array" ref="S28">INDEX('FunctionalStat-ConceptMap-1'!$I$15:$N$126,Q28+1,R28)</f>
        <v>* group[=].element[=].display = ##34#A.2.3.4.3 Functional assessment description##34#</v>
      </c>
    </row>
    <row r="29" spans="1:19" x14ac:dyDescent="0.75">
      <c r="B29" s="9"/>
      <c r="C29" s="9"/>
      <c r="D29" s="14"/>
      <c r="E29" s="14"/>
      <c r="F29" s="63"/>
      <c r="G29" s="70"/>
      <c r="H29" s="64"/>
      <c r="I29" s="14"/>
      <c r="J29" s="14"/>
      <c r="K29" s="14"/>
      <c r="L29" s="14"/>
      <c r="M29" s="14"/>
      <c r="N29" s="14" t="str">
        <f t="shared" si="15"/>
        <v/>
      </c>
      <c r="P29" s="9">
        <v>15</v>
      </c>
      <c r="Q29" s="9">
        <f t="shared" si="6"/>
        <v>2</v>
      </c>
      <c r="R29" s="9">
        <f t="shared" si="16"/>
        <v>3</v>
      </c>
      <c r="S29" s="14" t="str" cm="1">
        <f t="array" ref="S29">INDEX('FunctionalStat-ConceptMap-1'!$I$15:$N$126,Q29+1,R29)</f>
        <v>* group[=].element[=].target.code = #Composition.section.entry.description</v>
      </c>
    </row>
    <row r="30" spans="1:19" x14ac:dyDescent="0.75">
      <c r="B30" s="9"/>
      <c r="C30" s="9"/>
      <c r="D30" s="14"/>
      <c r="E30" s="14"/>
      <c r="F30" s="63"/>
      <c r="G30" s="70"/>
      <c r="H30" s="64"/>
      <c r="I30" s="14"/>
      <c r="J30" s="14"/>
      <c r="K30" s="14"/>
      <c r="L30" s="14"/>
      <c r="M30" s="14"/>
      <c r="N30" s="14" t="str">
        <f t="shared" si="15"/>
        <v/>
      </c>
      <c r="P30" s="9">
        <v>16</v>
      </c>
      <c r="Q30" s="9">
        <f t="shared" si="6"/>
        <v>2</v>
      </c>
      <c r="R30" s="9">
        <f t="shared" si="16"/>
        <v>4</v>
      </c>
      <c r="S30" s="14" t="str" cm="1">
        <f t="array" ref="S30">INDEX('FunctionalStat-ConceptMap-1'!$I$15:$N$126,Q30+1,R30)</f>
        <v>* group[=].element[=].target.display = ##34###34#</v>
      </c>
    </row>
    <row r="31" spans="1:19" x14ac:dyDescent="0.75">
      <c r="B31" s="9"/>
      <c r="C31" s="9"/>
      <c r="D31" s="14"/>
      <c r="E31" s="14"/>
      <c r="F31" s="63"/>
      <c r="G31" s="70"/>
      <c r="H31" s="64"/>
      <c r="I31" s="14"/>
      <c r="J31" s="14"/>
      <c r="K31" s="14"/>
      <c r="L31" s="14"/>
      <c r="M31" s="14"/>
      <c r="N31" s="14" t="str">
        <f t="shared" si="15"/>
        <v/>
      </c>
      <c r="P31" s="9">
        <v>17</v>
      </c>
      <c r="Q31" s="9">
        <f t="shared" si="6"/>
        <v>2</v>
      </c>
      <c r="R31" s="9">
        <f t="shared" si="16"/>
        <v>5</v>
      </c>
      <c r="S31" s="14" t="str" cm="1">
        <f t="array" ref="S31">INDEX('FunctionalStat-ConceptMap-1'!$I$15:$N$126,Q31+1,R31)</f>
        <v>* group[=].element[=].target.equivalence = #relatedto</v>
      </c>
    </row>
    <row r="32" spans="1:19" ht="29.5" x14ac:dyDescent="0.75">
      <c r="B32" s="9"/>
      <c r="C32" s="9"/>
      <c r="D32" s="14"/>
      <c r="E32" s="14"/>
      <c r="F32" s="63"/>
      <c r="G32" s="70"/>
      <c r="H32" s="64"/>
      <c r="I32" s="14"/>
      <c r="J32" s="14"/>
      <c r="K32" s="14"/>
      <c r="L32" s="14"/>
      <c r="M32" s="14"/>
      <c r="N32" s="14" t="str">
        <f t="shared" si="15"/>
        <v/>
      </c>
      <c r="P32" s="9">
        <v>18</v>
      </c>
      <c r="Q32" s="9">
        <f t="shared" si="6"/>
        <v>2</v>
      </c>
      <c r="R32" s="9">
        <f t="shared" si="16"/>
        <v>6</v>
      </c>
      <c r="S32" s="14" t="str" cm="1">
        <f t="array" ref="S32">INDEX('FunctionalStat-ConceptMap-1'!$I$15:$N$126,Q32+1,R32)</f>
        <v>* group[=].element[=].target.comment = ##34#where section.code = 'http://loinc.org#47420-5'  and entry of type ClinicalImpression##34#</v>
      </c>
    </row>
    <row r="33" spans="1:20" x14ac:dyDescent="0.75">
      <c r="B33" s="9"/>
      <c r="C33" s="9"/>
      <c r="D33" s="14"/>
      <c r="E33" s="14"/>
      <c r="F33" s="63"/>
      <c r="G33" s="70"/>
      <c r="H33" s="64"/>
      <c r="I33" s="14"/>
      <c r="J33" s="14"/>
      <c r="K33" s="14"/>
      <c r="L33" s="14"/>
      <c r="M33" s="14"/>
      <c r="N33" s="14" t="str">
        <f t="shared" si="15"/>
        <v/>
      </c>
      <c r="P33" s="9">
        <v>19</v>
      </c>
      <c r="Q33" s="9">
        <f t="shared" si="6"/>
        <v>3</v>
      </c>
      <c r="R33" s="9">
        <f t="shared" si="16"/>
        <v>1</v>
      </c>
      <c r="S33" s="14" t="str" cm="1">
        <f t="array" ref="S33">INDEX('FunctionalStat-ConceptMap-1'!$I$15:$N$126,Q33+1,R33)</f>
        <v>* group[=].element[+].code = #FunctionalStatus.date</v>
      </c>
    </row>
    <row r="34" spans="1:20" x14ac:dyDescent="0.75">
      <c r="B34" s="9"/>
      <c r="C34" s="9"/>
      <c r="D34" s="14"/>
      <c r="E34" s="14"/>
      <c r="F34" s="63"/>
      <c r="G34" s="70"/>
      <c r="H34" s="64"/>
      <c r="I34" s="14"/>
      <c r="J34" s="14"/>
      <c r="K34" s="14"/>
      <c r="L34" s="14"/>
      <c r="M34" s="14"/>
      <c r="N34" s="14" t="str">
        <f t="shared" si="15"/>
        <v/>
      </c>
      <c r="P34" s="9">
        <v>20</v>
      </c>
      <c r="Q34" s="9">
        <f t="shared" si="6"/>
        <v>3</v>
      </c>
      <c r="R34" s="9">
        <f t="shared" si="16"/>
        <v>2</v>
      </c>
      <c r="S34" s="14" t="str" cm="1">
        <f t="array" ref="S34">INDEX('FunctionalStat-ConceptMap-1'!$I$15:$N$126,Q34+1,R34)</f>
        <v>* group[=].element[=].display = ##34#A.2.3.4.4 Functional assessment date##34#</v>
      </c>
    </row>
    <row r="35" spans="1:20" x14ac:dyDescent="0.75">
      <c r="B35" s="9"/>
      <c r="C35" s="9"/>
      <c r="D35" s="14"/>
      <c r="E35" s="14"/>
      <c r="F35" s="63"/>
      <c r="G35" s="70"/>
      <c r="H35" s="64"/>
      <c r="I35" s="14"/>
      <c r="J35" s="14"/>
      <c r="K35" s="14"/>
      <c r="L35" s="14"/>
      <c r="M35" s="14"/>
      <c r="N35" s="14" t="str">
        <f t="shared" si="15"/>
        <v/>
      </c>
      <c r="P35" s="9">
        <v>21</v>
      </c>
      <c r="Q35" s="9">
        <f t="shared" si="6"/>
        <v>3</v>
      </c>
      <c r="R35" s="9">
        <f t="shared" si="16"/>
        <v>3</v>
      </c>
      <c r="S35" s="14" t="str" cm="1">
        <f t="array" ref="S35">INDEX('FunctionalStat-ConceptMap-1'!$I$15:$N$126,Q35+1,R35)</f>
        <v>* group[=].element[=].target.code = #Composition.section.entry.effective[x]</v>
      </c>
    </row>
    <row r="36" spans="1:20" x14ac:dyDescent="0.75">
      <c r="B36" s="9"/>
      <c r="C36" s="9"/>
      <c r="D36" s="14"/>
      <c r="E36" s="14"/>
      <c r="F36" s="63"/>
      <c r="G36" s="70"/>
      <c r="H36" s="64"/>
      <c r="I36" s="14"/>
      <c r="J36" s="14"/>
      <c r="K36" s="14"/>
      <c r="L36" s="14"/>
      <c r="M36" s="14"/>
      <c r="N36" s="14" t="str">
        <f t="shared" si="15"/>
        <v/>
      </c>
      <c r="P36" s="9">
        <v>22</v>
      </c>
      <c r="Q36" s="9">
        <f t="shared" si="6"/>
        <v>3</v>
      </c>
      <c r="R36" s="9">
        <f t="shared" si="16"/>
        <v>4</v>
      </c>
      <c r="S36" s="14" t="str" cm="1">
        <f t="array" ref="S36">INDEX('FunctionalStat-ConceptMap-1'!$I$15:$N$126,Q36+1,R36)</f>
        <v>* group[=].element[=].target.display = ##34###34#</v>
      </c>
    </row>
    <row r="37" spans="1:20" x14ac:dyDescent="0.75">
      <c r="B37" s="9"/>
      <c r="C37" s="9"/>
      <c r="D37" s="14"/>
      <c r="E37" s="14"/>
      <c r="F37" s="63"/>
      <c r="G37" s="70"/>
      <c r="H37" s="64"/>
      <c r="I37" s="14"/>
      <c r="J37" s="14"/>
      <c r="K37" s="14"/>
      <c r="L37" s="14"/>
      <c r="M37" s="14"/>
      <c r="N37" s="14" t="str">
        <f t="shared" si="15"/>
        <v/>
      </c>
      <c r="P37" s="9">
        <v>23</v>
      </c>
      <c r="Q37" s="9">
        <f t="shared" si="6"/>
        <v>3</v>
      </c>
      <c r="R37" s="9">
        <f t="shared" si="16"/>
        <v>5</v>
      </c>
      <c r="S37" s="14" t="str" cm="1">
        <f t="array" ref="S37">INDEX('FunctionalStat-ConceptMap-1'!$I$15:$N$126,Q37+1,R37)</f>
        <v>* group[=].element[=].target.equivalence = #relatedto</v>
      </c>
    </row>
    <row r="38" spans="1:20" s="1" customFormat="1" ht="29.5" x14ac:dyDescent="0.75">
      <c r="A38"/>
      <c r="B38" s="9"/>
      <c r="C38" s="9"/>
      <c r="D38" s="14"/>
      <c r="E38" s="14"/>
      <c r="F38" s="63"/>
      <c r="G38" s="81"/>
      <c r="H38" s="64"/>
      <c r="I38" s="14"/>
      <c r="J38" s="14"/>
      <c r="K38" s="14"/>
      <c r="L38" s="14"/>
      <c r="M38" s="14"/>
      <c r="N38" s="14" t="str">
        <f t="shared" si="15"/>
        <v/>
      </c>
      <c r="P38" s="9">
        <v>24</v>
      </c>
      <c r="Q38" s="9">
        <f t="shared" si="6"/>
        <v>3</v>
      </c>
      <c r="R38" s="9">
        <f t="shared" si="16"/>
        <v>6</v>
      </c>
      <c r="S38" s="14" t="str" cm="1">
        <f t="array" ref="S38">INDEX('FunctionalStat-ConceptMap-1'!$I$15:$N$126,Q38+1,R38)</f>
        <v>* group[=].element[=].target.comment = ##34#where section.code = 'http://loinc.org#47420-5'  and entry of type ClinicalImpression##34#</v>
      </c>
      <c r="T38"/>
    </row>
    <row r="39" spans="1:20" s="1" customFormat="1" x14ac:dyDescent="0.75">
      <c r="A39"/>
      <c r="B39" s="9"/>
      <c r="C39" s="9"/>
      <c r="D39" s="52"/>
      <c r="F39" s="64"/>
      <c r="G39" s="81"/>
      <c r="H39" s="64"/>
      <c r="I39" s="14"/>
      <c r="J39" s="14"/>
      <c r="K39" s="14"/>
      <c r="L39" s="14"/>
      <c r="M39" s="14"/>
      <c r="N39" s="14" t="str">
        <f t="shared" si="15"/>
        <v/>
      </c>
      <c r="P39" s="9">
        <v>25</v>
      </c>
      <c r="Q39" s="9">
        <f t="shared" si="6"/>
        <v>4</v>
      </c>
      <c r="R39" s="9">
        <f t="shared" si="16"/>
        <v>1</v>
      </c>
      <c r="S39" s="14" t="str" cm="1">
        <f t="array" ref="S39">INDEX('FunctionalStat-ConceptMap-1'!$I$15:$N$126,Q39+1,R39)</f>
        <v>* group[=].element[+].code = #FunctionalStatus.result</v>
      </c>
      <c r="T39"/>
    </row>
    <row r="40" spans="1:20" s="1" customFormat="1" x14ac:dyDescent="0.75">
      <c r="A40"/>
      <c r="B40" s="9"/>
      <c r="C40" s="9"/>
      <c r="F40" s="64"/>
      <c r="G40" s="81"/>
      <c r="H40" s="64"/>
      <c r="I40" s="14"/>
      <c r="J40" s="14"/>
      <c r="K40" s="14"/>
      <c r="L40" s="14"/>
      <c r="M40" s="14"/>
      <c r="N40" s="14" t="str">
        <f t="shared" si="15"/>
        <v/>
      </c>
      <c r="P40" s="9">
        <v>26</v>
      </c>
      <c r="Q40" s="9">
        <f t="shared" si="6"/>
        <v>4</v>
      </c>
      <c r="R40" s="9">
        <f t="shared" si="16"/>
        <v>2</v>
      </c>
      <c r="S40" s="14" t="str" cm="1">
        <f t="array" ref="S40">INDEX('FunctionalStat-ConceptMap-1'!$I$15:$N$126,Q40+1,R40)</f>
        <v>* group[=].element[=].display = ##34#A.2.3.4.5 Functional assessment result##34#</v>
      </c>
      <c r="T40"/>
    </row>
    <row r="41" spans="1:20" s="1" customFormat="1" x14ac:dyDescent="0.75">
      <c r="A41"/>
      <c r="B41" s="9"/>
      <c r="C41" s="9"/>
      <c r="F41" s="64"/>
      <c r="G41" s="81"/>
      <c r="H41" s="64"/>
      <c r="I41" s="14"/>
      <c r="J41" s="14"/>
      <c r="K41" s="14"/>
      <c r="L41" s="14"/>
      <c r="M41" s="14"/>
      <c r="N41" s="14" t="str">
        <f t="shared" si="15"/>
        <v/>
      </c>
      <c r="P41" s="9">
        <v>27</v>
      </c>
      <c r="Q41" s="9">
        <f t="shared" si="6"/>
        <v>4</v>
      </c>
      <c r="R41" s="9">
        <f t="shared" si="16"/>
        <v>3</v>
      </c>
      <c r="S41" s="14" t="str" cm="1">
        <f t="array" ref="S41">INDEX('FunctionalStat-ConceptMap-1'!$I$15:$N$126,Q41+1,R41)</f>
        <v>* group[=].element[=].target.code = #Composition.section.entry.code</v>
      </c>
      <c r="T41"/>
    </row>
    <row r="42" spans="1:20" s="1" customFormat="1" x14ac:dyDescent="0.75">
      <c r="A42"/>
      <c r="B42" s="9"/>
      <c r="C42" s="9"/>
      <c r="F42" s="64"/>
      <c r="G42" s="81"/>
      <c r="H42" s="64"/>
      <c r="I42" s="14"/>
      <c r="J42" s="14"/>
      <c r="K42" s="14"/>
      <c r="L42" s="14"/>
      <c r="M42" s="14"/>
      <c r="N42" s="14" t="str">
        <f t="shared" si="15"/>
        <v/>
      </c>
      <c r="P42" s="9">
        <v>28</v>
      </c>
      <c r="Q42" s="9">
        <f t="shared" si="6"/>
        <v>4</v>
      </c>
      <c r="R42" s="9">
        <f t="shared" si="16"/>
        <v>4</v>
      </c>
      <c r="S42" s="14" t="str" cm="1">
        <f t="array" ref="S42">INDEX('FunctionalStat-ConceptMap-1'!$I$15:$N$126,Q42+1,R42)</f>
        <v>* group[=].element[=].target.display = ##34###34#</v>
      </c>
      <c r="T42"/>
    </row>
    <row r="43" spans="1:20" s="1" customFormat="1" x14ac:dyDescent="0.75">
      <c r="A43"/>
      <c r="B43" s="9"/>
      <c r="C43" s="9"/>
      <c r="F43" s="64"/>
      <c r="G43" s="81"/>
      <c r="H43" s="64"/>
      <c r="I43" s="14"/>
      <c r="J43" s="14"/>
      <c r="K43" s="14"/>
      <c r="L43" s="14"/>
      <c r="M43" s="14"/>
      <c r="N43" s="14" t="str">
        <f t="shared" si="15"/>
        <v/>
      </c>
      <c r="P43" s="9">
        <v>29</v>
      </c>
      <c r="Q43" s="9">
        <f t="shared" si="6"/>
        <v>4</v>
      </c>
      <c r="R43" s="9">
        <f t="shared" si="16"/>
        <v>5</v>
      </c>
      <c r="S43" s="14" t="str" cm="1">
        <f t="array" ref="S43">INDEX('FunctionalStat-ConceptMap-1'!$I$15:$N$126,Q43+1,R43)</f>
        <v>* group[=].element[=].target.equivalence = #relatedto</v>
      </c>
      <c r="T43"/>
    </row>
    <row r="44" spans="1:20" s="1" customFormat="1" ht="44.25" x14ac:dyDescent="0.75">
      <c r="A44"/>
      <c r="B44" s="9"/>
      <c r="C44" s="9"/>
      <c r="F44" s="64"/>
      <c r="G44" s="81"/>
      <c r="H44" s="64"/>
      <c r="I44" s="14"/>
      <c r="J44" s="14"/>
      <c r="K44" s="14"/>
      <c r="L44" s="14"/>
      <c r="M44" s="14"/>
      <c r="N44" s="14" t="str">
        <f t="shared" si="15"/>
        <v/>
      </c>
      <c r="P44" s="9">
        <v>30</v>
      </c>
      <c r="Q44" s="9">
        <f t="shared" si="6"/>
        <v>4</v>
      </c>
      <c r="R44" s="9">
        <f t="shared" si="16"/>
        <v>6</v>
      </c>
      <c r="S44" s="14" t="str" cm="1">
        <f t="array" ref="S44">INDEX('FunctionalStat-ConceptMap-1'!$I$15:$N$126,Q44+1,R44)</f>
        <v>* group[=].element[=].target.comment = ##34#where section.code = 'http://loinc.org#47420-5'  and entry of type Condition.Considering the result as indication of the disability##34#</v>
      </c>
      <c r="T44"/>
    </row>
    <row r="45" spans="1:20" s="1" customFormat="1" x14ac:dyDescent="0.75">
      <c r="A45"/>
      <c r="B45" s="9"/>
      <c r="C45"/>
      <c r="F45" s="64"/>
      <c r="G45" s="81"/>
      <c r="H45" s="64"/>
      <c r="I45" s="14"/>
      <c r="J45" s="14"/>
      <c r="K45" s="14"/>
      <c r="L45" s="14"/>
      <c r="M45" s="14"/>
      <c r="N45" s="14" t="str">
        <f t="shared" si="15"/>
        <v/>
      </c>
      <c r="P45" s="9">
        <v>31</v>
      </c>
      <c r="Q45" s="9">
        <f t="shared" si="6"/>
        <v>5</v>
      </c>
      <c r="R45" s="9">
        <f t="shared" si="16"/>
        <v>1</v>
      </c>
      <c r="S45" s="14" t="str" cm="1">
        <f t="array" ref="S45">INDEX('FunctionalStat-ConceptMap-1'!$I$15:$N$126,Q45+1,R45)</f>
        <v>* group[=].element[+].code = #FunctionalStatus.result</v>
      </c>
      <c r="T45"/>
    </row>
    <row r="46" spans="1:20" s="1" customFormat="1" x14ac:dyDescent="0.75">
      <c r="A46"/>
      <c r="B46" s="9"/>
      <c r="C46"/>
      <c r="F46" s="64"/>
      <c r="G46" s="81"/>
      <c r="H46" s="64"/>
      <c r="I46" s="14"/>
      <c r="J46" s="14"/>
      <c r="K46" s="14"/>
      <c r="L46" s="14"/>
      <c r="M46" s="14"/>
      <c r="N46" s="14" t="str">
        <f t="shared" si="15"/>
        <v/>
      </c>
      <c r="P46" s="9">
        <v>32</v>
      </c>
      <c r="Q46" s="9">
        <f t="shared" si="6"/>
        <v>5</v>
      </c>
      <c r="R46" s="9">
        <f t="shared" si="16"/>
        <v>2</v>
      </c>
      <c r="S46" s="14" t="str" cm="1">
        <f t="array" ref="S46">INDEX('FunctionalStat-ConceptMap-1'!$I$15:$N$126,Q46+1,R46)</f>
        <v>* group[=].element[=].display = ##34#A.2.3.4.5 Functional assessment result##34#</v>
      </c>
      <c r="T46"/>
    </row>
    <row r="47" spans="1:20" x14ac:dyDescent="0.75">
      <c r="P47" s="9">
        <v>33</v>
      </c>
      <c r="Q47" s="9">
        <f t="shared" si="6"/>
        <v>5</v>
      </c>
      <c r="R47" s="9">
        <f t="shared" si="16"/>
        <v>3</v>
      </c>
      <c r="S47" s="14" t="str" cm="1">
        <f t="array" ref="S47">INDEX('FunctionalStat-ConceptMap-1'!$I$15:$N$126,Q47+1,R47)</f>
        <v>* group[=].element[=].target.code = #Composition.section.entry.finding</v>
      </c>
    </row>
    <row r="48" spans="1:20" x14ac:dyDescent="0.75">
      <c r="P48" s="9">
        <v>34</v>
      </c>
      <c r="Q48" s="9">
        <f t="shared" si="6"/>
        <v>5</v>
      </c>
      <c r="R48" s="9">
        <f t="shared" si="16"/>
        <v>4</v>
      </c>
      <c r="S48" s="14" t="str" cm="1">
        <f t="array" ref="S48">INDEX('FunctionalStat-ConceptMap-1'!$I$15:$N$126,Q48+1,R48)</f>
        <v>* group[=].element[=].target.display = ##34###34#</v>
      </c>
    </row>
    <row r="49" spans="16:19" x14ac:dyDescent="0.75">
      <c r="P49" s="9">
        <v>35</v>
      </c>
      <c r="Q49" s="9">
        <f t="shared" si="6"/>
        <v>5</v>
      </c>
      <c r="R49" s="9">
        <f t="shared" ref="R49:R53" si="17">IF(MOD(P49,$Q$8)=0,$Q$8,MOD(P49,$Q$8))</f>
        <v>5</v>
      </c>
      <c r="S49" s="14" t="str" cm="1">
        <f t="array" ref="S49">INDEX('FunctionalStat-ConceptMap-1'!$I$15:$N$126,Q49+1,R49)</f>
        <v>* group[=].element[=].target.equivalence = #relatedto</v>
      </c>
    </row>
    <row r="50" spans="16:19" ht="29.5" x14ac:dyDescent="0.75">
      <c r="P50" s="9">
        <v>36</v>
      </c>
      <c r="Q50" s="9">
        <f t="shared" si="6"/>
        <v>5</v>
      </c>
      <c r="R50" s="9">
        <f t="shared" si="17"/>
        <v>6</v>
      </c>
      <c r="S50" s="14" t="str" cm="1">
        <f t="array" ref="S50">INDEX('FunctionalStat-ConceptMap-1'!$I$15:$N$126,Q50+1,R50)</f>
        <v>* group[=].element[=].target.comment = ##34#where section.code = 'http://loinc.org#47420-5'  and entry of type ClinicalImpression##34#</v>
      </c>
    </row>
    <row r="51" spans="16:19" x14ac:dyDescent="0.75">
      <c r="P51" s="9">
        <v>37</v>
      </c>
      <c r="Q51" s="9">
        <f t="shared" si="6"/>
        <v>6</v>
      </c>
      <c r="R51" s="9">
        <f t="shared" si="17"/>
        <v>1</v>
      </c>
      <c r="S51" s="14" cm="1">
        <f t="array" ref="S51">INDEX('FunctionalStat-ConceptMap-1'!$I$15:$N$126,Q51+1,R51)</f>
        <v>0</v>
      </c>
    </row>
    <row r="52" spans="16:19" x14ac:dyDescent="0.75">
      <c r="P52" s="9">
        <v>38</v>
      </c>
      <c r="Q52" s="9">
        <f t="shared" si="6"/>
        <v>6</v>
      </c>
      <c r="R52" s="9">
        <f t="shared" si="17"/>
        <v>2</v>
      </c>
      <c r="S52" s="14" cm="1">
        <f t="array" ref="S52">INDEX('FunctionalStat-ConceptMap-1'!$I$15:$N$126,Q52+1,R52)</f>
        <v>0</v>
      </c>
    </row>
    <row r="53" spans="16:19" x14ac:dyDescent="0.75">
      <c r="P53" s="9">
        <v>39</v>
      </c>
      <c r="Q53" s="9">
        <f t="shared" si="6"/>
        <v>6</v>
      </c>
      <c r="R53" s="9">
        <f t="shared" si="17"/>
        <v>3</v>
      </c>
      <c r="S53" s="14" cm="1">
        <f t="array" ref="S53">INDEX('FunctionalStat-ConceptMap-1'!$I$15:$N$126,Q53+1,R53)</f>
        <v>0</v>
      </c>
    </row>
  </sheetData>
  <mergeCells count="5">
    <mergeCell ref="E3:G3"/>
    <mergeCell ref="E4:G4"/>
    <mergeCell ref="E6:G6"/>
    <mergeCell ref="E7:G7"/>
    <mergeCell ref="B1:C1"/>
  </mergeCells>
  <hyperlinks>
    <hyperlink ref="E3" r:id="rId1" display="http://hl7.eu/fhir/laboratory/StructureDefinition/LeaglAu" xr:uid="{70EC640A-07EE-4444-885E-3FBD4AD5B543}"/>
    <hyperlink ref="E6" r:id="rId2" display="http://hl7.eu/fhir/laboratory/StructureDefinition/Recipient" xr:uid="{24C01F0F-9777-4F5A-8623-F575F94A6AA2}"/>
    <hyperlink ref="E7" r:id="rId3" display="http://hl7.eu/fhir/StructureDefinition/information-recipient" xr:uid="{E905C25C-EFC2-4616-8595-23838C5A1124}"/>
    <hyperlink ref="E4" r:id="rId4" xr:uid="{C40363ED-F294-48C1-9360-47EB282D49F8}"/>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7A88-12C3-4997-BA26-4589B1D4E38E}">
  <sheetPr codeName="Foglio69">
    <tabColor theme="0" tint="-0.34998626667073579"/>
  </sheetPr>
  <dimension ref="B1:G208"/>
  <sheetViews>
    <sheetView workbookViewId="0">
      <selection activeCell="B8" sqref="B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1235</v>
      </c>
    </row>
    <row r="3" spans="2:7" x14ac:dyDescent="0.75">
      <c r="B3" s="32" t="s">
        <v>37</v>
      </c>
    </row>
    <row r="4" spans="2:7" x14ac:dyDescent="0.75">
      <c r="B4" s="65" t="str">
        <f>"Instance: "&amp;'FunctionalStat-ConceptMap-1'!C4</f>
        <v>Instance: functionalStatus2FHIR-eu-ps</v>
      </c>
    </row>
    <row r="5" spans="2:7" x14ac:dyDescent="0.75">
      <c r="B5" s="65" t="s">
        <v>196</v>
      </c>
    </row>
    <row r="6" spans="2:7" x14ac:dyDescent="0.75">
      <c r="B6" s="65" t="s">
        <v>197</v>
      </c>
    </row>
    <row r="7" spans="2:7" x14ac:dyDescent="0.75">
      <c r="B7" s="65" t="s">
        <v>203</v>
      </c>
    </row>
    <row r="8" spans="2:7" x14ac:dyDescent="0.75">
      <c r="B8" s="65" t="str">
        <f>"* name = ##34#"&amp;'FunctionalStat-ConceptMap-1'!C3&amp;"##34#"</f>
        <v>* name = ##34#FunctionalStatus2Fhir##34#</v>
      </c>
    </row>
    <row r="9" spans="2:7" x14ac:dyDescent="0.75">
      <c r="B9" s="65" t="str">
        <f>"* title = ##34#"&amp;'FunctionalStat-ConceptMap-1'!C5&amp;"##34#"</f>
        <v>* title = ##34#eHN Recipient to this guide Map##34#</v>
      </c>
    </row>
    <row r="10" spans="2:7" x14ac:dyDescent="0.75">
      <c r="B10" s="65" t="s">
        <v>198</v>
      </c>
    </row>
    <row r="11" spans="2:7" x14ac:dyDescent="0.75">
      <c r="B11" s="65" t="s">
        <v>199</v>
      </c>
    </row>
    <row r="12" spans="2:7" x14ac:dyDescent="0.75">
      <c r="B12" s="65" t="str">
        <f>"* description = ##34#"&amp;'FunctionalStat-ConceptMap-1'!C8&amp;"##34#"</f>
        <v>* description = ##34#eHN Medical Devices Model to this guide Map##34#</v>
      </c>
    </row>
    <row r="13" spans="2:7" x14ac:dyDescent="0.75">
      <c r="B13" s="65" t="str">
        <f>"* purpose = ##34#"&amp;'FunctionalStat-ConceptMap-1'!C9&amp;"##34#"</f>
        <v>* purpose = ##34#It shows how theMedical Devices Recipient data set defined by the EU eHN guidelines is mapped into this guide##34#</v>
      </c>
    </row>
    <row r="14" spans="2:7" x14ac:dyDescent="0.75">
      <c r="B14" s="66" t="str">
        <f>"* sourceUri = ##34#"&amp;'FunctionalStat-ConceptMap-1'!E3&amp;"##34#"</f>
        <v>* sourceUri = ##34#http://hl7.eu/fhir/ig/xpandh/ps/StructureDefinition/FunctionalStatus##34#</v>
      </c>
    </row>
    <row r="15" spans="2:7" x14ac:dyDescent="0.75">
      <c r="B15" s="66" t="str">
        <f>"* targetUri = ##34#"&amp;'FunctionalStat-ConceptMap-1'!E4&amp;"##34#"</f>
        <v>* targetUri = ##34#http://hl7.eu/fhir/ig/xpandh/ps/StructureDefinition/Composition-ps-xpandh##34#</v>
      </c>
    </row>
    <row r="16" spans="2:7" x14ac:dyDescent="0.75">
      <c r="B16" s="65"/>
    </row>
    <row r="17" spans="2:7" x14ac:dyDescent="0.75">
      <c r="B17" s="67" t="str">
        <f>"* group[+].source = ##34#"&amp;'FunctionalStat-ConceptMap-1'!E6&amp;"##34#"</f>
        <v>* group[+].source = ##34#http://hl7.eu/fhir/ig/xpandh/ps/StructureDefinition/FunctionalStatus##34#</v>
      </c>
    </row>
    <row r="18" spans="2:7" x14ac:dyDescent="0.75">
      <c r="B18" s="67" t="str">
        <f>"* group[=].target = ##34#"&amp;'FunctionalStat-ConceptMap-1'!E7&amp;"##34#"</f>
        <v>* group[=].target = ##34#http://hl7.eu/fhir/ig/xpandh/ps/StructureDefinition/Composition-ps-xpandh##34#</v>
      </c>
    </row>
    <row r="19" spans="2:7" x14ac:dyDescent="0.75">
      <c r="B19" s="69"/>
    </row>
    <row r="20" spans="2:7" x14ac:dyDescent="0.75">
      <c r="B20" s="14" t="str">
        <f>IF('FunctionalStat-ConceptMap-1'!S15=0,"//---END",'FunctionalStat-ConceptMap-1'!S15)</f>
        <v>* group[=].element[+].code = #FunctionalStatus.description</v>
      </c>
    </row>
    <row r="21" spans="2:7" x14ac:dyDescent="0.75">
      <c r="B21" s="14" t="str">
        <f>IF('FunctionalStat-ConceptMap-1'!S16=0,"//---END",'FunctionalStat-ConceptMap-1'!S16)</f>
        <v>* group[=].element[=].display = ##34#A.2.3.4.1 Description##34#</v>
      </c>
    </row>
    <row r="22" spans="2:7" x14ac:dyDescent="0.75">
      <c r="B22" s="14" t="str">
        <f>IF('FunctionalStat-ConceptMap-1'!S17=0,"//---END",'FunctionalStat-ConceptMap-1'!S17)</f>
        <v>* group[=].element[=].target.code = #Composition.section.text</v>
      </c>
    </row>
    <row r="23" spans="2:7" x14ac:dyDescent="0.75">
      <c r="B23" s="14" t="str">
        <f>IF('FunctionalStat-ConceptMap-1'!S18=0,"//---END",'FunctionalStat-ConceptMap-1'!S18)</f>
        <v>* group[=].element[=].target.display = ##34###34#</v>
      </c>
    </row>
    <row r="24" spans="2:7" x14ac:dyDescent="0.75">
      <c r="B24" s="14" t="str">
        <f>IF('FunctionalStat-ConceptMap-1'!S19=0,"//---END",'FunctionalStat-ConceptMap-1'!S19)</f>
        <v>* group[=].element[=].target.equivalence = #relatedto</v>
      </c>
    </row>
    <row r="25" spans="2:7" x14ac:dyDescent="0.75">
      <c r="B25" s="14" t="str">
        <f>IF('FunctionalStat-ConceptMap-1'!S20=0,"//---END",'FunctionalStat-ConceptMap-1'!S20)</f>
        <v>* group[=].element[=].target.comment = ##34#where section.code = 'http://loinc.org#47420-5' ##34#</v>
      </c>
      <c r="G25" s="10"/>
    </row>
    <row r="26" spans="2:7" x14ac:dyDescent="0.75">
      <c r="B26" s="14" t="str">
        <f>IF('FunctionalStat-ConceptMap-1'!S21=0,"//---END",'FunctionalStat-ConceptMap-1'!S21)</f>
        <v>* group[=].element[+].code = #FunctionalStatus.onsetDate</v>
      </c>
    </row>
    <row r="27" spans="2:7" x14ac:dyDescent="0.75">
      <c r="B27" s="14" t="str">
        <f>IF('FunctionalStat-ConceptMap-1'!S22=0,"//---END",'FunctionalStat-ConceptMap-1'!S22)</f>
        <v>* group[=].element[=].display = ##34#A.2.3.4.2 Onset Date##34#</v>
      </c>
    </row>
    <row r="28" spans="2:7" x14ac:dyDescent="0.75">
      <c r="B28" s="14" t="str">
        <f>IF('FunctionalStat-ConceptMap-1'!S23=0,"//---END",'FunctionalStat-ConceptMap-1'!S23)</f>
        <v>* group[=].element[=].target.code = #Composition.section.entry.onset[x]</v>
      </c>
    </row>
    <row r="29" spans="2:7" x14ac:dyDescent="0.75">
      <c r="B29" s="14" t="str">
        <f>IF('FunctionalStat-ConceptMap-1'!S24=0,"//---END",'FunctionalStat-ConceptMap-1'!S24)</f>
        <v>* group[=].element[=].target.display = ##34###34#</v>
      </c>
    </row>
    <row r="30" spans="2:7" x14ac:dyDescent="0.75">
      <c r="B30" s="14" t="str">
        <f>IF('FunctionalStat-ConceptMap-1'!S25=0,"//---END",'FunctionalStat-ConceptMap-1'!S25)</f>
        <v>* group[=].element[=].target.equivalence = #relatedto</v>
      </c>
    </row>
    <row r="31" spans="2:7" x14ac:dyDescent="0.75">
      <c r="B31" s="14" t="str">
        <f>IF('FunctionalStat-ConceptMap-1'!S26=0,"//---END",'FunctionalStat-ConceptMap-1'!S26)</f>
        <v>* group[=].element[=].target.comment = ##34#where section.code = 'http://loinc.org#47420-5'  and entry of type Condition##34#</v>
      </c>
    </row>
    <row r="32" spans="2:7" x14ac:dyDescent="0.75">
      <c r="B32" s="14" t="str">
        <f>IF('FunctionalStat-ConceptMap-1'!S27=0,"//---END",'FunctionalStat-ConceptMap-1'!S27)</f>
        <v>* group[=].element[+].code = #FunctionalStatus.code</v>
      </c>
    </row>
    <row r="33" spans="2:2" x14ac:dyDescent="0.75">
      <c r="B33" s="14" t="str">
        <f>IF('FunctionalStat-ConceptMap-1'!S28=0,"//---END",'FunctionalStat-ConceptMap-1'!S28)</f>
        <v>* group[=].element[=].display = ##34#A.2.3.4.3 Functional assessment description##34#</v>
      </c>
    </row>
    <row r="34" spans="2:2" x14ac:dyDescent="0.75">
      <c r="B34" s="14" t="str">
        <f>IF('FunctionalStat-ConceptMap-1'!S29=0,"//---END",'FunctionalStat-ConceptMap-1'!S29)</f>
        <v>* group[=].element[=].target.code = #Composition.section.entry.description</v>
      </c>
    </row>
    <row r="35" spans="2:2" x14ac:dyDescent="0.75">
      <c r="B35" s="14" t="str">
        <f>IF('FunctionalStat-ConceptMap-1'!S30=0,"//---END",'FunctionalStat-ConceptMap-1'!S30)</f>
        <v>* group[=].element[=].target.display = ##34###34#</v>
      </c>
    </row>
    <row r="36" spans="2:2" x14ac:dyDescent="0.75">
      <c r="B36" s="14" t="str">
        <f>IF('FunctionalStat-ConceptMap-1'!S31=0,"//---END",'FunctionalStat-ConceptMap-1'!S31)</f>
        <v>* group[=].element[=].target.equivalence = #relatedto</v>
      </c>
    </row>
    <row r="37" spans="2:2" x14ac:dyDescent="0.75">
      <c r="B37" s="14" t="str">
        <f>IF('FunctionalStat-ConceptMap-1'!S32=0,"//---END",'FunctionalStat-ConceptMap-1'!S32)</f>
        <v>* group[=].element[=].target.comment = ##34#where section.code = 'http://loinc.org#47420-5'  and entry of type ClinicalImpression##34#</v>
      </c>
    </row>
    <row r="38" spans="2:2" x14ac:dyDescent="0.75">
      <c r="B38" s="14" t="str">
        <f>IF('FunctionalStat-ConceptMap-1'!S33=0,"//---END",'FunctionalStat-ConceptMap-1'!S33)</f>
        <v>* group[=].element[+].code = #FunctionalStatus.date</v>
      </c>
    </row>
    <row r="39" spans="2:2" x14ac:dyDescent="0.75">
      <c r="B39" s="14" t="str">
        <f>IF('FunctionalStat-ConceptMap-1'!S34=0,"//---END",'FunctionalStat-ConceptMap-1'!S34)</f>
        <v>* group[=].element[=].display = ##34#A.2.3.4.4 Functional assessment date##34#</v>
      </c>
    </row>
    <row r="40" spans="2:2" x14ac:dyDescent="0.75">
      <c r="B40" s="14" t="str">
        <f>IF('FunctionalStat-ConceptMap-1'!S35=0,"//---END",'FunctionalStat-ConceptMap-1'!S35)</f>
        <v>* group[=].element[=].target.code = #Composition.section.entry.effective[x]</v>
      </c>
    </row>
    <row r="41" spans="2:2" x14ac:dyDescent="0.75">
      <c r="B41" s="14" t="str">
        <f>IF('FunctionalStat-ConceptMap-1'!S36=0,"//---END",'FunctionalStat-ConceptMap-1'!S36)</f>
        <v>* group[=].element[=].target.display = ##34###34#</v>
      </c>
    </row>
    <row r="42" spans="2:2" x14ac:dyDescent="0.75">
      <c r="B42" s="14" t="str">
        <f>IF('FunctionalStat-ConceptMap-1'!S37=0,"//---END",'FunctionalStat-ConceptMap-1'!S37)</f>
        <v>* group[=].element[=].target.equivalence = #relatedto</v>
      </c>
    </row>
    <row r="43" spans="2:2" x14ac:dyDescent="0.75">
      <c r="B43" s="14" t="str">
        <f>IF('FunctionalStat-ConceptMap-1'!S38=0,"//---END",'FunctionalStat-ConceptMap-1'!S38)</f>
        <v>* group[=].element[=].target.comment = ##34#where section.code = 'http://loinc.org#47420-5'  and entry of type ClinicalImpression##34#</v>
      </c>
    </row>
    <row r="44" spans="2:2" x14ac:dyDescent="0.75">
      <c r="B44" s="14" t="str">
        <f>IF('FunctionalStat-ConceptMap-1'!S39=0,"//---END",'FunctionalStat-ConceptMap-1'!S39)</f>
        <v>* group[=].element[+].code = #FunctionalStatus.result</v>
      </c>
    </row>
    <row r="45" spans="2:2" x14ac:dyDescent="0.75">
      <c r="B45" s="14" t="str">
        <f>IF('FunctionalStat-ConceptMap-1'!S40=0,"//---END",'FunctionalStat-ConceptMap-1'!S40)</f>
        <v>* group[=].element[=].display = ##34#A.2.3.4.5 Functional assessment result##34#</v>
      </c>
    </row>
    <row r="46" spans="2:2" x14ac:dyDescent="0.75">
      <c r="B46" s="14" t="str">
        <f>IF('FunctionalStat-ConceptMap-1'!S41=0,"//---END",'FunctionalStat-ConceptMap-1'!S41)</f>
        <v>* group[=].element[=].target.code = #Composition.section.entry.code</v>
      </c>
    </row>
    <row r="47" spans="2:2" x14ac:dyDescent="0.75">
      <c r="B47" s="14" t="str">
        <f>IF('FunctionalStat-ConceptMap-1'!S42=0,"//---END",'FunctionalStat-ConceptMap-1'!S42)</f>
        <v>* group[=].element[=].target.display = ##34###34#</v>
      </c>
    </row>
    <row r="48" spans="2:2" x14ac:dyDescent="0.75">
      <c r="B48" s="14" t="str">
        <f>IF('FunctionalStat-ConceptMap-1'!S43=0,"//---END",'FunctionalStat-ConceptMap-1'!S43)</f>
        <v>* group[=].element[=].target.equivalence = #relatedto</v>
      </c>
    </row>
    <row r="49" spans="2:2" ht="29.5" x14ac:dyDescent="0.75">
      <c r="B49" s="14" t="str">
        <f>IF('FunctionalStat-ConceptMap-1'!S44=0,"//---END",'FunctionalStat-ConceptMap-1'!S44)</f>
        <v>* group[=].element[=].target.comment = ##34#where section.code = 'http://loinc.org#47420-5'  and entry of type Condition.Considering the result as indication of the disability##34#</v>
      </c>
    </row>
    <row r="50" spans="2:2" x14ac:dyDescent="0.75">
      <c r="B50" s="14" t="str">
        <f>IF('FunctionalStat-ConceptMap-1'!S45=0,"//---END",'FunctionalStat-ConceptMap-1'!S45)</f>
        <v>* group[=].element[+].code = #FunctionalStatus.result</v>
      </c>
    </row>
    <row r="51" spans="2:2" x14ac:dyDescent="0.75">
      <c r="B51" s="14" t="str">
        <f>IF('FunctionalStat-ConceptMap-1'!S46=0,"//---END",'FunctionalStat-ConceptMap-1'!S46)</f>
        <v>* group[=].element[=].display = ##34#A.2.3.4.5 Functional assessment result##34#</v>
      </c>
    </row>
    <row r="52" spans="2:2" x14ac:dyDescent="0.75">
      <c r="B52" s="14" t="str">
        <f>IF('FunctionalStat-ConceptMap-1'!S47=0,"//---END",'FunctionalStat-ConceptMap-1'!S47)</f>
        <v>* group[=].element[=].target.code = #Composition.section.entry.finding</v>
      </c>
    </row>
    <row r="53" spans="2:2" x14ac:dyDescent="0.75">
      <c r="B53" s="14" t="str">
        <f>IF('FunctionalStat-ConceptMap-1'!S48=0,"//---END",'FunctionalStat-ConceptMap-1'!S48)</f>
        <v>* group[=].element[=].target.display = ##34###34#</v>
      </c>
    </row>
    <row r="54" spans="2:2" x14ac:dyDescent="0.75">
      <c r="B54" s="14" t="str">
        <f>IF('FunctionalStat-ConceptMap-1'!S49=0,"//---END",'FunctionalStat-ConceptMap-1'!S49)</f>
        <v>* group[=].element[=].target.equivalence = #relatedto</v>
      </c>
    </row>
    <row r="55" spans="2:2" x14ac:dyDescent="0.75">
      <c r="B55" s="14" t="str">
        <f>IF('FunctionalStat-ConceptMap-1'!S50=0,"//---END",'FunctionalStat-ConceptMap-1'!S50)</f>
        <v>* group[=].element[=].target.comment = ##34#where section.code = 'http://loinc.org#47420-5'  and entry of type ClinicalImpression##34#</v>
      </c>
    </row>
    <row r="56" spans="2:2" x14ac:dyDescent="0.75">
      <c r="B56" s="14" t="str">
        <f>IF('FunctionalStat-ConceptMap-1'!S51=0,"//---END",'FunctionalStat-ConceptMap-1'!S51)</f>
        <v>//---END</v>
      </c>
    </row>
    <row r="57" spans="2:2" x14ac:dyDescent="0.75">
      <c r="B57" s="14" t="str">
        <f>IF('FunctionalStat-ConceptMap-1'!S52=0,"//---END",'FunctionalStat-ConceptMap-1'!S52)</f>
        <v>//---END</v>
      </c>
    </row>
    <row r="58" spans="2:2" x14ac:dyDescent="0.75">
      <c r="B58" s="14" t="str">
        <f>IF('FunctionalStat-ConceptMap-1'!S53=0,"//---END",'FunctionalStat-ConceptMap-1'!S53)</f>
        <v>//---END</v>
      </c>
    </row>
    <row r="59" spans="2:2" x14ac:dyDescent="0.75">
      <c r="B59" s="14" t="str">
        <f>IF('FunctionalStat-ConceptMap-1'!S54=0,"//---END",'FunctionalStat-ConceptMap-1'!S54)</f>
        <v>//---END</v>
      </c>
    </row>
    <row r="60" spans="2:2" x14ac:dyDescent="0.75">
      <c r="B60" s="14" t="str">
        <f>IF('FunctionalStat-ConceptMap-1'!S55=0,"//---END",'FunctionalStat-ConceptMap-1'!S55)</f>
        <v>//---END</v>
      </c>
    </row>
    <row r="61" spans="2:2" x14ac:dyDescent="0.75">
      <c r="B61" s="14"/>
    </row>
    <row r="62" spans="2:2" x14ac:dyDescent="0.75">
      <c r="B62" s="14"/>
    </row>
    <row r="63" spans="2:2" x14ac:dyDescent="0.75">
      <c r="B63" s="14"/>
    </row>
    <row r="64" spans="2:2" x14ac:dyDescent="0.75">
      <c r="B64" s="14"/>
    </row>
    <row r="65" spans="2:2" x14ac:dyDescent="0.75">
      <c r="B65" s="14"/>
    </row>
    <row r="66" spans="2:2" x14ac:dyDescent="0.75">
      <c r="B66" s="14"/>
    </row>
    <row r="67" spans="2:2" x14ac:dyDescent="0.75">
      <c r="B67" s="14"/>
    </row>
    <row r="68" spans="2:2" x14ac:dyDescent="0.75">
      <c r="B68" s="14"/>
    </row>
    <row r="69" spans="2:2" x14ac:dyDescent="0.75">
      <c r="B69"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2543-1F1E-4B88-A503-F6CC9D182F94}">
  <sheetPr codeName="Foglio39">
    <tabColor theme="7" tint="0.39997558519241921"/>
  </sheetPr>
  <dimension ref="A1:L30"/>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1188</v>
      </c>
      <c r="I4" s="24" t="str">
        <f>CONCATENATE("Logical: ",B4)</f>
        <v>Logical: ProcedurePsEhn</v>
      </c>
    </row>
    <row r="5" spans="1:11" x14ac:dyDescent="0.75">
      <c r="A5" s="17" t="s">
        <v>19</v>
      </c>
      <c r="B5" s="33" t="s">
        <v>1300</v>
      </c>
      <c r="I5" s="24" t="str">
        <f>CONCATENATE("Id: ",B5)</f>
        <v>Id: ProcedurePs</v>
      </c>
    </row>
    <row r="6" spans="1:11" x14ac:dyDescent="0.75">
      <c r="A6" s="17" t="s">
        <v>13</v>
      </c>
      <c r="B6" s="18" t="s">
        <v>839</v>
      </c>
      <c r="I6" s="25" t="str">
        <f>CONCATENATE("Title: ##34#",B6,"##34#")</f>
        <v>Title: ##34#A.2.3.3 - Procedures##34#</v>
      </c>
    </row>
    <row r="7" spans="1:11" x14ac:dyDescent="0.75">
      <c r="A7" s="43" t="s">
        <v>5</v>
      </c>
      <c r="B7" s="50" t="s">
        <v>1191</v>
      </c>
      <c r="C7" s="12"/>
      <c r="D7" s="2"/>
      <c r="E7" s="49"/>
      <c r="F7" s="3" t="s">
        <v>9</v>
      </c>
      <c r="G7" s="3" t="s">
        <v>10</v>
      </c>
      <c r="I7" s="25" t="str">
        <f>CONCATENATE("Description: "," ##334#",B7,"##334#",)</f>
        <v>Description:  ##334#Procedures.Section A.2.3.3 of the eHN guideline.##334#</v>
      </c>
    </row>
    <row r="8" spans="1:11" ht="74.5" customHeight="1" x14ac:dyDescent="0.75">
      <c r="A8" s="9">
        <v>1</v>
      </c>
      <c r="B8" s="9" t="s">
        <v>204</v>
      </c>
      <c r="C8" s="9" t="s">
        <v>1193</v>
      </c>
      <c r="D8" s="14" t="s">
        <v>1196</v>
      </c>
      <c r="E8" s="9">
        <v>0</v>
      </c>
      <c r="F8" s="9" t="s">
        <v>11</v>
      </c>
      <c r="G8" s="9" t="s">
        <v>1</v>
      </c>
      <c r="H8" s="22"/>
      <c r="I8" s="14" t="str">
        <f>CONCATENATE("* ",B8, " ",E8,"..",F8," ",G8," ##34#",C8,"##34# ##334#",D8,"##334#")</f>
        <v>* description 0..* CodeableConcept ##34#A.2.3.3.1 Procedure description##34# ##334#Describes the type of procedure - Preferred system(s): SNOMED CT GPS*##334#</v>
      </c>
    </row>
    <row r="9" spans="1:11" ht="45" thickBot="1" x14ac:dyDescent="0.9">
      <c r="A9" s="9">
        <v>2</v>
      </c>
      <c r="B9" s="9" t="s">
        <v>1200</v>
      </c>
      <c r="C9" s="9" t="s">
        <v>1194</v>
      </c>
      <c r="D9" s="94" t="s">
        <v>1197</v>
      </c>
      <c r="E9" s="9">
        <v>0</v>
      </c>
      <c r="F9" s="9" t="s">
        <v>11</v>
      </c>
      <c r="G9" s="9" t="s">
        <v>4</v>
      </c>
      <c r="H9" s="22"/>
      <c r="I9" s="14" t="str">
        <f t="shared" ref="I9:I14" si="0">CONCATENATE("* ",B9, " ",E9,"..",F9," ",G9," ##34#",C9,"##34# ##334#",D9,"##334#")</f>
        <v>* bodySite 0..* BackboneElement ##34#A.2.3.3.2 Body site##34# ##334#Procedure target body site - Preferred system(s): SNOMED CT GPS*##334#</v>
      </c>
    </row>
    <row r="10" spans="1:11" ht="30.25" customHeight="1" x14ac:dyDescent="0.75">
      <c r="A10" s="9">
        <v>3</v>
      </c>
      <c r="B10" s="9" t="s">
        <v>211</v>
      </c>
      <c r="C10" s="9" t="s">
        <v>1195</v>
      </c>
      <c r="D10" s="14" t="s">
        <v>1171</v>
      </c>
      <c r="E10" s="9">
        <v>0</v>
      </c>
      <c r="F10" s="9" t="s">
        <v>11</v>
      </c>
      <c r="G10" s="9" t="s">
        <v>2</v>
      </c>
      <c r="H10" s="22"/>
      <c r="I10" s="14" t="str">
        <f t="shared" si="0"/>
        <v>* date 0..* dateTime ##34#A.2.3.3.3 Procedure date##34# ##334#Date when procedure was performed - Preferred system(s): ISO 8601##334#</v>
      </c>
    </row>
    <row r="11" spans="1:11" ht="45" customHeight="1" x14ac:dyDescent="0.75">
      <c r="A11" s="51"/>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2"/>
      <c r="E26" s="152"/>
      <c r="F26" s="153"/>
    </row>
    <row r="27" spans="2:9" ht="384.75" customHeight="1" thickBot="1" x14ac:dyDescent="0.9">
      <c r="B27" t="str">
        <f t="shared" ref="B27:B29" si="2">CONCATENATE(C27," ",D27)</f>
        <v>A.2.3.3.1 Procedure description</v>
      </c>
      <c r="C27" s="93" t="s">
        <v>734</v>
      </c>
      <c r="D27" s="94" t="s">
        <v>664</v>
      </c>
      <c r="E27" s="94" t="s">
        <v>665</v>
      </c>
      <c r="F27" s="94" t="s">
        <v>666</v>
      </c>
      <c r="I27" s="1" t="str">
        <f t="shared" ref="I27:I29" si="3">CONCATENATE(E27," - Preferred system(s): ",F27)</f>
        <v>Describes the type of procedure - Preferred system(s): SNOMED CT GPS*</v>
      </c>
    </row>
    <row r="28" spans="2:9" ht="45" thickBot="1" x14ac:dyDescent="0.9">
      <c r="B28" t="str">
        <f t="shared" si="2"/>
        <v>A.2.3.3.2 Body site</v>
      </c>
      <c r="C28" s="93" t="s">
        <v>735</v>
      </c>
      <c r="D28" s="94" t="s">
        <v>667</v>
      </c>
      <c r="E28" s="94" t="s">
        <v>668</v>
      </c>
      <c r="F28" s="94" t="s">
        <v>666</v>
      </c>
      <c r="I28" s="1" t="str">
        <f t="shared" si="3"/>
        <v>Procedure target body site - Preferred system(s): SNOMED CT GPS*</v>
      </c>
    </row>
    <row r="29" spans="2:9" ht="59.75" thickBot="1" x14ac:dyDescent="0.9">
      <c r="B29" t="str">
        <f t="shared" si="2"/>
        <v>A.2.3.3.3 Procedure date</v>
      </c>
      <c r="C29" s="93" t="s">
        <v>736</v>
      </c>
      <c r="D29" s="94" t="s">
        <v>669</v>
      </c>
      <c r="E29" s="94" t="s">
        <v>661</v>
      </c>
      <c r="F29" s="94" t="s">
        <v>94</v>
      </c>
      <c r="I29" s="1" t="str">
        <f t="shared" si="3"/>
        <v>Date when procedure was performed - Preferred system(s): ISO 8601</v>
      </c>
    </row>
    <row r="30" spans="2:9" ht="15.5" thickBot="1" x14ac:dyDescent="0.9">
      <c r="C30" s="93"/>
      <c r="D30" s="94"/>
      <c r="E30" s="94"/>
      <c r="F30" s="94"/>
    </row>
  </sheetData>
  <mergeCells count="1">
    <mergeCell ref="C26:F26"/>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1DA4D-BF82-453E-920A-C51BF321494D}">
  <sheetPr codeName="Foglio40">
    <tabColor theme="8" tint="-0.249977111117893"/>
  </sheetPr>
  <dimension ref="C1:G14"/>
  <sheetViews>
    <sheetView workbookViewId="0">
      <selection activeCell="I8" sqref="I8:I1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Procedures'!I1</f>
        <v>// -------------------------------------------------------------------------------</v>
      </c>
    </row>
    <row r="2" spans="3:7" ht="16.75" thickBot="1" x14ac:dyDescent="0.9">
      <c r="C2" s="32" t="str">
        <f>'A.2.3.3 Procedures'!I2</f>
        <v>//  Logical Model</v>
      </c>
      <c r="G2" s="48" t="s">
        <v>1198</v>
      </c>
    </row>
    <row r="3" spans="3:7" x14ac:dyDescent="0.75">
      <c r="C3" s="32" t="str">
        <f>'A.2.3.3 Procedures'!I3</f>
        <v>// -------------------------------------------------------------------------------</v>
      </c>
    </row>
    <row r="4" spans="3:7" x14ac:dyDescent="0.75">
      <c r="C4" s="24" t="str">
        <f>'A.2.3.3 Procedures'!I4</f>
        <v>Logical: ProcedurePsEhn</v>
      </c>
    </row>
    <row r="5" spans="3:7" x14ac:dyDescent="0.75">
      <c r="C5" s="24" t="str">
        <f>'A.2.3.3 Procedures'!I5</f>
        <v>Id: ProcedurePs</v>
      </c>
    </row>
    <row r="6" spans="3:7" x14ac:dyDescent="0.75">
      <c r="C6" s="24" t="str">
        <f>'A.2.3.3 Procedures'!I6</f>
        <v>Title: ##34#A.2.3.3 - Procedures##34#</v>
      </c>
    </row>
    <row r="7" spans="3:7" ht="29.5" x14ac:dyDescent="0.75">
      <c r="C7" s="24" t="str">
        <f>'A.2.3.3 Procedures'!I7</f>
        <v>Description:  ##334#Procedures.Section A.2.3.3 of the eHN guideline.##334#</v>
      </c>
    </row>
    <row r="8" spans="3:7" ht="29.5" x14ac:dyDescent="0.75">
      <c r="C8" s="14" t="str">
        <f>IF('A.2.3.3 Procedures'!I8="*  ..  ##34###34# ##334###334#","//--- END",'A.2.3.3 Procedures'!I8)</f>
        <v>* description 0..* CodeableConcept ##34#A.2.3.3.1 Procedure description##34# ##334#Describes the type of procedure - Preferred system(s): SNOMED CT GPS*##334#</v>
      </c>
    </row>
    <row r="9" spans="3:7" ht="29.5" x14ac:dyDescent="0.75">
      <c r="C9" s="14" t="str">
        <f>IF('A.2.3.3 Procedures'!I9="*  ..  ##34###34# ##334###334#","//--- END",'A.2.3.3 Procedures'!I9)</f>
        <v>* bodySite 0..* BackboneElement ##34#A.2.3.3.2 Body site##34# ##334#Procedure target body site - Preferred system(s): SNOMED CT GPS*##334#</v>
      </c>
    </row>
    <row r="10" spans="3:7" ht="29.5" x14ac:dyDescent="0.75">
      <c r="C10" s="14" t="str">
        <f>IF('A.2.3.3 Procedures'!I10="*  ..  ##34###34# ##334###334#","//--- END",'A.2.3.3 Procedures'!I10)</f>
        <v>* date 0..* dateTime ##34#A.2.3.3.3 Procedure date##34# ##334#Date when procedure was performed - Preferred system(s): ISO 8601##334#</v>
      </c>
      <c r="E10" t="s">
        <v>116</v>
      </c>
    </row>
    <row r="11" spans="3:7" x14ac:dyDescent="0.75">
      <c r="C11" s="14" t="str">
        <f>IF('A.2.3.3 Procedures'!I11="*  ..  ##34###34# ##334###334#","//--- END",'A.2.3.3 Procedures'!I11)</f>
        <v>//--- END</v>
      </c>
    </row>
    <row r="12" spans="3:7" x14ac:dyDescent="0.75">
      <c r="C12" s="14" t="str">
        <f>IF('A.2.3.3 Procedures'!I12="*  ..  ##34###34# ##334###334#","//--- END",'A.2.3.3 Procedures'!I12)</f>
        <v>//--- END</v>
      </c>
    </row>
    <row r="13" spans="3:7" x14ac:dyDescent="0.75">
      <c r="C13" s="14" t="str">
        <f>IF('A.2.3.3 Procedures'!I13="*  ..  ##34###34# ##334###334#","//--- END",'A.2.3.3 Procedures'!I13)</f>
        <v>//--- END</v>
      </c>
    </row>
    <row r="14" spans="3:7" x14ac:dyDescent="0.75">
      <c r="C14" s="14" t="str">
        <f>IF('A.2.3.3 Procedures'!I14="*  ..  ##34###34# ##334###334#","//--- END",'A.2.3.3 Procedures'!I14)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1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36912-F497-435B-A4CC-B5CC1C381E43}">
  <sheetPr codeName="Foglio66">
    <tabColor theme="0" tint="-0.499984740745262"/>
  </sheetPr>
  <dimension ref="A2:T45"/>
  <sheetViews>
    <sheetView topLeftCell="M13" workbookViewId="0">
      <selection activeCell="I8" sqref="I8:I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1190</v>
      </c>
      <c r="D3" s="61" t="s">
        <v>208</v>
      </c>
      <c r="E3" s="165" t="str">
        <f>"http://hl7.eu/fhir/ig/xpandh/ps/StructureDefinition/"&amp;'A.2.3.3 Procedures'!B5</f>
        <v>http://hl7.eu/fhir/ig/xpandh/ps/StructureDefinition/ProcedurePs</v>
      </c>
      <c r="F3" s="164"/>
      <c r="G3" s="164"/>
    </row>
    <row r="4" spans="1:19" x14ac:dyDescent="0.75">
      <c r="B4" s="61" t="s">
        <v>19</v>
      </c>
      <c r="C4" s="47" t="s">
        <v>1192</v>
      </c>
      <c r="D4" s="61" t="s">
        <v>209</v>
      </c>
      <c r="E4" s="165" t="s">
        <v>1199</v>
      </c>
      <c r="F4" s="164"/>
      <c r="G4" s="164"/>
    </row>
    <row r="5" spans="1:19" x14ac:dyDescent="0.75">
      <c r="B5" s="61" t="s">
        <v>13</v>
      </c>
      <c r="C5" s="10" t="s">
        <v>226</v>
      </c>
      <c r="D5" s="61"/>
      <c r="E5" s="10"/>
    </row>
    <row r="6" spans="1:19" x14ac:dyDescent="0.75">
      <c r="B6" s="61" t="s">
        <v>35</v>
      </c>
      <c r="C6" s="60"/>
      <c r="D6" s="61" t="s">
        <v>206</v>
      </c>
      <c r="E6" s="165" t="str">
        <f>E3</f>
        <v>http://hl7.eu/fhir/ig/xpandh/ps/StructureDefinition/ProcedurePs</v>
      </c>
      <c r="F6" s="164"/>
      <c r="G6" s="164"/>
    </row>
    <row r="7" spans="1:19" x14ac:dyDescent="0.75">
      <c r="B7" s="61" t="s">
        <v>18</v>
      </c>
      <c r="C7" s="68"/>
      <c r="D7" s="61" t="s">
        <v>207</v>
      </c>
      <c r="E7" s="165" t="str">
        <f>E4</f>
        <v>http://hl7.eu/fhir/ig/xpandh/ps/StructureDefinition/Procedure-ps-xpandh</v>
      </c>
      <c r="F7" s="164"/>
      <c r="G7" s="164"/>
    </row>
    <row r="8" spans="1:19" ht="44.25" x14ac:dyDescent="0.75">
      <c r="B8" s="61" t="s">
        <v>204</v>
      </c>
      <c r="C8" s="10" t="s">
        <v>1177</v>
      </c>
      <c r="D8" s="61"/>
      <c r="E8"/>
      <c r="I8" s="14" t="s">
        <v>181</v>
      </c>
      <c r="J8" s="14" t="s">
        <v>182</v>
      </c>
      <c r="K8" s="14" t="s">
        <v>183</v>
      </c>
      <c r="L8" s="14" t="s">
        <v>184</v>
      </c>
      <c r="M8" s="9" t="s">
        <v>185</v>
      </c>
      <c r="P8" s="57" t="s">
        <v>186</v>
      </c>
      <c r="Q8" s="57">
        <v>6</v>
      </c>
    </row>
    <row r="9" spans="1:19" ht="29.5" x14ac:dyDescent="0.75">
      <c r="B9" s="61" t="s">
        <v>205</v>
      </c>
      <c r="C9" s="1" t="s">
        <v>1178</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'A.2.3.3 Procedures'!B5</f>
        <v>ProcedurePs</v>
      </c>
      <c r="C14" s="9"/>
      <c r="D14" t="s">
        <v>1189</v>
      </c>
      <c r="E14" s="8"/>
      <c r="F14" s="9"/>
      <c r="I14" s="14"/>
      <c r="J14" s="9"/>
      <c r="K14" s="9"/>
      <c r="L14" s="9"/>
      <c r="M14" s="59"/>
      <c r="N14" s="62"/>
    </row>
    <row r="15" spans="1:19" ht="44.25" x14ac:dyDescent="0.75">
      <c r="A15" s="22"/>
      <c r="B15" s="9" t="str">
        <f>'A.2.3.3 Procedures'!B8</f>
        <v>description</v>
      </c>
      <c r="C15" s="9" t="str">
        <f>'A.2.3.3 Procedures'!C8</f>
        <v>A.2.3.3.1 Procedure description</v>
      </c>
      <c r="D15" s="14" t="s">
        <v>189</v>
      </c>
      <c r="E15" s="9"/>
      <c r="F15" s="63" t="s">
        <v>192</v>
      </c>
      <c r="H15" s="64"/>
      <c r="I15" s="14" t="str">
        <f>"* group[=].element[+].code = #"&amp;$B$14&amp;"."&amp;B15</f>
        <v>* group[=].element[+].code = #ProcedurePs.description</v>
      </c>
      <c r="J15" s="14" t="str">
        <f t="shared" ref="J15:J16" si="0">"* group[=].element[=].display = ##34#"&amp;C15&amp;"##34#"</f>
        <v>* group[=].element[=].display = ##34#A.2.3.3.1 Procedure description##34#</v>
      </c>
      <c r="K15" s="14" t="str">
        <f t="shared" ref="K15:K16" si="1">IF(F15="unmatched","//-- unmatched","* group[=].element[=].target.code = #"&amp;$D$14&amp;"."&amp;D15)</f>
        <v>* group[=].element[=].target.code = #Procedure.code</v>
      </c>
      <c r="L15" s="14" t="str">
        <f t="shared" ref="L15:L16" si="2">IF(F15="unmatched","//-- unmatched","* group[=].element[=].target.display = ##34#"&amp;E15&amp;"##34#")</f>
        <v>* group[=].element[=].target.display = ##34###34#</v>
      </c>
      <c r="M15" s="14" t="str">
        <f t="shared" ref="M15:M16" si="3">"* group[=].element[=].target.equivalence = #"&amp;F15</f>
        <v>* group[=].element[=].target.equivalence = #equivalent</v>
      </c>
      <c r="N15" s="4" t="str">
        <f t="shared" ref="N15:N45" si="4">IF(G15&lt;&gt;"",CONCATENATE("* group[=].element[=].target.comment = ","##34#",G15,"##34#"),"")</f>
        <v/>
      </c>
      <c r="P15" s="9">
        <v>1</v>
      </c>
      <c r="Q15" s="9">
        <f>IF(MOD(P15,$Q$8)=0,P15/$Q$8-1,INT(P15/$Q$8))</f>
        <v>0</v>
      </c>
      <c r="R15" s="9">
        <f>IF(MOD(P15,$Q$8)=0,$Q$8,MOD(P15,$Q$8))</f>
        <v>1</v>
      </c>
      <c r="S15" s="14" t="str" cm="1">
        <f t="array" ref="S15">INDEX('Procedures-ConceptMap-1'!$I$15:$N$125,Q15+1,R15)</f>
        <v>* group[=].element[+].code = #ProcedurePs.description</v>
      </c>
    </row>
    <row r="16" spans="1:19" ht="44.25" x14ac:dyDescent="0.75">
      <c r="A16" s="22"/>
      <c r="B16" s="9" t="str">
        <f>'A.2.3.3 Procedures'!B9</f>
        <v>bodySite</v>
      </c>
      <c r="C16" s="9" t="str">
        <f>'A.2.3.3 Procedures'!C9</f>
        <v>A.2.3.3.2 Body site</v>
      </c>
      <c r="D16" s="14" t="s">
        <v>1200</v>
      </c>
      <c r="E16" s="9"/>
      <c r="F16" s="63" t="s">
        <v>192</v>
      </c>
      <c r="G16" s="10"/>
      <c r="H16" s="64"/>
      <c r="I16" s="14" t="str">
        <f t="shared" ref="I16" si="5">"* group[=].element[+].code = #"&amp;$B$14&amp;"."&amp;B16</f>
        <v>* group[=].element[+].code = #ProcedurePs.bodySite</v>
      </c>
      <c r="J16" s="14" t="str">
        <f t="shared" si="0"/>
        <v>* group[=].element[=].display = ##34#A.2.3.3.2 Body site##34#</v>
      </c>
      <c r="K16" s="14" t="str">
        <f t="shared" si="1"/>
        <v>* group[=].element[=].target.code = #Procedure.bodySite</v>
      </c>
      <c r="L16" s="14" t="str">
        <f t="shared" si="2"/>
        <v>* group[=].element[=].target.display = ##34###34#</v>
      </c>
      <c r="M16" s="14" t="str">
        <f t="shared" si="3"/>
        <v>* group[=].element[=].target.equivalence = #equivalent</v>
      </c>
      <c r="N16" s="14" t="str">
        <f t="shared" si="4"/>
        <v/>
      </c>
      <c r="P16" s="9">
        <v>2</v>
      </c>
      <c r="Q16" s="9">
        <f t="shared" ref="Q16:Q37" si="6">IF(MOD(P16,$Q$8)=0,P16/$Q$8-1,INT(P16/$Q$8))</f>
        <v>0</v>
      </c>
      <c r="R16" s="9">
        <f t="shared" ref="R16:R18" si="7">IF(MOD(P16,$Q$8)=0,$Q$8,MOD(P16,$Q$8))</f>
        <v>2</v>
      </c>
      <c r="S16" s="14" t="str" cm="1">
        <f t="array" ref="S16">INDEX('Procedures-ConceptMap-1'!$I$15:$N$125,Q16+1,R16)</f>
        <v>* group[=].element[=].display = ##34#A.2.3.3.1 Procedure description##34#</v>
      </c>
    </row>
    <row r="17" spans="1:19" ht="103.25" customHeight="1" x14ac:dyDescent="0.75">
      <c r="A17" s="22"/>
      <c r="B17" s="9" t="str">
        <f>'A.2.3.3 Procedures'!B10</f>
        <v>date</v>
      </c>
      <c r="C17" s="9" t="str">
        <f>'A.2.3.3 Procedures'!C10</f>
        <v>A.2.3.3.3 Procedure date</v>
      </c>
      <c r="D17" s="14" t="s">
        <v>1201</v>
      </c>
      <c r="E17" s="9"/>
      <c r="F17" s="63" t="s">
        <v>192</v>
      </c>
      <c r="G17" s="14"/>
      <c r="H17" s="64"/>
      <c r="I17" s="14" t="str">
        <f t="shared" ref="I17" si="8">"* group[=].element[+].code = #"&amp;$B$14&amp;"."&amp;B17</f>
        <v>* group[=].element[+].code = #ProcedurePs.date</v>
      </c>
      <c r="J17" s="14" t="str">
        <f t="shared" ref="J17" si="9">"* group[=].element[=].display = ##34#"&amp;C17&amp;"##34#"</f>
        <v>* group[=].element[=].display = ##34#A.2.3.3.3 Procedure date##34#</v>
      </c>
      <c r="K17" s="14" t="str">
        <f t="shared" ref="K17" si="10">IF(F17="unmatched","//-- unmatched","* group[=].element[=].target.code = #"&amp;$D$14&amp;"."&amp;D17)</f>
        <v>* group[=].element[=].target.code = #Procedure.performed[x]</v>
      </c>
      <c r="L17" s="14" t="str">
        <f t="shared" ref="L17" si="11">IF(F17="unmatched","//-- unmatched","* group[=].element[=].target.display = ##34#"&amp;E17&amp;"##34#")</f>
        <v>* group[=].element[=].target.display = ##34###34#</v>
      </c>
      <c r="M17" s="14" t="str">
        <f t="shared" ref="M17" si="12">"* group[=].element[=].target.equivalence = #"&amp;F17</f>
        <v>* group[=].element[=].target.equivalence = #equivalent</v>
      </c>
      <c r="N17" s="14" t="str">
        <f t="shared" ref="N17" si="13">IF(G17&lt;&gt;"",CONCATENATE("* group[=].element[=].target.comment = ","##34#",G17,"##34#"),"")</f>
        <v/>
      </c>
      <c r="P17" s="9">
        <v>3</v>
      </c>
      <c r="Q17" s="9">
        <f t="shared" si="6"/>
        <v>0</v>
      </c>
      <c r="R17" s="9">
        <f t="shared" si="7"/>
        <v>3</v>
      </c>
      <c r="S17" s="14" t="str" cm="1">
        <f t="array" ref="S17">INDEX('Procedures-ConceptMap-1'!$I$15:$N$125,Q17+1,R17)</f>
        <v>* group[=].element[=].target.code = #Procedure.code</v>
      </c>
    </row>
    <row r="18" spans="1:19" x14ac:dyDescent="0.75">
      <c r="A18" s="22"/>
      <c r="B18" s="9"/>
      <c r="C18" s="9"/>
      <c r="D18" s="14"/>
      <c r="E18" s="9"/>
      <c r="F18" s="63"/>
      <c r="G18" s="14"/>
      <c r="H18" s="64"/>
      <c r="I18" s="14"/>
      <c r="J18" s="14"/>
      <c r="K18" s="14"/>
      <c r="L18" s="14"/>
      <c r="M18" s="14"/>
      <c r="N18" s="14"/>
      <c r="P18" s="9">
        <v>4</v>
      </c>
      <c r="Q18" s="9">
        <f t="shared" si="6"/>
        <v>0</v>
      </c>
      <c r="R18" s="9">
        <f t="shared" si="7"/>
        <v>4</v>
      </c>
      <c r="S18" s="14" t="str" cm="1">
        <f t="array" ref="S18">INDEX('Procedures-ConceptMap-1'!$I$15:$N$125,Q18+1,R18)</f>
        <v>* group[=].element[=].target.display = ##34###34#</v>
      </c>
    </row>
    <row r="19" spans="1:19" x14ac:dyDescent="0.75">
      <c r="A19" s="22"/>
      <c r="B19" s="9"/>
      <c r="C19" s="9"/>
      <c r="D19" s="9"/>
      <c r="E19" s="9"/>
      <c r="F19" s="63"/>
      <c r="G19" s="63"/>
      <c r="H19" s="64"/>
      <c r="I19" s="14"/>
      <c r="J19" s="14"/>
      <c r="K19" s="14"/>
      <c r="L19" s="14"/>
      <c r="M19" s="14"/>
      <c r="N19" s="14" t="str">
        <f t="shared" si="4"/>
        <v/>
      </c>
      <c r="P19" s="9">
        <v>5</v>
      </c>
      <c r="Q19" s="9">
        <f t="shared" si="6"/>
        <v>0</v>
      </c>
      <c r="R19" s="9">
        <f t="shared" ref="R19:R34" si="14">IF(MOD(P19,$Q$8)=0,$Q$8,MOD(P19,$Q$8))</f>
        <v>5</v>
      </c>
      <c r="S19" s="14" t="str" cm="1">
        <f t="array" ref="S19">INDEX('Procedures-ConceptMap-1'!$I$15:$N$125,Q19+1,R19)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14"/>
        <v>6</v>
      </c>
      <c r="S20" s="14" t="str" cm="1">
        <f t="array" ref="S20">INDEX('Procedures-ConceptMap-1'!$I$15:$N$125,Q20+1,R20)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14"/>
        <v>1</v>
      </c>
      <c r="S21" s="14" t="str" cm="1">
        <f t="array" ref="S21">INDEX('Procedures-ConceptMap-1'!$I$15:$N$125,Q21+1,R21)</f>
        <v>* group[=].element[+].code = #ProcedurePs.bodySite</v>
      </c>
    </row>
    <row r="22" spans="1:19" x14ac:dyDescent="0.75">
      <c r="A22" s="22"/>
      <c r="B22" s="9"/>
      <c r="C22" s="9"/>
      <c r="D22" s="46"/>
      <c r="E22" s="9"/>
      <c r="F22" s="63"/>
      <c r="G22" s="63"/>
      <c r="H22" s="64"/>
      <c r="I22" s="14"/>
      <c r="J22" s="14"/>
      <c r="K22" s="14"/>
      <c r="L22" s="14"/>
      <c r="M22" s="14"/>
      <c r="N22" s="14" t="str">
        <f t="shared" si="4"/>
        <v/>
      </c>
      <c r="P22" s="9">
        <v>8</v>
      </c>
      <c r="Q22" s="9">
        <f t="shared" si="6"/>
        <v>1</v>
      </c>
      <c r="R22" s="9">
        <f t="shared" si="14"/>
        <v>2</v>
      </c>
      <c r="S22" s="14" t="str" cm="1">
        <f t="array" ref="S22">INDEX('Procedures-ConceptMap-1'!$I$15:$N$125,Q22+1,R22)</f>
        <v>* group[=].element[=].display = ##34#A.2.3.3.2 Body site##34#</v>
      </c>
    </row>
    <row r="23" spans="1:19" x14ac:dyDescent="0.75">
      <c r="A23" s="22"/>
      <c r="B23" s="9"/>
      <c r="C23" s="14"/>
      <c r="D23" s="9"/>
      <c r="E23" s="14"/>
      <c r="F23" s="63"/>
      <c r="G23" s="63"/>
      <c r="H23" s="64"/>
      <c r="I23" s="14"/>
      <c r="J23" s="14"/>
      <c r="K23" s="14"/>
      <c r="L23" s="14"/>
      <c r="M23" s="14"/>
      <c r="N23" s="14" t="str">
        <f t="shared" si="4"/>
        <v/>
      </c>
      <c r="P23" s="9">
        <v>9</v>
      </c>
      <c r="Q23" s="9">
        <f t="shared" si="6"/>
        <v>1</v>
      </c>
      <c r="R23" s="9">
        <f t="shared" si="14"/>
        <v>3</v>
      </c>
      <c r="S23" s="14" t="str" cm="1">
        <f t="array" ref="S23">INDEX('Procedures-ConceptMap-1'!$I$15:$N$125,Q23+1,R23)</f>
        <v>* group[=].element[=].target.code = #Procedure.bodySite</v>
      </c>
    </row>
    <row r="24" spans="1:19" x14ac:dyDescent="0.75">
      <c r="A24" s="22"/>
      <c r="B24" s="9"/>
      <c r="C24" s="14"/>
      <c r="D24" s="14"/>
      <c r="E24" s="14"/>
      <c r="F24" s="63"/>
      <c r="G24" s="63"/>
      <c r="H24" s="64"/>
      <c r="I24" s="14"/>
      <c r="J24" s="14"/>
      <c r="K24" s="14"/>
      <c r="L24" s="14"/>
      <c r="M24" s="14"/>
      <c r="N24" s="14" t="str">
        <f t="shared" si="4"/>
        <v/>
      </c>
      <c r="P24" s="9">
        <v>10</v>
      </c>
      <c r="Q24" s="9">
        <f t="shared" si="6"/>
        <v>1</v>
      </c>
      <c r="R24" s="9">
        <f t="shared" si="14"/>
        <v>4</v>
      </c>
      <c r="S24" s="14" t="str" cm="1">
        <f t="array" ref="S24">INDEX('Procedures-ConceptMap-1'!$I$15:$N$125,Q24+1,R24)</f>
        <v>* group[=].element[=].target.display = ##34###34#</v>
      </c>
    </row>
    <row r="25" spans="1:19" x14ac:dyDescent="0.75">
      <c r="B25" s="9"/>
      <c r="C25" s="14"/>
      <c r="D25" s="14"/>
      <c r="E25" s="14"/>
      <c r="F25" s="63"/>
      <c r="G25" s="63"/>
      <c r="H25" s="64"/>
      <c r="I25" s="14"/>
      <c r="J25" s="14"/>
      <c r="K25" s="14"/>
      <c r="L25" s="14"/>
      <c r="M25" s="14"/>
      <c r="N25" s="14" t="str">
        <f t="shared" si="4"/>
        <v/>
      </c>
      <c r="P25" s="9">
        <v>11</v>
      </c>
      <c r="Q25" s="9">
        <f t="shared" si="6"/>
        <v>1</v>
      </c>
      <c r="R25" s="9">
        <f t="shared" si="14"/>
        <v>5</v>
      </c>
      <c r="S25" s="14" t="str" cm="1">
        <f t="array" ref="S25">INDEX('Procedures-ConceptMap-1'!$I$15:$N$125,Q25+1,R25)</f>
        <v>* group[=].element[=].target.equivalence = #equivalent</v>
      </c>
    </row>
    <row r="26" spans="1:19" x14ac:dyDescent="0.75">
      <c r="B26" s="9"/>
      <c r="C26" s="9"/>
      <c r="D26" s="14"/>
      <c r="E26" s="14"/>
      <c r="F26" s="63"/>
      <c r="G26" s="63"/>
      <c r="H26" s="64"/>
      <c r="I26" s="14"/>
      <c r="J26" s="14"/>
      <c r="K26" s="14"/>
      <c r="L26" s="14"/>
      <c r="M26" s="14"/>
      <c r="N26" s="14" t="str">
        <f t="shared" si="4"/>
        <v/>
      </c>
      <c r="P26" s="9">
        <v>12</v>
      </c>
      <c r="Q26" s="9">
        <f t="shared" si="6"/>
        <v>1</v>
      </c>
      <c r="R26" s="9">
        <f t="shared" si="14"/>
        <v>6</v>
      </c>
      <c r="S26" s="14" t="str" cm="1">
        <f t="array" ref="S26">INDEX('Procedures-ConceptMap-1'!$I$15:$N$125,Q26+1,R26)</f>
        <v/>
      </c>
    </row>
    <row r="27" spans="1:19" x14ac:dyDescent="0.75">
      <c r="B27" s="9"/>
      <c r="C27" s="9"/>
      <c r="D27" s="14"/>
      <c r="E27" s="14"/>
      <c r="F27" s="63"/>
      <c r="G27" s="63"/>
      <c r="H27" s="64"/>
      <c r="I27" s="14"/>
      <c r="J27" s="14"/>
      <c r="K27" s="14"/>
      <c r="L27" s="14"/>
      <c r="M27" s="14"/>
      <c r="N27" s="14" t="str">
        <f t="shared" si="4"/>
        <v/>
      </c>
      <c r="P27" s="9">
        <v>13</v>
      </c>
      <c r="Q27" s="9">
        <f t="shared" si="6"/>
        <v>2</v>
      </c>
      <c r="R27" s="9">
        <f t="shared" si="14"/>
        <v>1</v>
      </c>
      <c r="S27" s="14" t="str" cm="1">
        <f t="array" ref="S27">INDEX('Procedures-ConceptMap-1'!$I$15:$N$125,Q27+1,R27)</f>
        <v>* group[=].element[+].code = #ProcedurePs.date</v>
      </c>
    </row>
    <row r="28" spans="1:19" x14ac:dyDescent="0.75">
      <c r="B28" s="9"/>
      <c r="C28" s="9"/>
      <c r="D28" s="14"/>
      <c r="E28" s="14"/>
      <c r="F28" s="63"/>
      <c r="G28" s="63"/>
      <c r="H28" s="64"/>
      <c r="I28" s="14"/>
      <c r="J28" s="14"/>
      <c r="K28" s="14"/>
      <c r="L28" s="14"/>
      <c r="M28" s="14"/>
      <c r="N28" s="14" t="str">
        <f t="shared" si="4"/>
        <v/>
      </c>
      <c r="P28" s="9">
        <v>14</v>
      </c>
      <c r="Q28" s="9">
        <f t="shared" si="6"/>
        <v>2</v>
      </c>
      <c r="R28" s="9">
        <f t="shared" si="14"/>
        <v>2</v>
      </c>
      <c r="S28" s="14" t="str" cm="1">
        <f t="array" ref="S28">INDEX('Procedures-ConceptMap-1'!$I$15:$N$125,Q28+1,R28)</f>
        <v>* group[=].element[=].display = ##34#A.2.3.3.3 Procedure date##34#</v>
      </c>
    </row>
    <row r="29" spans="1:19" x14ac:dyDescent="0.75">
      <c r="B29" s="9"/>
      <c r="C29" s="9"/>
      <c r="D29" s="14"/>
      <c r="E29" s="14"/>
      <c r="F29" s="63"/>
      <c r="G29" s="63"/>
      <c r="H29" s="64"/>
      <c r="I29" s="14"/>
      <c r="J29" s="14"/>
      <c r="K29" s="14"/>
      <c r="L29" s="14"/>
      <c r="M29" s="14"/>
      <c r="N29" s="14" t="str">
        <f t="shared" si="4"/>
        <v/>
      </c>
      <c r="P29" s="9">
        <v>15</v>
      </c>
      <c r="Q29" s="9">
        <f t="shared" si="6"/>
        <v>2</v>
      </c>
      <c r="R29" s="9">
        <f t="shared" si="14"/>
        <v>3</v>
      </c>
      <c r="S29" s="14" t="str" cm="1">
        <f t="array" ref="S29">INDEX('Procedures-ConceptMap-1'!$I$15:$N$125,Q29+1,R29)</f>
        <v>* group[=].element[=].target.code = #Procedure.performed[x]</v>
      </c>
    </row>
    <row r="30" spans="1:19" x14ac:dyDescent="0.75">
      <c r="B30" s="9"/>
      <c r="C30" s="9"/>
      <c r="D30" s="14"/>
      <c r="E30" s="14"/>
      <c r="F30" s="63"/>
      <c r="G30" s="63"/>
      <c r="H30" s="64"/>
      <c r="I30" s="14"/>
      <c r="J30" s="14"/>
      <c r="K30" s="14"/>
      <c r="L30" s="14"/>
      <c r="M30" s="14"/>
      <c r="N30" s="14" t="str">
        <f t="shared" si="4"/>
        <v/>
      </c>
      <c r="P30" s="9">
        <v>16</v>
      </c>
      <c r="Q30" s="9">
        <f t="shared" si="6"/>
        <v>2</v>
      </c>
      <c r="R30" s="9">
        <f t="shared" si="14"/>
        <v>4</v>
      </c>
      <c r="S30" s="14" t="str" cm="1">
        <f t="array" ref="S30">INDEX('Procedures-ConceptMap-1'!$I$15:$N$125,Q30+1,R30)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14"/>
        <v>5</v>
      </c>
      <c r="S31" s="14" t="str" cm="1">
        <f t="array" ref="S31">INDEX('Procedures-ConceptMap-1'!$I$15:$N$125,Q31+1,R31)</f>
        <v>* group[=].element[=].target.equivalence = #equivalent</v>
      </c>
    </row>
    <row r="32" spans="1:19" x14ac:dyDescent="0.75">
      <c r="B32" s="9"/>
      <c r="C32" s="9"/>
      <c r="D32" s="14"/>
      <c r="E32" s="14"/>
      <c r="F32" s="63"/>
      <c r="G32" s="63"/>
      <c r="H32" s="64"/>
      <c r="I32" s="14"/>
      <c r="J32" s="14"/>
      <c r="K32" s="14"/>
      <c r="L32" s="14"/>
      <c r="M32" s="14"/>
      <c r="N32" s="14" t="str">
        <f t="shared" si="4"/>
        <v/>
      </c>
      <c r="P32" s="9">
        <v>18</v>
      </c>
      <c r="Q32" s="9">
        <f t="shared" si="6"/>
        <v>2</v>
      </c>
      <c r="R32" s="9">
        <f t="shared" si="14"/>
        <v>6</v>
      </c>
      <c r="S32" s="14" t="str" cm="1">
        <f t="array" ref="S32">INDEX('Procedures-ConceptMap-1'!$I$15:$N$125,Q32+1,R32)</f>
        <v/>
      </c>
    </row>
    <row r="33" spans="1:20" x14ac:dyDescent="0.75">
      <c r="B33" s="9"/>
      <c r="C33" s="9"/>
      <c r="D33" s="14"/>
      <c r="E33" s="14"/>
      <c r="F33" s="63"/>
      <c r="G33" s="63"/>
      <c r="H33" s="64"/>
      <c r="I33" s="14"/>
      <c r="J33" s="14"/>
      <c r="K33" s="14"/>
      <c r="L33" s="14"/>
      <c r="M33" s="14"/>
      <c r="N33" s="14" t="str">
        <f t="shared" si="4"/>
        <v/>
      </c>
      <c r="P33" s="9">
        <v>19</v>
      </c>
      <c r="Q33" s="9">
        <f t="shared" si="6"/>
        <v>3</v>
      </c>
      <c r="R33" s="9">
        <f t="shared" si="14"/>
        <v>1</v>
      </c>
      <c r="S33" s="14" cm="1">
        <f t="array" ref="S33">INDEX('Procedures-ConceptMap-1'!$I$15:$N$125,Q33+1,R33)</f>
        <v>0</v>
      </c>
    </row>
    <row r="34" spans="1:20" x14ac:dyDescent="0.75">
      <c r="B34" s="9"/>
      <c r="C34" s="9"/>
      <c r="D34" s="14"/>
      <c r="E34" s="14"/>
      <c r="F34" s="63"/>
      <c r="G34" s="63"/>
      <c r="H34" s="64"/>
      <c r="I34" s="14"/>
      <c r="J34" s="14"/>
      <c r="K34" s="14"/>
      <c r="L34" s="14"/>
      <c r="M34" s="14"/>
      <c r="N34" s="14" t="str">
        <f t="shared" si="4"/>
        <v/>
      </c>
      <c r="P34" s="9">
        <v>20</v>
      </c>
      <c r="Q34" s="9">
        <f t="shared" si="6"/>
        <v>3</v>
      </c>
      <c r="R34" s="9">
        <f t="shared" si="14"/>
        <v>2</v>
      </c>
      <c r="S34" s="14" cm="1">
        <f t="array" ref="S34">INDEX('Procedures-ConceptMap-1'!$I$15:$N$125,Q34+1,R34)</f>
        <v>0</v>
      </c>
    </row>
    <row r="35" spans="1:20" x14ac:dyDescent="0.75">
      <c r="B35" s="9"/>
      <c r="C35" s="9"/>
      <c r="D35" s="14"/>
      <c r="E35" s="14"/>
      <c r="F35" s="63"/>
      <c r="G35" s="63"/>
      <c r="H35" s="64"/>
      <c r="I35" s="14"/>
      <c r="J35" s="14"/>
      <c r="K35" s="14"/>
      <c r="L35" s="14"/>
      <c r="M35" s="14"/>
      <c r="N35" s="14" t="str">
        <f t="shared" si="4"/>
        <v/>
      </c>
      <c r="P35" s="9">
        <v>21</v>
      </c>
      <c r="Q35" s="9">
        <f>IF(MOD(P35,$Q$8)=0,P35/$Q$8-1,INT(P35/$Q$8))</f>
        <v>3</v>
      </c>
      <c r="R35" s="9">
        <f>IF(MOD(P35,$Q$8)=0,$Q$8,MOD(P35,$Q$8))</f>
        <v>3</v>
      </c>
      <c r="S35" s="14" cm="1">
        <f t="array" ref="S35">INDEX('Procedures-ConceptMap-1'!$I$15:$N$125,Q35+1,R35)</f>
        <v>0</v>
      </c>
    </row>
    <row r="36" spans="1:20" x14ac:dyDescent="0.75">
      <c r="B36" s="9"/>
      <c r="C36" s="9"/>
      <c r="D36" s="14"/>
      <c r="E36" s="14"/>
      <c r="F36" s="63"/>
      <c r="G36" s="63"/>
      <c r="H36" s="64"/>
      <c r="I36" s="14"/>
      <c r="J36" s="14"/>
      <c r="K36" s="14"/>
      <c r="L36" s="14"/>
      <c r="M36" s="14"/>
      <c r="N36" s="14" t="str">
        <f t="shared" si="4"/>
        <v/>
      </c>
      <c r="P36" s="9">
        <v>22</v>
      </c>
      <c r="Q36" s="9">
        <f t="shared" si="6"/>
        <v>3</v>
      </c>
      <c r="R36" s="9">
        <f t="shared" ref="R36:R37" si="15">IF(MOD(P36,$Q$8)=0,$Q$8,MOD(P36,$Q$8))</f>
        <v>4</v>
      </c>
      <c r="S36" s="14" cm="1">
        <f t="array" ref="S36">INDEX('Procedures-ConceptMap-1'!$I$15:$N$125,Q36+1,R36)</f>
        <v>0</v>
      </c>
    </row>
    <row r="37" spans="1:20" s="1" customFormat="1" x14ac:dyDescent="0.75">
      <c r="A37"/>
      <c r="B37" s="9"/>
      <c r="C37" s="9"/>
      <c r="D37" s="14"/>
      <c r="E37" s="14"/>
      <c r="F37" s="63"/>
      <c r="G37" s="64"/>
      <c r="H37" s="64"/>
      <c r="I37" s="14"/>
      <c r="J37" s="14"/>
      <c r="K37" s="14"/>
      <c r="L37" s="14"/>
      <c r="M37" s="14"/>
      <c r="N37" s="14" t="str">
        <f t="shared" si="4"/>
        <v/>
      </c>
      <c r="P37" s="9">
        <v>23</v>
      </c>
      <c r="Q37" s="9">
        <f t="shared" si="6"/>
        <v>3</v>
      </c>
      <c r="R37" s="9">
        <f t="shared" si="15"/>
        <v>5</v>
      </c>
      <c r="S37" s="14" cm="1">
        <f t="array" ref="S37">INDEX('Procedures-ConceptMap-1'!$I$15:$N$125,Q37+1,R37)</f>
        <v>0</v>
      </c>
      <c r="T37"/>
    </row>
    <row r="38" spans="1:20" s="1" customFormat="1" x14ac:dyDescent="0.75">
      <c r="A38"/>
      <c r="B38" s="9"/>
      <c r="C38" s="9"/>
      <c r="D38" s="52"/>
      <c r="F38" s="64"/>
      <c r="G38" s="64"/>
      <c r="H38" s="64"/>
      <c r="I38" s="14"/>
      <c r="J38" s="14"/>
      <c r="K38" s="14"/>
      <c r="L38" s="14"/>
      <c r="M38" s="14"/>
      <c r="N38" s="14" t="str">
        <f t="shared" si="4"/>
        <v/>
      </c>
      <c r="P38" s="9">
        <v>25</v>
      </c>
      <c r="Q38" s="9">
        <f t="shared" ref="Q38" si="16">IF(MOD(P38,$Q$8)=0,P38/$Q$8-1,INT(P38/$Q$8))</f>
        <v>4</v>
      </c>
      <c r="R38" s="9">
        <f t="shared" ref="R38" si="17">IF(MOD(P38,$Q$8)=0,$Q$8,MOD(P38,$Q$8))</f>
        <v>1</v>
      </c>
      <c r="S38" s="14" cm="1">
        <f t="array" ref="S38">INDEX('Procedures-ConceptMap-1'!$I$15:$N$125,Q38+1,R38)</f>
        <v>0</v>
      </c>
      <c r="T38"/>
    </row>
    <row r="39" spans="1:20" s="1" customFormat="1" x14ac:dyDescent="0.75">
      <c r="A39"/>
      <c r="B39" s="9"/>
      <c r="C39" s="9"/>
      <c r="F39" s="64"/>
      <c r="G39" s="64"/>
      <c r="H39" s="64"/>
      <c r="I39" s="14"/>
      <c r="J39" s="14"/>
      <c r="K39" s="14"/>
      <c r="L39" s="14"/>
      <c r="M39" s="14"/>
      <c r="N39" s="14" t="str">
        <f t="shared" si="4"/>
        <v/>
      </c>
      <c r="P39" s="9"/>
      <c r="Q39" s="9"/>
      <c r="R39" s="9"/>
      <c r="S39" s="14"/>
      <c r="T39"/>
    </row>
    <row r="40" spans="1:20" s="1" customFormat="1" x14ac:dyDescent="0.75">
      <c r="A40"/>
      <c r="B40" s="9"/>
      <c r="C40" s="9"/>
      <c r="F40" s="64"/>
      <c r="G40" s="64"/>
      <c r="H40" s="64"/>
      <c r="I40" s="14"/>
      <c r="J40" s="14"/>
      <c r="K40" s="14"/>
      <c r="L40" s="14"/>
      <c r="M40" s="14"/>
      <c r="N40" s="14" t="str">
        <f t="shared" si="4"/>
        <v/>
      </c>
      <c r="P40" s="9"/>
      <c r="Q40" s="9"/>
      <c r="R40" s="9"/>
      <c r="S40" s="14"/>
      <c r="T40"/>
    </row>
    <row r="41" spans="1:20" s="1" customFormat="1" x14ac:dyDescent="0.75">
      <c r="A41"/>
      <c r="B41" s="9"/>
      <c r="C41" s="9"/>
      <c r="F41" s="64"/>
      <c r="G41" s="64"/>
      <c r="H41" s="64"/>
      <c r="I41" s="14"/>
      <c r="J41" s="14"/>
      <c r="K41" s="14"/>
      <c r="L41" s="14"/>
      <c r="M41" s="14"/>
      <c r="N41" s="14" t="str">
        <f t="shared" si="4"/>
        <v/>
      </c>
      <c r="P41" s="9"/>
      <c r="Q41" s="9"/>
      <c r="R41" s="9"/>
      <c r="S41" s="14"/>
      <c r="T41"/>
    </row>
    <row r="42" spans="1:20" s="1" customFormat="1" x14ac:dyDescent="0.75">
      <c r="A42"/>
      <c r="B42" s="9"/>
      <c r="C42" s="9"/>
      <c r="F42" s="64"/>
      <c r="G42" s="64"/>
      <c r="H42" s="64"/>
      <c r="I42" s="14"/>
      <c r="J42" s="14"/>
      <c r="K42" s="14"/>
      <c r="L42" s="14"/>
      <c r="M42" s="14"/>
      <c r="N42" s="14" t="str">
        <f t="shared" si="4"/>
        <v/>
      </c>
      <c r="P42" s="9"/>
      <c r="Q42" s="9"/>
      <c r="R42" s="9"/>
      <c r="S42" s="14"/>
      <c r="T42"/>
    </row>
    <row r="43" spans="1:20" s="1" customFormat="1" x14ac:dyDescent="0.75">
      <c r="A43"/>
      <c r="B43" s="9"/>
      <c r="C43" s="9"/>
      <c r="F43" s="64"/>
      <c r="G43" s="64"/>
      <c r="H43" s="64"/>
      <c r="I43" s="14"/>
      <c r="J43" s="14"/>
      <c r="K43" s="14"/>
      <c r="L43" s="14"/>
      <c r="M43" s="14"/>
      <c r="N43" s="14" t="str">
        <f t="shared" si="4"/>
        <v/>
      </c>
      <c r="P43" s="9"/>
      <c r="Q43" s="9"/>
      <c r="R43" s="9"/>
      <c r="S43" s="14"/>
      <c r="T43"/>
    </row>
    <row r="44" spans="1:20" s="1" customFormat="1" x14ac:dyDescent="0.75">
      <c r="A44"/>
      <c r="B44" s="9"/>
      <c r="C44"/>
      <c r="F44" s="64"/>
      <c r="G44" s="64"/>
      <c r="H44" s="64"/>
      <c r="I44" s="14"/>
      <c r="J44" s="14"/>
      <c r="K44" s="14"/>
      <c r="L44" s="14"/>
      <c r="M44" s="14"/>
      <c r="N44" s="14" t="str">
        <f t="shared" si="4"/>
        <v/>
      </c>
      <c r="P44" s="9"/>
      <c r="Q44" s="9"/>
      <c r="R44" s="9"/>
      <c r="S44" s="14"/>
      <c r="T44"/>
    </row>
    <row r="45" spans="1:20" s="1" customFormat="1" x14ac:dyDescent="0.75">
      <c r="A45"/>
      <c r="B45" s="9"/>
      <c r="C45"/>
      <c r="F45" s="64"/>
      <c r="G45" s="64"/>
      <c r="H45" s="64"/>
      <c r="I45" s="14"/>
      <c r="J45" s="14"/>
      <c r="K45" s="14"/>
      <c r="L45" s="14"/>
      <c r="M45" s="14"/>
      <c r="N45" s="14" t="str">
        <f t="shared" si="4"/>
        <v/>
      </c>
      <c r="P45" s="9"/>
      <c r="Q45" s="9"/>
      <c r="R45" s="9"/>
      <c r="S45" s="14"/>
      <c r="T45"/>
    </row>
  </sheetData>
  <mergeCells count="4">
    <mergeCell ref="E3:G3"/>
    <mergeCell ref="E4:G4"/>
    <mergeCell ref="E6:G6"/>
    <mergeCell ref="E7:G7"/>
  </mergeCells>
  <hyperlinks>
    <hyperlink ref="E3" r:id="rId1" display="http://hl7.eu/fhir/laboratory/StructureDefinition/LeaglAu" xr:uid="{D0ECFFB9-3E36-4F90-9709-0A7D371A6D32}"/>
    <hyperlink ref="E6" r:id="rId2" display="http://hl7.eu/fhir/laboratory/StructureDefinition/Recipient" xr:uid="{2162B1E8-B145-4CD1-8F90-E2A36D27C353}"/>
    <hyperlink ref="E7" r:id="rId3" display="http://hl7.eu/fhir/StructureDefinition/information-recipient" xr:uid="{84EB90BF-AA7C-43E5-8A98-991742EB91E2}"/>
    <hyperlink ref="E4" r:id="rId4" xr:uid="{CCE94865-88FF-4FFD-8539-D22E1163B6FF}"/>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6564E-B39A-4DD1-BBA0-50AC75946D8E}">
  <sheetPr codeName="Foglio44">
    <tabColor theme="0" tint="-0.34998626667073579"/>
  </sheetPr>
  <dimension ref="B1:G208"/>
  <sheetViews>
    <sheetView workbookViewId="0">
      <selection activeCell="I8" sqref="I8:I1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1202</v>
      </c>
    </row>
    <row r="3" spans="2:7" x14ac:dyDescent="0.75">
      <c r="B3" s="32" t="s">
        <v>37</v>
      </c>
    </row>
    <row r="4" spans="2:7" x14ac:dyDescent="0.75">
      <c r="B4" s="65" t="str">
        <f>"Instance: "&amp;'Procedures-ConceptMap-1'!C4</f>
        <v>Instance: procedure2FHIR-eu-ps</v>
      </c>
    </row>
    <row r="5" spans="2:7" x14ac:dyDescent="0.75">
      <c r="B5" s="65" t="s">
        <v>196</v>
      </c>
    </row>
    <row r="6" spans="2:7" x14ac:dyDescent="0.75">
      <c r="B6" s="65" t="s">
        <v>197</v>
      </c>
    </row>
    <row r="7" spans="2:7" x14ac:dyDescent="0.75">
      <c r="B7" s="65" t="s">
        <v>203</v>
      </c>
    </row>
    <row r="8" spans="2:7" x14ac:dyDescent="0.75">
      <c r="B8" s="65" t="str">
        <f>"* name = ##34#"&amp;'Procedures-ConceptMap-1'!C3&amp;"##34#"</f>
        <v>* name = ##34#Procedure2Fhir##34#</v>
      </c>
    </row>
    <row r="9" spans="2:7" x14ac:dyDescent="0.75">
      <c r="B9" s="65" t="str">
        <f>"* title = ##34#"&amp;'Procedures-ConceptMap-1'!C5&amp;"##34#"</f>
        <v>* title = ##34#eHN Recipient to this guide Map##34#</v>
      </c>
    </row>
    <row r="10" spans="2:7" x14ac:dyDescent="0.75">
      <c r="B10" s="65" t="s">
        <v>198</v>
      </c>
    </row>
    <row r="11" spans="2:7" x14ac:dyDescent="0.75">
      <c r="B11" s="65" t="s">
        <v>199</v>
      </c>
    </row>
    <row r="12" spans="2:7" x14ac:dyDescent="0.75">
      <c r="B12" s="65" t="str">
        <f>"* description = ##34#"&amp;'Procedures-ConceptMap-1'!C8&amp;"##34#"</f>
        <v>* description = ##34#eHN Medical Devices Model to this guide Map##34#</v>
      </c>
    </row>
    <row r="13" spans="2:7" x14ac:dyDescent="0.75">
      <c r="B13" s="65" t="str">
        <f>"* purpose = ##34#"&amp;'Procedures-ConceptMap-1'!C9&amp;"##34#"</f>
        <v>* purpose = ##34#It shows how theMedical Devices Recipient data set defined by the EU eHN guidelines is mapped into this guide##34#</v>
      </c>
    </row>
    <row r="14" spans="2:7" x14ac:dyDescent="0.75">
      <c r="B14" s="66" t="str">
        <f>"* sourceUri = ##34#"&amp;'Procedures-ConceptMap-1'!E3&amp;"##34#"</f>
        <v>* sourceUri = ##34#http://hl7.eu/fhir/ig/xpandh/ps/StructureDefinition/ProcedurePs##34#</v>
      </c>
    </row>
    <row r="15" spans="2:7" x14ac:dyDescent="0.75">
      <c r="B15" s="66" t="str">
        <f>"* targetUri = ##34#"&amp;'Procedures-ConceptMap-1'!E4&amp;"##34#"</f>
        <v>* targetUri = ##34#http://hl7.eu/fhir/ig/xpandh/ps/StructureDefinition/Procedure-ps-xpandh##34#</v>
      </c>
    </row>
    <row r="16" spans="2:7" x14ac:dyDescent="0.75">
      <c r="B16" s="65"/>
    </row>
    <row r="17" spans="2:7" x14ac:dyDescent="0.75">
      <c r="B17" s="67" t="str">
        <f>"* group[+].source = ##34#"&amp;'Procedures-ConceptMap-1'!E6&amp;"##34#"</f>
        <v>* group[+].source = ##34#http://hl7.eu/fhir/ig/xpandh/ps/StructureDefinition/ProcedurePs##34#</v>
      </c>
    </row>
    <row r="18" spans="2:7" x14ac:dyDescent="0.75">
      <c r="B18" s="67" t="str">
        <f>"* group[=].target = ##34#"&amp;'Procedures-ConceptMap-1'!E7&amp;"##34#"</f>
        <v>* group[=].target = ##34#http://hl7.eu/fhir/ig/xpandh/ps/StructureDefinition/Procedure-ps-xpandh##34#</v>
      </c>
    </row>
    <row r="19" spans="2:7" x14ac:dyDescent="0.75">
      <c r="B19" s="69"/>
    </row>
    <row r="20" spans="2:7" x14ac:dyDescent="0.75">
      <c r="B20" s="14" t="str">
        <f>IF('Procedures-ConceptMap-1'!S15=0,"//---END",'Procedures-ConceptMap-1'!S15)</f>
        <v>* group[=].element[+].code = #ProcedurePs.description</v>
      </c>
    </row>
    <row r="21" spans="2:7" x14ac:dyDescent="0.75">
      <c r="B21" s="14" t="str">
        <f>IF('Procedures-ConceptMap-1'!S16=0,"//---END",'Procedures-ConceptMap-1'!S16)</f>
        <v>* group[=].element[=].display = ##34#A.2.3.3.1 Procedure description##34#</v>
      </c>
    </row>
    <row r="22" spans="2:7" x14ac:dyDescent="0.75">
      <c r="B22" s="14" t="str">
        <f>IF('Procedures-ConceptMap-1'!S17=0,"//---END",'Procedures-ConceptMap-1'!S17)</f>
        <v>* group[=].element[=].target.code = #Procedure.code</v>
      </c>
    </row>
    <row r="23" spans="2:7" x14ac:dyDescent="0.75">
      <c r="B23" s="14" t="str">
        <f>IF('Procedures-ConceptMap-1'!S18=0,"//---END",'Procedures-ConceptMap-1'!S18)</f>
        <v>* group[=].element[=].target.display = ##34###34#</v>
      </c>
    </row>
    <row r="24" spans="2:7" x14ac:dyDescent="0.75">
      <c r="B24" s="14" t="str">
        <f>IF('Procedures-ConceptMap-1'!S19=0,"//---END",'Procedures-ConceptMap-1'!S19)</f>
        <v>* group[=].element[=].target.equivalence = #equivalent</v>
      </c>
    </row>
    <row r="25" spans="2:7" x14ac:dyDescent="0.75">
      <c r="B25" s="14" t="str">
        <f>IF('Procedures-ConceptMap-1'!S20=0,"//---END",'Procedures-ConceptMap-1'!S20)</f>
        <v/>
      </c>
      <c r="G25" s="10"/>
    </row>
    <row r="26" spans="2:7" x14ac:dyDescent="0.75">
      <c r="B26" s="14" t="str">
        <f>IF('Procedures-ConceptMap-1'!S21=0,"//---END",'Procedures-ConceptMap-1'!S21)</f>
        <v>* group[=].element[+].code = #ProcedurePs.bodySite</v>
      </c>
    </row>
    <row r="27" spans="2:7" x14ac:dyDescent="0.75">
      <c r="B27" s="14" t="str">
        <f>IF('Procedures-ConceptMap-1'!S22=0,"//---END",'Procedures-ConceptMap-1'!S22)</f>
        <v>* group[=].element[=].display = ##34#A.2.3.3.2 Body site##34#</v>
      </c>
    </row>
    <row r="28" spans="2:7" x14ac:dyDescent="0.75">
      <c r="B28" s="14" t="str">
        <f>IF('Procedures-ConceptMap-1'!S23=0,"//---END",'Procedures-ConceptMap-1'!S23)</f>
        <v>* group[=].element[=].target.code = #Procedure.bodySite</v>
      </c>
    </row>
    <row r="29" spans="2:7" x14ac:dyDescent="0.75">
      <c r="B29" s="14" t="str">
        <f>IF('Procedures-ConceptMap-1'!S24=0,"//---END",'Procedures-ConceptMap-1'!S24)</f>
        <v>* group[=].element[=].target.display = ##34###34#</v>
      </c>
    </row>
    <row r="30" spans="2:7" x14ac:dyDescent="0.75">
      <c r="B30" s="14" t="str">
        <f>IF('Procedures-ConceptMap-1'!S25=0,"//---END",'Procedures-ConceptMap-1'!S25)</f>
        <v>* group[=].element[=].target.equivalence = #equivalent</v>
      </c>
    </row>
    <row r="31" spans="2:7" x14ac:dyDescent="0.75">
      <c r="B31" s="14" t="str">
        <f>IF('Procedures-ConceptMap-1'!S26=0,"//---END",'Procedures-ConceptMap-1'!S26)</f>
        <v/>
      </c>
    </row>
    <row r="32" spans="2:7" x14ac:dyDescent="0.75">
      <c r="B32" s="14" t="str">
        <f>IF('Procedures-ConceptMap-1'!S27=0,"//---END",'Procedures-ConceptMap-1'!S27)</f>
        <v>* group[=].element[+].code = #ProcedurePs.date</v>
      </c>
    </row>
    <row r="33" spans="2:2" x14ac:dyDescent="0.75">
      <c r="B33" s="14" t="str">
        <f>IF('Procedures-ConceptMap-1'!S28=0,"//---END",'Procedures-ConceptMap-1'!S28)</f>
        <v>* group[=].element[=].display = ##34#A.2.3.3.3 Procedure date##34#</v>
      </c>
    </row>
    <row r="34" spans="2:2" x14ac:dyDescent="0.75">
      <c r="B34" s="14" t="str">
        <f>IF('Procedures-ConceptMap-1'!S29=0,"//---END",'Procedures-ConceptMap-1'!S29)</f>
        <v>* group[=].element[=].target.code = #Procedure.performed[x]</v>
      </c>
    </row>
    <row r="35" spans="2:2" x14ac:dyDescent="0.75">
      <c r="B35" s="14" t="str">
        <f>IF('Procedures-ConceptMap-1'!S30=0,"//---END",'Procedures-ConceptMap-1'!S30)</f>
        <v>* group[=].element[=].target.display = ##34###34#</v>
      </c>
    </row>
    <row r="36" spans="2:2" x14ac:dyDescent="0.75">
      <c r="B36" s="14" t="str">
        <f>IF('Procedures-ConceptMap-1'!S31=0,"//---END",'Procedures-ConceptMap-1'!S31)</f>
        <v>* group[=].element[=].target.equivalence = #equivalent</v>
      </c>
    </row>
    <row r="37" spans="2:2" x14ac:dyDescent="0.75">
      <c r="B37" s="14" t="str">
        <f>IF('Procedures-ConceptMap-1'!S32=0,"//---END",'Procedures-ConceptMap-1'!S32)</f>
        <v/>
      </c>
    </row>
    <row r="38" spans="2:2" x14ac:dyDescent="0.75">
      <c r="B38" s="14" t="str">
        <f>IF('Procedures-ConceptMap-1'!S33=0,"//---END",'Procedures-ConceptMap-1'!S33)</f>
        <v>//---END</v>
      </c>
    </row>
    <row r="39" spans="2:2" x14ac:dyDescent="0.75">
      <c r="B39" s="14" t="str">
        <f>IF('Procedures-ConceptMap-1'!S34=0,"//---END",'Procedures-ConceptMap-1'!S34)</f>
        <v>//---END</v>
      </c>
    </row>
    <row r="40" spans="2:2" x14ac:dyDescent="0.75">
      <c r="B40" s="14" t="str">
        <f>IF('Procedures-ConceptMap-1'!S35=0,"//---END",'Procedures-ConceptMap-1'!S35)</f>
        <v>//---END</v>
      </c>
    </row>
    <row r="41" spans="2:2" x14ac:dyDescent="0.75">
      <c r="B41" s="14" t="str">
        <f>IF('Procedures-ConceptMap-1'!S36=0,"//---END",'Procedures-ConceptMap-1'!S36)</f>
        <v>//---END</v>
      </c>
    </row>
    <row r="42" spans="2:2" x14ac:dyDescent="0.75">
      <c r="B42" s="14" t="str">
        <f>IF('Procedures-ConceptMap-1'!S37=0,"//---END",'Procedures-ConceptMap-1'!S37)</f>
        <v>//---END</v>
      </c>
    </row>
    <row r="43" spans="2:2" x14ac:dyDescent="0.75">
      <c r="B43" s="14" t="str">
        <f>IF('Procedures-ConceptMap-1'!S37=0,"//---END",'Procedures-ConceptMap-1'!S37)</f>
        <v>//---END</v>
      </c>
    </row>
    <row r="44" spans="2:2" x14ac:dyDescent="0.75">
      <c r="B44" s="14" t="str">
        <f>IF('Procedures-ConceptMap-1'!S38=0,"//---END",'Procedures-ConceptMap-1'!S38)</f>
        <v>//---END</v>
      </c>
    </row>
    <row r="45" spans="2:2" x14ac:dyDescent="0.75">
      <c r="B45" s="14" t="str">
        <f>IF('Procedures-ConceptMap-1'!S39=0,"//---END",'Procedures-ConceptMap-1'!S39)</f>
        <v>//---END</v>
      </c>
    </row>
    <row r="46" spans="2:2" x14ac:dyDescent="0.75">
      <c r="B46" s="14"/>
    </row>
    <row r="47" spans="2:2" x14ac:dyDescent="0.75">
      <c r="B47" s="14"/>
    </row>
    <row r="48" spans="2:2" x14ac:dyDescent="0.75">
      <c r="B48" s="14"/>
    </row>
    <row r="49" spans="2:2" x14ac:dyDescent="0.75">
      <c r="B49" s="14"/>
    </row>
    <row r="50" spans="2:2" x14ac:dyDescent="0.75">
      <c r="B50" s="14"/>
    </row>
    <row r="51" spans="2:2" x14ac:dyDescent="0.75">
      <c r="B51" s="14"/>
    </row>
    <row r="52" spans="2:2" x14ac:dyDescent="0.75">
      <c r="B52" s="14"/>
    </row>
    <row r="53" spans="2:2" x14ac:dyDescent="0.75">
      <c r="B53" s="14"/>
    </row>
    <row r="54" spans="2:2" x14ac:dyDescent="0.75">
      <c r="B54" s="14"/>
    </row>
    <row r="55" spans="2:2" x14ac:dyDescent="0.75">
      <c r="B55"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273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53DB3-64B9-45AF-B64C-478523D5D195}">
  <sheetPr codeName="Foglio35">
    <tabColor theme="7" tint="0.39997558519241921"/>
  </sheetPr>
  <dimension ref="A1:L30"/>
  <sheetViews>
    <sheetView topLeftCell="B1" workbookViewId="0">
      <selection activeCell="F9" sqref="F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1164</v>
      </c>
      <c r="I4" s="24" t="str">
        <f>CONCATENATE("Logical: ",B4)</f>
        <v>Logical: MedicalDevicePsEhn</v>
      </c>
    </row>
    <row r="5" spans="1:11" x14ac:dyDescent="0.75">
      <c r="A5" s="17" t="s">
        <v>19</v>
      </c>
      <c r="B5" s="33" t="s">
        <v>1165</v>
      </c>
      <c r="I5" s="24" t="str">
        <f>CONCATENATE("Id: ",B5)</f>
        <v>Id: MedicalDevice</v>
      </c>
    </row>
    <row r="6" spans="1:11" x14ac:dyDescent="0.75">
      <c r="A6" s="17" t="s">
        <v>13</v>
      </c>
      <c r="B6" s="18" t="s">
        <v>838</v>
      </c>
      <c r="I6" s="25" t="str">
        <f>CONCATENATE("Title: ##34#",B6,"##34#")</f>
        <v>Title: ##34#A.2.3.2 - Medical devices and implants##34#</v>
      </c>
    </row>
    <row r="7" spans="1:11" ht="29.5" x14ac:dyDescent="0.75">
      <c r="A7" s="43" t="s">
        <v>5</v>
      </c>
      <c r="B7" s="50" t="s">
        <v>1163</v>
      </c>
      <c r="C7" s="12"/>
      <c r="D7" s="2"/>
      <c r="E7" s="49"/>
      <c r="F7" s="3" t="s">
        <v>9</v>
      </c>
      <c r="G7" s="3" t="s">
        <v>10</v>
      </c>
      <c r="I7" s="25" t="str">
        <f>CONCATENATE("Description: "," ##334#",B7,"##334#",)</f>
        <v>Description:  ##334#Medical devices and implants
Section A.2.3.2 of the eHN guideline.##334#</v>
      </c>
    </row>
    <row r="8" spans="1:11" ht="74.5" customHeight="1" x14ac:dyDescent="0.75">
      <c r="A8" s="9">
        <v>1</v>
      </c>
      <c r="B8" s="9" t="s">
        <v>204</v>
      </c>
      <c r="C8" s="9" t="s">
        <v>1166</v>
      </c>
      <c r="D8" s="14" t="s">
        <v>1170</v>
      </c>
      <c r="E8" s="9">
        <v>0</v>
      </c>
      <c r="F8" s="9" t="s">
        <v>11</v>
      </c>
      <c r="G8" s="9" t="s">
        <v>1</v>
      </c>
      <c r="H8" s="22"/>
      <c r="I8" s="14" t="str">
        <f>CONCATENATE("* ",B8, " ",E8,"..",F8," ",G8," ##34#",C8,"##34# ##334#",D8,"##334#")</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1:11" ht="45" thickBot="1" x14ac:dyDescent="0.9">
      <c r="A9" s="9">
        <v>2</v>
      </c>
      <c r="B9" s="9" t="s">
        <v>136</v>
      </c>
      <c r="C9" s="9" t="s">
        <v>1167</v>
      </c>
      <c r="D9" s="94" t="s">
        <v>659</v>
      </c>
      <c r="E9" s="9">
        <v>0</v>
      </c>
      <c r="F9" s="9" t="s">
        <v>11</v>
      </c>
      <c r="G9" s="9" t="s">
        <v>0</v>
      </c>
      <c r="H9" s="22"/>
      <c r="I9" s="14" t="str">
        <f t="shared" ref="I9:I14" si="0">CONCATENATE("* ",B9, " ",E9,"..",F9," ",G9," ##34#",C9,"##34# ##334#",D9,"##334#")</f>
        <v>* identifier 0..* Identifier ##34#A.2.3.2.2 Device ID##34# ##334#Normalised identifier of the device instance such as UDI according to REGULATION (EU) 2017/745##334#</v>
      </c>
    </row>
    <row r="10" spans="1:11" ht="30.25" customHeight="1" x14ac:dyDescent="0.75">
      <c r="A10" s="9">
        <v>3</v>
      </c>
      <c r="B10" s="9" t="s">
        <v>1173</v>
      </c>
      <c r="C10" s="9" t="s">
        <v>1168</v>
      </c>
      <c r="D10" s="14" t="s">
        <v>1171</v>
      </c>
      <c r="E10" s="9">
        <v>0</v>
      </c>
      <c r="F10" s="9" t="s">
        <v>11</v>
      </c>
      <c r="G10" s="9" t="s">
        <v>2</v>
      </c>
      <c r="H10" s="22"/>
      <c r="I10" s="14" t="str">
        <f t="shared" si="0"/>
        <v>* implantDate 0..* dateTime ##34#A.2.3.2.3 Implant date##34# ##334#Date when procedure was performed - Preferred system(s): ISO 8601##334#</v>
      </c>
    </row>
    <row r="11" spans="1:11" ht="45" customHeight="1" x14ac:dyDescent="0.75">
      <c r="A11" s="51">
        <v>4</v>
      </c>
      <c r="B11" s="51" t="s">
        <v>891</v>
      </c>
      <c r="C11" t="s">
        <v>1169</v>
      </c>
      <c r="D11" s="52" t="s">
        <v>1172</v>
      </c>
      <c r="E11" s="51">
        <v>0</v>
      </c>
      <c r="F11" s="51">
        <v>1</v>
      </c>
      <c r="G11" s="51" t="s">
        <v>2</v>
      </c>
      <c r="H11" s="22"/>
      <c r="I11" s="14" t="str">
        <f t="shared" si="0"/>
        <v>* endDate 0..1 dateTime ##34#A.2.3.2.4 End date##34# ##334#Date when the device was explanted from the patient or the external device was no longer in use; likewise when the device is planned to be explanted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2"/>
      <c r="E26" s="152"/>
      <c r="F26" s="153"/>
    </row>
    <row r="27" spans="2:9" ht="384.75" customHeight="1" thickBot="1" x14ac:dyDescent="0.9">
      <c r="B27" t="str">
        <f t="shared" ref="B27:B30" si="2">CONCATENATE(C27," ",D27)</f>
        <v>A.2.3.2.1 Device and implant description</v>
      </c>
      <c r="C27" s="93" t="s">
        <v>730</v>
      </c>
      <c r="D27" s="94" t="s">
        <v>655</v>
      </c>
      <c r="E27" s="94" t="s">
        <v>656</v>
      </c>
      <c r="F27" s="94" t="s">
        <v>657</v>
      </c>
      <c r="I27" s="1" t="str">
        <f t="shared" ref="I27:I30" si="3">CONCATENATE(E27," - Preferred system(s): ",F27)</f>
        <v>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v>
      </c>
    </row>
    <row r="28" spans="2:9" ht="177.75" thickBot="1" x14ac:dyDescent="0.9">
      <c r="B28" t="str">
        <f t="shared" si="2"/>
        <v>A.2.3.2.2 Device ID</v>
      </c>
      <c r="C28" s="93" t="s">
        <v>731</v>
      </c>
      <c r="D28" s="94" t="s">
        <v>658</v>
      </c>
      <c r="E28" s="94" t="s">
        <v>659</v>
      </c>
      <c r="F28" s="94"/>
      <c r="I28" s="1" t="str">
        <f t="shared" si="3"/>
        <v xml:space="preserve">Normalised identifier of the device instance such as UDI according to REGULATION (EU) 2017/745 - Preferred system(s): </v>
      </c>
    </row>
    <row r="29" spans="2:9" ht="59.75" thickBot="1" x14ac:dyDescent="0.9">
      <c r="B29" t="str">
        <f t="shared" si="2"/>
        <v>A.2.3.2.3 Implant date</v>
      </c>
      <c r="C29" s="93" t="s">
        <v>732</v>
      </c>
      <c r="D29" s="94" t="s">
        <v>660</v>
      </c>
      <c r="E29" s="94" t="s">
        <v>661</v>
      </c>
      <c r="F29" s="94" t="s">
        <v>94</v>
      </c>
      <c r="I29" s="1" t="str">
        <f t="shared" si="3"/>
        <v>Date when procedure was performed - Preferred system(s): ISO 8601</v>
      </c>
    </row>
    <row r="30" spans="2:9" ht="251.5" thickBot="1" x14ac:dyDescent="0.9">
      <c r="B30" t="str">
        <f t="shared" si="2"/>
        <v>A.2.3.2.4 End date</v>
      </c>
      <c r="C30" s="93" t="s">
        <v>733</v>
      </c>
      <c r="D30" s="94" t="s">
        <v>640</v>
      </c>
      <c r="E30" s="94" t="s">
        <v>662</v>
      </c>
      <c r="F30" s="94" t="s">
        <v>94</v>
      </c>
      <c r="I30" s="1" t="str">
        <f t="shared" si="3"/>
        <v>Date when the device was explanted from the patient or the external device was no longer in use; likewise when the device is planned to be explanted - Preferred system(s): ISO 8601</v>
      </c>
    </row>
  </sheetData>
  <mergeCells count="1">
    <mergeCell ref="C26:F26"/>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3D0AB-00D7-43DA-877E-679B4DC49405}">
  <sheetPr codeName="Foglio31">
    <tabColor theme="8" tint="-0.249977111117893"/>
  </sheetPr>
  <dimension ref="C1:G14"/>
  <sheetViews>
    <sheetView workbookViewId="0">
      <selection activeCell="F9" sqref="F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'A.2.3.2 Devices'!I1</f>
        <v>// -------------------------------------------------------------------------------</v>
      </c>
    </row>
    <row r="2" spans="3:7" ht="16.75" thickBot="1" x14ac:dyDescent="0.9">
      <c r="C2" s="32" t="str">
        <f>'A.2.3.2 Devices'!I2</f>
        <v>//  Logical Model</v>
      </c>
      <c r="G2" s="48" t="s">
        <v>1174</v>
      </c>
    </row>
    <row r="3" spans="3:7" x14ac:dyDescent="0.75">
      <c r="C3" s="32" t="str">
        <f>'A.2.3.2 Devices'!I3</f>
        <v>// -------------------------------------------------------------------------------</v>
      </c>
    </row>
    <row r="4" spans="3:7" x14ac:dyDescent="0.75">
      <c r="C4" s="24" t="str">
        <f>'A.2.3.2 Devices'!I4</f>
        <v>Logical: MedicalDevicePsEhn</v>
      </c>
    </row>
    <row r="5" spans="3:7" x14ac:dyDescent="0.75">
      <c r="C5" s="24" t="str">
        <f>'A.2.3.2 Devices'!I5</f>
        <v>Id: MedicalDevice</v>
      </c>
    </row>
    <row r="6" spans="3:7" x14ac:dyDescent="0.75">
      <c r="C6" s="24" t="str">
        <f>'A.2.3.2 Devices'!I6</f>
        <v>Title: ##34#A.2.3.2 - Medical devices and implants##34#</v>
      </c>
    </row>
    <row r="7" spans="3:7" ht="29.5" x14ac:dyDescent="0.75">
      <c r="C7" s="24" t="str">
        <f>'A.2.3.2 Devices'!I7</f>
        <v>Description:  ##334#Medical devices and implants
Section A.2.3.2 of the eHN guideline.##334#</v>
      </c>
    </row>
    <row r="8" spans="3:7" ht="59" x14ac:dyDescent="0.75">
      <c r="C8" s="14" t="str">
        <f>IF('A.2.3.2 Devices'!I8="*  ..  ##34###34# ##334###334#","//--- END",'A.2.3.2 Devices'!I8)</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3:7" ht="29.5" x14ac:dyDescent="0.75">
      <c r="C9" s="14" t="str">
        <f>IF('A.2.3.2 Devices'!I9="*  ..  ##34###34# ##334###334#","//--- END",'A.2.3.2 Devices'!I9)</f>
        <v>* identifier 0..* Identifier ##34#A.2.3.2.2 Device ID##34# ##334#Normalised identifier of the device instance such as UDI according to REGULATION (EU) 2017/745##334#</v>
      </c>
    </row>
    <row r="10" spans="3:7" ht="29.5" x14ac:dyDescent="0.75">
      <c r="C10" s="14" t="str">
        <f>IF('A.2.3.2 Devices'!I10="*  ..  ##34###34# ##334###334#","//--- END",'A.2.3.2 Devices'!I10)</f>
        <v>* implantDate 0..* dateTime ##34#A.2.3.2.3 Implant date##34# ##334#Date when procedure was performed - Preferred system(s): ISO 8601##334#</v>
      </c>
      <c r="E10" t="s">
        <v>116</v>
      </c>
    </row>
    <row r="11" spans="3:7" ht="44.25" x14ac:dyDescent="0.75">
      <c r="C11" s="14" t="str">
        <f>IF('A.2.3.2 Devices'!I11="*  ..  ##34###34# ##334###334#","//--- END",'A.2.3.2 Devices'!I11)</f>
        <v>* endDate 0..1 dateTime ##34#A.2.3.2.4 End date##34# ##334#Date when the device was explanted from the patient or the external device was no longer in use; likewise when the device is planned to be explanted - Preferred system(s): ISO 8601##334#</v>
      </c>
    </row>
    <row r="12" spans="3:7" x14ac:dyDescent="0.75">
      <c r="C12" s="14" t="str">
        <f>IF('A.2.3.2 Devices'!I12="*  ..  ##34###34# ##334###334#","//--- END",'A.2.3.2 Devices'!I12)</f>
        <v>//--- END</v>
      </c>
    </row>
    <row r="13" spans="3:7" x14ac:dyDescent="0.75">
      <c r="C13" s="14" t="str">
        <f>IF('A.2.3.2 Devices'!I13="*  ..  ##34###34# ##334###334#","//--- END",'A.2.3.2 Devices'!I13)</f>
        <v>//--- END</v>
      </c>
    </row>
    <row r="14" spans="3:7" x14ac:dyDescent="0.75">
      <c r="C14" s="14" t="str">
        <f>IF('A.2.3.2 Devices'!I14="*  ..  ##34###34# ##334###334#","//--- END",'A.2.3.2 Devices'!I14)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232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99B85-564F-4E62-A3C7-CFE333C01E47}">
  <sheetPr codeName="Foglio64">
    <tabColor theme="0" tint="-0.499984740745262"/>
  </sheetPr>
  <dimension ref="A2:T46"/>
  <sheetViews>
    <sheetView topLeftCell="D1" workbookViewId="0">
      <selection activeCell="G5" sqref="G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1175</v>
      </c>
      <c r="D3" s="61" t="s">
        <v>208</v>
      </c>
      <c r="E3" s="165" t="str">
        <f>"http://hl7.eu/fhir/ig/xpandh/ps/StructureDefinition/"&amp;'A.2.3.2 Devices'!B5</f>
        <v>http://hl7.eu/fhir/ig/xpandh/ps/StructureDefinition/MedicalDevice</v>
      </c>
      <c r="F3" s="164"/>
      <c r="G3" s="164"/>
    </row>
    <row r="4" spans="1:19" x14ac:dyDescent="0.75">
      <c r="B4" s="61" t="s">
        <v>19</v>
      </c>
      <c r="C4" s="47" t="s">
        <v>1176</v>
      </c>
      <c r="D4" s="61" t="s">
        <v>209</v>
      </c>
      <c r="E4" s="165" t="s">
        <v>1306</v>
      </c>
      <c r="F4" s="164"/>
      <c r="G4" s="164"/>
    </row>
    <row r="5" spans="1:19" x14ac:dyDescent="0.75">
      <c r="B5" s="61" t="s">
        <v>13</v>
      </c>
      <c r="C5" s="10" t="s">
        <v>226</v>
      </c>
      <c r="D5" s="61"/>
      <c r="E5" s="10"/>
    </row>
    <row r="6" spans="1:19" x14ac:dyDescent="0.75">
      <c r="B6" s="61" t="s">
        <v>35</v>
      </c>
      <c r="C6" s="60"/>
      <c r="D6" s="61" t="s">
        <v>206</v>
      </c>
      <c r="E6" s="165" t="str">
        <f>E3</f>
        <v>http://hl7.eu/fhir/ig/xpandh/ps/StructureDefinition/MedicalDevice</v>
      </c>
      <c r="F6" s="164"/>
      <c r="G6" s="164"/>
    </row>
    <row r="7" spans="1:19" x14ac:dyDescent="0.75">
      <c r="B7" s="61" t="s">
        <v>18</v>
      </c>
      <c r="C7" s="68"/>
      <c r="D7" s="61" t="s">
        <v>207</v>
      </c>
      <c r="E7" s="165" t="str">
        <f>E4</f>
        <v>http://hl7.eu/fhir/ig/xpandh/ps/StructureDefinition/DeviceUseStatement-ps-xpandh</v>
      </c>
      <c r="F7" s="164"/>
      <c r="G7" s="164"/>
    </row>
    <row r="8" spans="1:19" ht="44.25" x14ac:dyDescent="0.75">
      <c r="B8" s="61" t="s">
        <v>204</v>
      </c>
      <c r="C8" s="10" t="s">
        <v>1177</v>
      </c>
      <c r="D8" s="61"/>
      <c r="E8"/>
      <c r="I8" s="14" t="s">
        <v>181</v>
      </c>
      <c r="J8" s="14" t="s">
        <v>182</v>
      </c>
      <c r="K8" s="14" t="s">
        <v>183</v>
      </c>
      <c r="L8" s="14" t="s">
        <v>184</v>
      </c>
      <c r="M8" s="9" t="s">
        <v>185</v>
      </c>
      <c r="P8" s="57" t="s">
        <v>186</v>
      </c>
      <c r="Q8" s="57">
        <v>6</v>
      </c>
    </row>
    <row r="9" spans="1:19" ht="29.5" x14ac:dyDescent="0.75">
      <c r="B9" s="61" t="s">
        <v>205</v>
      </c>
      <c r="C9" s="1" t="s">
        <v>1178</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'A.2.3.2 Devices'!B5</f>
        <v>MedicalDevice</v>
      </c>
      <c r="C14" s="9"/>
      <c r="D14" t="s">
        <v>1179</v>
      </c>
      <c r="E14" s="8"/>
      <c r="F14" s="9"/>
      <c r="I14" s="14"/>
      <c r="J14" s="9"/>
      <c r="K14" s="9"/>
      <c r="L14" s="9"/>
      <c r="M14" s="59"/>
      <c r="N14" s="62"/>
    </row>
    <row r="15" spans="1:19" ht="73.75" x14ac:dyDescent="0.75">
      <c r="A15" s="22"/>
      <c r="B15" s="9" t="str">
        <f>'A.2.3.2 Devices'!B8</f>
        <v>description</v>
      </c>
      <c r="C15" s="9" t="str">
        <f>'A.2.3.2 Devices'!C8</f>
        <v>A.2.3.2.1 Device and implant description</v>
      </c>
      <c r="D15" s="14" t="s">
        <v>1180</v>
      </c>
      <c r="E15" s="9"/>
      <c r="F15" s="63" t="s">
        <v>192</v>
      </c>
      <c r="H15" s="64"/>
      <c r="I15" s="14" t="str">
        <f>"* group[=].element[+].code = #"&amp;$B$14&amp;"."&amp;B15</f>
        <v>* group[=].element[+].code = #MedicalDevice.description</v>
      </c>
      <c r="J15" s="14" t="str">
        <f t="shared" ref="J15:J19" si="0">"* group[=].element[=].display = ##34#"&amp;C15&amp;"##34#"</f>
        <v>* group[=].element[=].display = ##34#A.2.3.2.1 Device and implant description##34#</v>
      </c>
      <c r="K15" s="14" t="str">
        <f t="shared" ref="K15:K19" si="1">IF(F15="unmatched","//-- unmatched","* group[=].element[=].target.code = #"&amp;$D$14&amp;"."&amp;D15)</f>
        <v>* group[=].element[=].target.code = #DeviceUseStatement.device.type</v>
      </c>
      <c r="L15" s="14" t="str">
        <f t="shared" ref="L15:L19" si="2">IF(F15="unmatched","//-- unmatched","* group[=].element[=].target.display = ##34#"&amp;E15&amp;"##34#")</f>
        <v>* group[=].element[=].target.display = ##34###34#</v>
      </c>
      <c r="M15" s="14" t="str">
        <f t="shared" ref="M15:M19" si="3">"* group[=].element[=].target.equivalence = #"&amp;F15</f>
        <v>* group[=].element[=].target.equivalence = #equivalent</v>
      </c>
      <c r="N15" s="4" t="str">
        <f t="shared" ref="N15:N46" si="4">IF(G15&lt;&gt;"",CONCATENATE("* group[=].element[=].target.comment = ","##34#",G15,"##34#"),"")</f>
        <v/>
      </c>
      <c r="P15" s="9">
        <v>1</v>
      </c>
      <c r="Q15" s="9">
        <f>IF(MOD(P15,$Q$8)=0,P15/$Q$8-1,INT(P15/$Q$8))</f>
        <v>0</v>
      </c>
      <c r="R15" s="9">
        <f>IF(MOD(P15,$Q$8)=0,$Q$8,MOD(P15,$Q$8))</f>
        <v>1</v>
      </c>
      <c r="S15" s="14" t="str" cm="1">
        <f t="array" ref="S15">INDEX('Devices-ConceptMap-1'!$I$15:$N$126,Q15+1,R15)</f>
        <v>* group[=].element[+].code = #MedicalDevice.description</v>
      </c>
    </row>
    <row r="16" spans="1:19" ht="73.75" x14ac:dyDescent="0.75">
      <c r="A16" s="22"/>
      <c r="B16" s="9" t="str">
        <f>'A.2.3.2 Devices'!B9</f>
        <v>identifier</v>
      </c>
      <c r="C16" s="9" t="str">
        <f>'A.2.3.2 Devices'!C9</f>
        <v>A.2.3.2.2 Device ID</v>
      </c>
      <c r="D16" s="14" t="s">
        <v>1181</v>
      </c>
      <c r="E16" s="9"/>
      <c r="F16" s="63" t="s">
        <v>193</v>
      </c>
      <c r="G16" t="s">
        <v>1184</v>
      </c>
      <c r="H16" s="64"/>
      <c r="I16" s="14" t="str">
        <f t="shared" ref="I16:I19" si="5">"* group[=].element[+].code = #"&amp;$B$14&amp;"."&amp;B16</f>
        <v>* group[=].element[+].code = #MedicalDevice.identifier</v>
      </c>
      <c r="J16" s="14" t="str">
        <f t="shared" si="0"/>
        <v>* group[=].element[=].display = ##34#A.2.3.2.2 Device ID##34#</v>
      </c>
      <c r="K16" s="14" t="str">
        <f t="shared" si="1"/>
        <v>* group[=].element[=].target.code = #DeviceUseStatement.device.identifier</v>
      </c>
      <c r="L16" s="14" t="str">
        <f t="shared" si="2"/>
        <v>* group[=].element[=].target.display = ##34###34#</v>
      </c>
      <c r="M16" s="14" t="str">
        <f t="shared" si="3"/>
        <v>* group[=].element[=].target.equivalence = #relatedto</v>
      </c>
      <c r="N16" s="14" t="str">
        <f t="shared" si="4"/>
        <v>* group[=].element[=].target.comment = ##34#If it is a generic identifier##34#</v>
      </c>
      <c r="P16" s="9">
        <v>2</v>
      </c>
      <c r="Q16" s="9">
        <f t="shared" ref="Q16:Q46" si="6">IF(MOD(P16,$Q$8)=0,P16/$Q$8-1,INT(P16/$Q$8))</f>
        <v>0</v>
      </c>
      <c r="R16" s="9">
        <f t="shared" ref="R16:R46" si="7">IF(MOD(P16,$Q$8)=0,$Q$8,MOD(P16,$Q$8))</f>
        <v>2</v>
      </c>
      <c r="S16" s="14" t="str" cm="1">
        <f t="array" ref="S16">INDEX('Devices-ConceptMap-1'!$I$15:$N$126,Q16+1,R16)</f>
        <v>* group[=].element[=].display = ##34#A.2.3.2.1 Device and implant description##34#</v>
      </c>
    </row>
    <row r="17" spans="1:19" ht="73.75" x14ac:dyDescent="0.75">
      <c r="A17" s="22"/>
      <c r="B17" s="9" t="str">
        <f>'A.2.3.2 Devices'!B9</f>
        <v>identifier</v>
      </c>
      <c r="C17" s="9" t="str">
        <f>'A.2.3.2 Devices'!C9</f>
        <v>A.2.3.2.2 Device ID</v>
      </c>
      <c r="D17" s="14" t="s">
        <v>1182</v>
      </c>
      <c r="E17" s="9"/>
      <c r="F17" s="63" t="s">
        <v>193</v>
      </c>
      <c r="G17" t="s">
        <v>1183</v>
      </c>
      <c r="H17" s="64"/>
      <c r="I17" s="14" t="str">
        <f t="shared" si="5"/>
        <v>* group[=].element[+].code = #MedicalDevice.identifier</v>
      </c>
      <c r="J17" s="14" t="str">
        <f t="shared" si="0"/>
        <v>* group[=].element[=].display = ##34#A.2.3.2.2 Device ID##34#</v>
      </c>
      <c r="K17" s="14" t="str">
        <f t="shared" si="1"/>
        <v>* group[=].element[=].target.code = #DeviceUseStatement.device.udiCarrier</v>
      </c>
      <c r="L17" s="14" t="str">
        <f t="shared" si="2"/>
        <v>* group[=].element[=].target.display = ##34###34#</v>
      </c>
      <c r="M17" s="14" t="str">
        <f t="shared" si="3"/>
        <v>* group[=].element[=].target.equivalence = #relatedto</v>
      </c>
      <c r="N17" s="14" t="str">
        <f t="shared" si="4"/>
        <v>* group[=].element[=].target.comment = ##34#If it is an UDI##34#</v>
      </c>
      <c r="P17" s="9">
        <v>3</v>
      </c>
      <c r="Q17" s="9">
        <f t="shared" si="6"/>
        <v>0</v>
      </c>
      <c r="R17" s="9">
        <f t="shared" si="7"/>
        <v>3</v>
      </c>
      <c r="S17" s="14" t="str" cm="1">
        <f t="array" ref="S17">INDEX('Devices-ConceptMap-1'!$I$15:$N$126,Q17+1,R17)</f>
        <v>* group[=].element[=].target.code = #DeviceUseStatement.device.type</v>
      </c>
    </row>
    <row r="18" spans="1:19" ht="103.25" customHeight="1" x14ac:dyDescent="0.75">
      <c r="A18" s="22"/>
      <c r="B18" s="9" t="str">
        <f>'A.2.3.2 Devices'!B10</f>
        <v>implantDate</v>
      </c>
      <c r="C18" s="9" t="str">
        <f>'A.2.3.2 Devices'!C10</f>
        <v>A.2.3.2.3 Implant date</v>
      </c>
      <c r="D18" s="14" t="s">
        <v>1185</v>
      </c>
      <c r="E18" s="9"/>
      <c r="F18" s="63" t="s">
        <v>192</v>
      </c>
      <c r="G18" s="14"/>
      <c r="H18" s="64"/>
      <c r="I18" s="14" t="str">
        <f t="shared" si="5"/>
        <v>* group[=].element[+].code = #MedicalDevice.implantDate</v>
      </c>
      <c r="J18" s="14" t="str">
        <f t="shared" si="0"/>
        <v>* group[=].element[=].display = ##34#A.2.3.2.3 Implant date##34#</v>
      </c>
      <c r="K18" s="14" t="str">
        <f t="shared" si="1"/>
        <v>* group[=].element[=].target.code = #DeviceUseStatement.timingPeriod.start</v>
      </c>
      <c r="L18" s="14" t="str">
        <f t="shared" si="2"/>
        <v>* group[=].element[=].target.display = ##34###34#</v>
      </c>
      <c r="M18" s="14" t="str">
        <f t="shared" si="3"/>
        <v>* group[=].element[=].target.equivalence = #equivalent</v>
      </c>
      <c r="N18" s="14" t="str">
        <f t="shared" si="4"/>
        <v/>
      </c>
      <c r="P18" s="9">
        <v>4</v>
      </c>
      <c r="Q18" s="9">
        <f t="shared" si="6"/>
        <v>0</v>
      </c>
      <c r="R18" s="9">
        <f t="shared" si="7"/>
        <v>4</v>
      </c>
      <c r="S18" s="14" t="str" cm="1">
        <f t="array" ref="S18">INDEX('Devices-ConceptMap-1'!$I$15:$N$126,Q18+1,R18)</f>
        <v>* group[=].element[=].target.display = ##34###34#</v>
      </c>
    </row>
    <row r="19" spans="1:19" ht="73.75" x14ac:dyDescent="0.75">
      <c r="A19" s="22"/>
      <c r="B19" s="9" t="str">
        <f>'A.2.3.2 Devices'!B11</f>
        <v>endDate</v>
      </c>
      <c r="C19" s="9" t="str">
        <f>'A.2.3.2 Devices'!C11</f>
        <v>A.2.3.2.4 End date</v>
      </c>
      <c r="D19" s="14" t="s">
        <v>1186</v>
      </c>
      <c r="E19" s="9"/>
      <c r="F19" s="63" t="s">
        <v>192</v>
      </c>
      <c r="G19" s="14"/>
      <c r="H19" s="64"/>
      <c r="I19" s="14" t="str">
        <f t="shared" si="5"/>
        <v>* group[=].element[+].code = #MedicalDevice.endDate</v>
      </c>
      <c r="J19" s="14" t="str">
        <f t="shared" si="0"/>
        <v>* group[=].element[=].display = ##34#A.2.3.2.4 End date##34#</v>
      </c>
      <c r="K19" s="14" t="str">
        <f t="shared" si="1"/>
        <v>* group[=].element[=].target.code = #DeviceUseStatement.timingPeriod.end</v>
      </c>
      <c r="L19" s="14" t="str">
        <f t="shared" si="2"/>
        <v>* group[=].element[=].target.display = ##34###34#</v>
      </c>
      <c r="M19" s="14" t="str">
        <f t="shared" si="3"/>
        <v>* group[=].element[=].target.equivalence = #equivalent</v>
      </c>
      <c r="N19" s="14" t="str">
        <f t="shared" si="4"/>
        <v/>
      </c>
      <c r="P19" s="9">
        <v>5</v>
      </c>
      <c r="Q19" s="9">
        <f t="shared" si="6"/>
        <v>0</v>
      </c>
      <c r="R19" s="9">
        <f t="shared" si="7"/>
        <v>5</v>
      </c>
      <c r="S19" s="14" t="str" cm="1">
        <f t="array" ref="S19">INDEX('Devices-ConceptMap-1'!$I$15:$N$126,Q19+1,R19)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7"/>
        <v>6</v>
      </c>
      <c r="S20" s="14" t="str" cm="1">
        <f t="array" ref="S20">INDEX('Devices-ConceptMap-1'!$I$15:$N$126,Q20+1,R20)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7"/>
        <v>1</v>
      </c>
      <c r="S21" s="14" t="str" cm="1">
        <f t="array" ref="S21">INDEX('Devices-ConceptMap-1'!$I$15:$N$126,Q21+1,R21)</f>
        <v>* group[=].element[+].code = #MedicalDevice.identifier</v>
      </c>
    </row>
    <row r="22" spans="1:19" x14ac:dyDescent="0.75">
      <c r="A22" s="22"/>
      <c r="B22" s="9"/>
      <c r="C22" s="9"/>
      <c r="D22" s="9"/>
      <c r="E22" s="9"/>
      <c r="F22" s="63"/>
      <c r="G22" s="63"/>
      <c r="H22" s="64"/>
      <c r="I22" s="14"/>
      <c r="J22" s="14"/>
      <c r="K22" s="14"/>
      <c r="L22" s="14"/>
      <c r="M22" s="14"/>
      <c r="N22" s="14" t="str">
        <f t="shared" si="4"/>
        <v/>
      </c>
      <c r="P22" s="9">
        <v>8</v>
      </c>
      <c r="Q22" s="9">
        <f t="shared" si="6"/>
        <v>1</v>
      </c>
      <c r="R22" s="9">
        <f t="shared" si="7"/>
        <v>2</v>
      </c>
      <c r="S22" s="14" t="str" cm="1">
        <f t="array" ref="S22">INDEX('Devices-ConceptMap-1'!$I$15:$N$126,Q22+1,R22)</f>
        <v>* group[=].element[=].display = ##34#A.2.3.2.2 Device ID##34#</v>
      </c>
    </row>
    <row r="23" spans="1:19" x14ac:dyDescent="0.75">
      <c r="A23" s="22"/>
      <c r="B23" s="9"/>
      <c r="C23" s="9"/>
      <c r="D23" s="46"/>
      <c r="E23" s="9"/>
      <c r="F23" s="63"/>
      <c r="G23" s="63"/>
      <c r="H23" s="64"/>
      <c r="I23" s="14"/>
      <c r="J23" s="14"/>
      <c r="K23" s="14"/>
      <c r="L23" s="14"/>
      <c r="M23" s="14"/>
      <c r="N23" s="14" t="str">
        <f t="shared" si="4"/>
        <v/>
      </c>
      <c r="P23" s="9">
        <v>9</v>
      </c>
      <c r="Q23" s="9">
        <f t="shared" si="6"/>
        <v>1</v>
      </c>
      <c r="R23" s="9">
        <f t="shared" si="7"/>
        <v>3</v>
      </c>
      <c r="S23" s="14" t="str" cm="1">
        <f t="array" ref="S23">INDEX('Devices-ConceptMap-1'!$I$15:$N$126,Q23+1,R23)</f>
        <v>* group[=].element[=].target.code = #DeviceUseStatement.device.identifier</v>
      </c>
    </row>
    <row r="24" spans="1:19" x14ac:dyDescent="0.75">
      <c r="A24" s="22"/>
      <c r="B24" s="9"/>
      <c r="C24" s="14"/>
      <c r="D24" s="9"/>
      <c r="E24" s="14"/>
      <c r="F24" s="63"/>
      <c r="G24" s="63"/>
      <c r="H24" s="64"/>
      <c r="I24" s="14"/>
      <c r="J24" s="14"/>
      <c r="K24" s="14"/>
      <c r="L24" s="14"/>
      <c r="M24" s="14"/>
      <c r="N24" s="14" t="str">
        <f t="shared" si="4"/>
        <v/>
      </c>
      <c r="P24" s="9">
        <v>10</v>
      </c>
      <c r="Q24" s="9">
        <f t="shared" si="6"/>
        <v>1</v>
      </c>
      <c r="R24" s="9">
        <f t="shared" si="7"/>
        <v>4</v>
      </c>
      <c r="S24" s="14" t="str" cm="1">
        <f t="array" ref="S24">INDEX('Devices-ConceptMap-1'!$I$15:$N$126,Q24+1,R24)</f>
        <v>* group[=].element[=].target.display = ##34###34#</v>
      </c>
    </row>
    <row r="25" spans="1:19" x14ac:dyDescent="0.75">
      <c r="A25" s="22"/>
      <c r="B25" s="9"/>
      <c r="C25" s="14"/>
      <c r="D25" s="14"/>
      <c r="E25" s="14"/>
      <c r="F25" s="63"/>
      <c r="G25" s="63"/>
      <c r="H25" s="64"/>
      <c r="I25" s="14"/>
      <c r="J25" s="14"/>
      <c r="K25" s="14"/>
      <c r="L25" s="14"/>
      <c r="M25" s="14"/>
      <c r="N25" s="14" t="str">
        <f t="shared" si="4"/>
        <v/>
      </c>
      <c r="P25" s="9">
        <v>11</v>
      </c>
      <c r="Q25" s="9">
        <f t="shared" si="6"/>
        <v>1</v>
      </c>
      <c r="R25" s="9">
        <f t="shared" si="7"/>
        <v>5</v>
      </c>
      <c r="S25" s="14" t="str" cm="1">
        <f t="array" ref="S25">INDEX('Devices-ConceptMap-1'!$I$15:$N$126,Q25+1,R25)</f>
        <v>* group[=].element[=].target.equivalence = #relatedto</v>
      </c>
    </row>
    <row r="26" spans="1:19" x14ac:dyDescent="0.75">
      <c r="B26" s="9"/>
      <c r="C26" s="14"/>
      <c r="D26" s="14"/>
      <c r="E26" s="14"/>
      <c r="F26" s="63"/>
      <c r="G26" s="63"/>
      <c r="H26" s="64"/>
      <c r="I26" s="14"/>
      <c r="J26" s="14"/>
      <c r="K26" s="14"/>
      <c r="L26" s="14"/>
      <c r="M26" s="14"/>
      <c r="N26" s="14" t="str">
        <f t="shared" si="4"/>
        <v/>
      </c>
      <c r="P26" s="9">
        <v>12</v>
      </c>
      <c r="Q26" s="9">
        <f t="shared" si="6"/>
        <v>1</v>
      </c>
      <c r="R26" s="9">
        <f t="shared" si="7"/>
        <v>6</v>
      </c>
      <c r="S26" s="14" t="str" cm="1">
        <f t="array" ref="S26">INDEX('Devices-ConceptMap-1'!$I$15:$N$126,Q26+1,R26)</f>
        <v>* group[=].element[=].target.comment = ##34#If it is a generic identifier##34#</v>
      </c>
    </row>
    <row r="27" spans="1:19" x14ac:dyDescent="0.75">
      <c r="B27" s="9"/>
      <c r="C27" s="9"/>
      <c r="D27" s="14"/>
      <c r="E27" s="14"/>
      <c r="F27" s="63"/>
      <c r="G27" s="63"/>
      <c r="H27" s="64"/>
      <c r="I27" s="14"/>
      <c r="J27" s="14"/>
      <c r="K27" s="14"/>
      <c r="L27" s="14"/>
      <c r="M27" s="14"/>
      <c r="N27" s="14" t="str">
        <f t="shared" si="4"/>
        <v/>
      </c>
      <c r="P27" s="9">
        <v>13</v>
      </c>
      <c r="Q27" s="9">
        <f t="shared" si="6"/>
        <v>2</v>
      </c>
      <c r="R27" s="9">
        <f t="shared" si="7"/>
        <v>1</v>
      </c>
      <c r="S27" s="14" t="str" cm="1">
        <f t="array" ref="S27">INDEX('Devices-ConceptMap-1'!$I$15:$N$126,Q27+1,R27)</f>
        <v>* group[=].element[+].code = #MedicalDevice.identifier</v>
      </c>
    </row>
    <row r="28" spans="1:19" x14ac:dyDescent="0.75">
      <c r="B28" s="9"/>
      <c r="C28" s="9"/>
      <c r="D28" s="14"/>
      <c r="E28" s="14"/>
      <c r="F28" s="63"/>
      <c r="G28" s="63"/>
      <c r="H28" s="64"/>
      <c r="I28" s="14"/>
      <c r="J28" s="14"/>
      <c r="K28" s="14"/>
      <c r="L28" s="14"/>
      <c r="M28" s="14"/>
      <c r="N28" s="14" t="str">
        <f t="shared" si="4"/>
        <v/>
      </c>
      <c r="P28" s="9">
        <v>14</v>
      </c>
      <c r="Q28" s="9">
        <f t="shared" si="6"/>
        <v>2</v>
      </c>
      <c r="R28" s="9">
        <f t="shared" si="7"/>
        <v>2</v>
      </c>
      <c r="S28" s="14" t="str" cm="1">
        <f t="array" ref="S28">INDEX('Devices-ConceptMap-1'!$I$15:$N$126,Q28+1,R28)</f>
        <v>* group[=].element[=].display = ##34#A.2.3.2.2 Device ID##34#</v>
      </c>
    </row>
    <row r="29" spans="1:19" x14ac:dyDescent="0.75">
      <c r="B29" s="9"/>
      <c r="C29" s="9"/>
      <c r="D29" s="14"/>
      <c r="E29" s="14"/>
      <c r="F29" s="63"/>
      <c r="G29" s="63"/>
      <c r="H29" s="64"/>
      <c r="I29" s="14"/>
      <c r="J29" s="14"/>
      <c r="K29" s="14"/>
      <c r="L29" s="14"/>
      <c r="M29" s="14"/>
      <c r="N29" s="14" t="str">
        <f t="shared" si="4"/>
        <v/>
      </c>
      <c r="P29" s="9">
        <v>15</v>
      </c>
      <c r="Q29" s="9">
        <f t="shared" si="6"/>
        <v>2</v>
      </c>
      <c r="R29" s="9">
        <f t="shared" si="7"/>
        <v>3</v>
      </c>
      <c r="S29" s="14" t="str" cm="1">
        <f t="array" ref="S29">INDEX('Devices-ConceptMap-1'!$I$15:$N$126,Q29+1,R29)</f>
        <v>* group[=].element[=].target.code = #DeviceUseStatement.device.udiCarrier</v>
      </c>
    </row>
    <row r="30" spans="1:19" x14ac:dyDescent="0.75">
      <c r="B30" s="9"/>
      <c r="C30" s="9"/>
      <c r="D30" s="14"/>
      <c r="E30" s="14"/>
      <c r="F30" s="63"/>
      <c r="G30" s="63"/>
      <c r="H30" s="64"/>
      <c r="I30" s="14"/>
      <c r="J30" s="14"/>
      <c r="K30" s="14"/>
      <c r="L30" s="14"/>
      <c r="M30" s="14"/>
      <c r="N30" s="14" t="str">
        <f t="shared" si="4"/>
        <v/>
      </c>
      <c r="P30" s="9">
        <v>16</v>
      </c>
      <c r="Q30" s="9">
        <f t="shared" si="6"/>
        <v>2</v>
      </c>
      <c r="R30" s="9">
        <f t="shared" si="7"/>
        <v>4</v>
      </c>
      <c r="S30" s="14" t="str" cm="1">
        <f t="array" ref="S30">INDEX('Devices-ConceptMap-1'!$I$15:$N$126,Q30+1,R30)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7"/>
        <v>5</v>
      </c>
      <c r="S31" s="14" t="str" cm="1">
        <f t="array" ref="S31">INDEX('Devices-ConceptMap-1'!$I$15:$N$126,Q31+1,R31)</f>
        <v>* group[=].element[=].target.equivalence = #relatedto</v>
      </c>
    </row>
    <row r="32" spans="1:19" x14ac:dyDescent="0.75">
      <c r="B32" s="9"/>
      <c r="C32" s="9"/>
      <c r="D32" s="14"/>
      <c r="E32" s="14"/>
      <c r="F32" s="63"/>
      <c r="G32" s="63"/>
      <c r="H32" s="64"/>
      <c r="I32" s="14"/>
      <c r="J32" s="14"/>
      <c r="K32" s="14"/>
      <c r="L32" s="14"/>
      <c r="M32" s="14"/>
      <c r="N32" s="14" t="str">
        <f t="shared" si="4"/>
        <v/>
      </c>
      <c r="P32" s="9">
        <v>18</v>
      </c>
      <c r="Q32" s="9">
        <f t="shared" si="6"/>
        <v>2</v>
      </c>
      <c r="R32" s="9">
        <f t="shared" si="7"/>
        <v>6</v>
      </c>
      <c r="S32" s="14" t="str" cm="1">
        <f t="array" ref="S32">INDEX('Devices-ConceptMap-1'!$I$15:$N$126,Q32+1,R32)</f>
        <v>* group[=].element[=].target.comment = ##34#If it is an UDI##34#</v>
      </c>
    </row>
    <row r="33" spans="1:20" x14ac:dyDescent="0.75">
      <c r="B33" s="9"/>
      <c r="C33" s="9"/>
      <c r="D33" s="14"/>
      <c r="E33" s="14"/>
      <c r="F33" s="63"/>
      <c r="G33" s="63"/>
      <c r="H33" s="64"/>
      <c r="I33" s="14"/>
      <c r="J33" s="14"/>
      <c r="K33" s="14"/>
      <c r="L33" s="14"/>
      <c r="M33" s="14"/>
      <c r="N33" s="14" t="str">
        <f t="shared" si="4"/>
        <v/>
      </c>
      <c r="P33" s="9">
        <v>19</v>
      </c>
      <c r="Q33" s="9">
        <f t="shared" si="6"/>
        <v>3</v>
      </c>
      <c r="R33" s="9">
        <f t="shared" si="7"/>
        <v>1</v>
      </c>
      <c r="S33" s="14" t="str" cm="1">
        <f t="array" ref="S33">INDEX('Devices-ConceptMap-1'!$I$15:$N$126,Q33+1,R33)</f>
        <v>* group[=].element[+].code = #MedicalDevice.implantDate</v>
      </c>
    </row>
    <row r="34" spans="1:20" x14ac:dyDescent="0.75">
      <c r="B34" s="9"/>
      <c r="C34" s="9"/>
      <c r="D34" s="14"/>
      <c r="E34" s="14"/>
      <c r="F34" s="63"/>
      <c r="G34" s="63"/>
      <c r="H34" s="64"/>
      <c r="I34" s="14"/>
      <c r="J34" s="14"/>
      <c r="K34" s="14"/>
      <c r="L34" s="14"/>
      <c r="M34" s="14"/>
      <c r="N34" s="14" t="str">
        <f t="shared" si="4"/>
        <v/>
      </c>
      <c r="P34" s="9">
        <v>20</v>
      </c>
      <c r="Q34" s="9">
        <f t="shared" si="6"/>
        <v>3</v>
      </c>
      <c r="R34" s="9">
        <f t="shared" si="7"/>
        <v>2</v>
      </c>
      <c r="S34" s="14" t="str" cm="1">
        <f t="array" ref="S34">INDEX('Devices-ConceptMap-1'!$I$15:$N$126,Q34+1,R34)</f>
        <v>* group[=].element[=].display = ##34#A.2.3.2.3 Implant date##34#</v>
      </c>
    </row>
    <row r="35" spans="1:20" x14ac:dyDescent="0.75">
      <c r="B35" s="9"/>
      <c r="C35" s="9"/>
      <c r="D35" s="14"/>
      <c r="E35" s="14"/>
      <c r="F35" s="63"/>
      <c r="G35" s="63"/>
      <c r="H35" s="64"/>
      <c r="I35" s="14"/>
      <c r="J35" s="14"/>
      <c r="K35" s="14"/>
      <c r="L35" s="14"/>
      <c r="M35" s="14"/>
      <c r="N35" s="14" t="str">
        <f t="shared" si="4"/>
        <v/>
      </c>
      <c r="P35" s="9">
        <v>21</v>
      </c>
      <c r="Q35" s="9">
        <f t="shared" si="6"/>
        <v>3</v>
      </c>
      <c r="R35" s="9">
        <f t="shared" si="7"/>
        <v>3</v>
      </c>
      <c r="S35" s="14" t="str" cm="1">
        <f t="array" ref="S35">INDEX('Devices-ConceptMap-1'!$I$15:$N$126,Q35+1,R35)</f>
        <v>* group[=].element[=].target.code = #DeviceUseStatement.timingPeriod.start</v>
      </c>
    </row>
    <row r="36" spans="1:20" x14ac:dyDescent="0.75">
      <c r="B36" s="9"/>
      <c r="C36" s="9"/>
      <c r="D36" s="14"/>
      <c r="E36" s="14"/>
      <c r="F36" s="63"/>
      <c r="G36" s="63"/>
      <c r="H36" s="64"/>
      <c r="I36" s="14"/>
      <c r="J36" s="14"/>
      <c r="K36" s="14"/>
      <c r="L36" s="14"/>
      <c r="M36" s="14"/>
      <c r="N36" s="14" t="str">
        <f t="shared" si="4"/>
        <v/>
      </c>
      <c r="P36" s="9">
        <v>22</v>
      </c>
      <c r="Q36" s="9">
        <f t="shared" si="6"/>
        <v>3</v>
      </c>
      <c r="R36" s="9">
        <f t="shared" si="7"/>
        <v>4</v>
      </c>
      <c r="S36" s="14" t="str" cm="1">
        <f t="array" ref="S36">INDEX('Devices-ConceptMap-1'!$I$15:$N$126,Q36+1,R36)</f>
        <v>* group[=].element[=].target.display = ##34###34#</v>
      </c>
    </row>
    <row r="37" spans="1:20" x14ac:dyDescent="0.75">
      <c r="B37" s="9"/>
      <c r="C37" s="9"/>
      <c r="D37" s="14"/>
      <c r="E37" s="14"/>
      <c r="F37" s="63"/>
      <c r="G37" s="63"/>
      <c r="H37" s="64"/>
      <c r="I37" s="14"/>
      <c r="J37" s="14"/>
      <c r="K37" s="14"/>
      <c r="L37" s="14"/>
      <c r="M37" s="14"/>
      <c r="N37" s="14" t="str">
        <f t="shared" si="4"/>
        <v/>
      </c>
      <c r="P37" s="9">
        <v>23</v>
      </c>
      <c r="Q37" s="9">
        <f t="shared" si="6"/>
        <v>3</v>
      </c>
      <c r="R37" s="9">
        <f t="shared" si="7"/>
        <v>5</v>
      </c>
      <c r="S37" s="14" t="str" cm="1">
        <f t="array" ref="S37">INDEX('Devices-ConceptMap-1'!$I$15:$N$126,Q37+1,R37)</f>
        <v>* group[=].element[=].target.equivalence = #equivalent</v>
      </c>
    </row>
    <row r="38" spans="1:20" s="1" customFormat="1" x14ac:dyDescent="0.75">
      <c r="A38"/>
      <c r="B38" s="9"/>
      <c r="C38" s="9"/>
      <c r="D38" s="14"/>
      <c r="E38" s="14"/>
      <c r="F38" s="63"/>
      <c r="G38" s="64"/>
      <c r="H38" s="64"/>
      <c r="I38" s="14"/>
      <c r="J38" s="14"/>
      <c r="K38" s="14"/>
      <c r="L38" s="14"/>
      <c r="M38" s="14"/>
      <c r="N38" s="14" t="str">
        <f t="shared" si="4"/>
        <v/>
      </c>
      <c r="P38" s="9">
        <v>24</v>
      </c>
      <c r="Q38" s="9">
        <f t="shared" si="6"/>
        <v>3</v>
      </c>
      <c r="R38" s="9">
        <f t="shared" si="7"/>
        <v>6</v>
      </c>
      <c r="S38" s="14" t="str" cm="1">
        <f t="array" ref="S38">INDEX('Devices-ConceptMap-1'!$I$15:$N$126,Q38+1,R38)</f>
        <v/>
      </c>
      <c r="T38"/>
    </row>
    <row r="39" spans="1:20" s="1" customFormat="1" x14ac:dyDescent="0.75">
      <c r="A39"/>
      <c r="B39" s="9"/>
      <c r="C39" s="9"/>
      <c r="D39" s="52"/>
      <c r="F39" s="64"/>
      <c r="G39" s="64"/>
      <c r="H39" s="64"/>
      <c r="I39" s="14"/>
      <c r="J39" s="14"/>
      <c r="K39" s="14"/>
      <c r="L39" s="14"/>
      <c r="M39" s="14"/>
      <c r="N39" s="14" t="str">
        <f t="shared" si="4"/>
        <v/>
      </c>
      <c r="P39" s="9">
        <v>25</v>
      </c>
      <c r="Q39" s="9">
        <f t="shared" si="6"/>
        <v>4</v>
      </c>
      <c r="R39" s="9">
        <f t="shared" si="7"/>
        <v>1</v>
      </c>
      <c r="S39" s="14" t="str" cm="1">
        <f t="array" ref="S39">INDEX('Devices-ConceptMap-1'!$I$15:$N$126,Q39+1,R39)</f>
        <v>* group[=].element[+].code = #MedicalDevice.endDate</v>
      </c>
      <c r="T39"/>
    </row>
    <row r="40" spans="1:20" s="1" customFormat="1" x14ac:dyDescent="0.75">
      <c r="A40"/>
      <c r="B40" s="9"/>
      <c r="C40" s="9"/>
      <c r="F40" s="64"/>
      <c r="G40" s="64"/>
      <c r="H40" s="64"/>
      <c r="I40" s="14"/>
      <c r="J40" s="14"/>
      <c r="K40" s="14"/>
      <c r="L40" s="14"/>
      <c r="M40" s="14"/>
      <c r="N40" s="14" t="str">
        <f t="shared" si="4"/>
        <v/>
      </c>
      <c r="P40" s="9">
        <v>26</v>
      </c>
      <c r="Q40" s="9">
        <f t="shared" si="6"/>
        <v>4</v>
      </c>
      <c r="R40" s="9">
        <f t="shared" si="7"/>
        <v>2</v>
      </c>
      <c r="S40" s="14" t="str" cm="1">
        <f t="array" ref="S40">INDEX('Devices-ConceptMap-1'!$I$15:$N$126,Q40+1,R40)</f>
        <v>* group[=].element[=].display = ##34#A.2.3.2.4 End date##34#</v>
      </c>
      <c r="T40"/>
    </row>
    <row r="41" spans="1:20" s="1" customFormat="1" x14ac:dyDescent="0.75">
      <c r="A41"/>
      <c r="B41" s="9"/>
      <c r="C41" s="9"/>
      <c r="F41" s="64"/>
      <c r="G41" s="64"/>
      <c r="H41" s="64"/>
      <c r="I41" s="14"/>
      <c r="J41" s="14"/>
      <c r="K41" s="14"/>
      <c r="L41" s="14"/>
      <c r="M41" s="14"/>
      <c r="N41" s="14" t="str">
        <f t="shared" si="4"/>
        <v/>
      </c>
      <c r="P41" s="9">
        <v>27</v>
      </c>
      <c r="Q41" s="9">
        <f t="shared" si="6"/>
        <v>4</v>
      </c>
      <c r="R41" s="9">
        <f t="shared" si="7"/>
        <v>3</v>
      </c>
      <c r="S41" s="14" t="str" cm="1">
        <f t="array" ref="S41">INDEX('Devices-ConceptMap-1'!$I$15:$N$126,Q41+1,R41)</f>
        <v>* group[=].element[=].target.code = #DeviceUseStatement.timingPeriod.end</v>
      </c>
      <c r="T41"/>
    </row>
    <row r="42" spans="1:20" s="1" customFormat="1" x14ac:dyDescent="0.75">
      <c r="A42"/>
      <c r="B42" s="9"/>
      <c r="C42" s="9"/>
      <c r="F42" s="64"/>
      <c r="G42" s="64"/>
      <c r="H42" s="64"/>
      <c r="I42" s="14"/>
      <c r="J42" s="14"/>
      <c r="K42" s="14"/>
      <c r="L42" s="14"/>
      <c r="M42" s="14"/>
      <c r="N42" s="14" t="str">
        <f t="shared" si="4"/>
        <v/>
      </c>
      <c r="P42" s="9">
        <v>28</v>
      </c>
      <c r="Q42" s="9">
        <f t="shared" si="6"/>
        <v>4</v>
      </c>
      <c r="R42" s="9">
        <f t="shared" si="7"/>
        <v>4</v>
      </c>
      <c r="S42" s="14" t="str" cm="1">
        <f t="array" ref="S42">INDEX('Devices-ConceptMap-1'!$I$15:$N$126,Q42+1,R42)</f>
        <v>* group[=].element[=].target.display = ##34###34#</v>
      </c>
      <c r="T42"/>
    </row>
    <row r="43" spans="1:20" s="1" customFormat="1" x14ac:dyDescent="0.75">
      <c r="A43"/>
      <c r="B43" s="9"/>
      <c r="C43" s="9"/>
      <c r="F43" s="64"/>
      <c r="G43" s="64"/>
      <c r="H43" s="64"/>
      <c r="I43" s="14"/>
      <c r="J43" s="14"/>
      <c r="K43" s="14"/>
      <c r="L43" s="14"/>
      <c r="M43" s="14"/>
      <c r="N43" s="14" t="str">
        <f t="shared" si="4"/>
        <v/>
      </c>
      <c r="P43" s="9">
        <v>29</v>
      </c>
      <c r="Q43" s="9">
        <f t="shared" si="6"/>
        <v>4</v>
      </c>
      <c r="R43" s="9">
        <f t="shared" si="7"/>
        <v>5</v>
      </c>
      <c r="S43" s="14" t="str" cm="1">
        <f t="array" ref="S43">INDEX('Devices-ConceptMap-1'!$I$15:$N$126,Q43+1,R43)</f>
        <v>* group[=].element[=].target.equivalence = #equivalent</v>
      </c>
      <c r="T43"/>
    </row>
    <row r="44" spans="1:20" s="1" customFormat="1" x14ac:dyDescent="0.75">
      <c r="A44"/>
      <c r="B44" s="9"/>
      <c r="C44" s="9"/>
      <c r="F44" s="64"/>
      <c r="G44" s="64"/>
      <c r="H44" s="64"/>
      <c r="I44" s="14"/>
      <c r="J44" s="14"/>
      <c r="K44" s="14"/>
      <c r="L44" s="14"/>
      <c r="M44" s="14"/>
      <c r="N44" s="14" t="str">
        <f t="shared" si="4"/>
        <v/>
      </c>
      <c r="P44" s="9">
        <v>30</v>
      </c>
      <c r="Q44" s="9">
        <f t="shared" si="6"/>
        <v>4</v>
      </c>
      <c r="R44" s="9">
        <f t="shared" si="7"/>
        <v>6</v>
      </c>
      <c r="S44" s="14" t="str" cm="1">
        <f t="array" ref="S44">INDEX('Devices-ConceptMap-1'!$I$15:$N$126,Q44+1,R44)</f>
        <v/>
      </c>
      <c r="T44"/>
    </row>
    <row r="45" spans="1:20" s="1" customFormat="1" x14ac:dyDescent="0.75">
      <c r="A45"/>
      <c r="B45" s="9"/>
      <c r="C45"/>
      <c r="F45" s="64"/>
      <c r="G45" s="64"/>
      <c r="H45" s="64"/>
      <c r="I45" s="14"/>
      <c r="J45" s="14"/>
      <c r="K45" s="14"/>
      <c r="L45" s="14"/>
      <c r="M45" s="14"/>
      <c r="N45" s="14" t="str">
        <f t="shared" si="4"/>
        <v/>
      </c>
      <c r="P45" s="9">
        <v>31</v>
      </c>
      <c r="Q45" s="9">
        <f t="shared" si="6"/>
        <v>5</v>
      </c>
      <c r="R45" s="9">
        <f t="shared" si="7"/>
        <v>1</v>
      </c>
      <c r="S45" s="14" cm="1">
        <f t="array" ref="S45">INDEX('Devices-ConceptMap-1'!$I$15:$N$126,Q45+1,R45)</f>
        <v>0</v>
      </c>
      <c r="T45"/>
    </row>
    <row r="46" spans="1:20" s="1" customFormat="1" x14ac:dyDescent="0.75">
      <c r="A46"/>
      <c r="B46" s="9"/>
      <c r="C46"/>
      <c r="F46" s="64"/>
      <c r="G46" s="64"/>
      <c r="H46" s="64"/>
      <c r="I46" s="14"/>
      <c r="J46" s="14"/>
      <c r="K46" s="14"/>
      <c r="L46" s="14"/>
      <c r="M46" s="14"/>
      <c r="N46" s="14" t="str">
        <f t="shared" si="4"/>
        <v/>
      </c>
      <c r="P46" s="9">
        <v>32</v>
      </c>
      <c r="Q46" s="9">
        <f t="shared" si="6"/>
        <v>5</v>
      </c>
      <c r="R46" s="9">
        <f t="shared" si="7"/>
        <v>2</v>
      </c>
      <c r="S46" s="14" cm="1">
        <f t="array" ref="S46">INDEX('Devices-ConceptMap-1'!$I$15:$N$126,Q46+1,R46)</f>
        <v>0</v>
      </c>
      <c r="T46"/>
    </row>
  </sheetData>
  <mergeCells count="4">
    <mergeCell ref="E3:G3"/>
    <mergeCell ref="E4:G4"/>
    <mergeCell ref="E6:G6"/>
    <mergeCell ref="E7:G7"/>
  </mergeCells>
  <hyperlinks>
    <hyperlink ref="E3" r:id="rId1" display="http://hl7.eu/fhir/laboratory/StructureDefinition/LeaglAu" xr:uid="{13885CA9-D0A5-4C08-A2F6-ECCDBD87EB2B}"/>
    <hyperlink ref="E6" r:id="rId2" display="http://hl7.eu/fhir/laboratory/StructureDefinition/Recipient" xr:uid="{8F74ACF6-7E1B-48B5-BE0C-FF7855365EBC}"/>
    <hyperlink ref="E7" r:id="rId3" display="http://hl7.eu/fhir/StructureDefinition/information-recipient" xr:uid="{20B33E39-EEE4-495B-952C-489EF3D6F1FE}"/>
    <hyperlink ref="E4" r:id="rId4" xr:uid="{89580059-0A34-487A-A23B-7CEE65F5F718}"/>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F042D-E446-4BC2-BF00-310DC1A64CC1}">
  <sheetPr codeName="Foglio33">
    <tabColor theme="0" tint="-0.34998626667073579"/>
  </sheetPr>
  <dimension ref="B1:G208"/>
  <sheetViews>
    <sheetView workbookViewId="0">
      <selection activeCell="F9" sqref="F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1187</v>
      </c>
    </row>
    <row r="3" spans="2:7" x14ac:dyDescent="0.75">
      <c r="B3" s="32" t="s">
        <v>37</v>
      </c>
    </row>
    <row r="4" spans="2:7" x14ac:dyDescent="0.75">
      <c r="B4" s="65" t="str">
        <f>"Instance: "&amp;'Devices-ConceptMap-1'!C4</f>
        <v>Instance: medicalDevice2FHIR-eu-ps</v>
      </c>
    </row>
    <row r="5" spans="2:7" x14ac:dyDescent="0.75">
      <c r="B5" s="65" t="s">
        <v>196</v>
      </c>
    </row>
    <row r="6" spans="2:7" x14ac:dyDescent="0.75">
      <c r="B6" s="65" t="s">
        <v>197</v>
      </c>
    </row>
    <row r="7" spans="2:7" x14ac:dyDescent="0.75">
      <c r="B7" s="65" t="s">
        <v>203</v>
      </c>
    </row>
    <row r="8" spans="2:7" x14ac:dyDescent="0.75">
      <c r="B8" s="65" t="str">
        <f>"* name = ##34#"&amp;'Devices-ConceptMap-1'!C3&amp;"##34#"</f>
        <v>* name = ##34#MedicalDevice2Fhir##34#</v>
      </c>
    </row>
    <row r="9" spans="2:7" x14ac:dyDescent="0.75">
      <c r="B9" s="65" t="str">
        <f>"* title = ##34#"&amp;'Devices-ConceptMap-1'!C5&amp;"##34#"</f>
        <v>* title = ##34#eHN Recipient to this guide Map##34#</v>
      </c>
    </row>
    <row r="10" spans="2:7" x14ac:dyDescent="0.75">
      <c r="B10" s="65" t="s">
        <v>198</v>
      </c>
    </row>
    <row r="11" spans="2:7" x14ac:dyDescent="0.75">
      <c r="B11" s="65" t="s">
        <v>199</v>
      </c>
    </row>
    <row r="12" spans="2:7" x14ac:dyDescent="0.75">
      <c r="B12" s="65" t="str">
        <f>"* description = ##34#"&amp;'Devices-ConceptMap-1'!C8&amp;"##34#"</f>
        <v>* description = ##34#eHN Medical Devices Model to this guide Map##34#</v>
      </c>
    </row>
    <row r="13" spans="2:7" x14ac:dyDescent="0.75">
      <c r="B13" s="65" t="str">
        <f>"* purpose = ##34#"&amp;'Devices-ConceptMap-1'!C9&amp;"##34#"</f>
        <v>* purpose = ##34#It shows how theMedical Devices Recipient data set defined by the EU eHN guidelines is mapped into this guide##34#</v>
      </c>
    </row>
    <row r="14" spans="2:7" x14ac:dyDescent="0.75">
      <c r="B14" s="66" t="str">
        <f>"* sourceUri = ##34#"&amp;'Devices-ConceptMap-1'!E3&amp;"##34#"</f>
        <v>* sourceUri = ##34#http://hl7.eu/fhir/ig/xpandh/ps/StructureDefinition/MedicalDevice##34#</v>
      </c>
    </row>
    <row r="15" spans="2:7" x14ac:dyDescent="0.75">
      <c r="B15" s="66" t="str">
        <f>"* targetUri = ##34#"&amp;'Devices-ConceptMap-1'!E4&amp;"##34#"</f>
        <v>* targetUri = ##34#http://hl7.eu/fhir/ig/xpandh/ps/StructureDefinition/DeviceUseStatement-ps-xpandh##34#</v>
      </c>
    </row>
    <row r="16" spans="2:7" x14ac:dyDescent="0.75">
      <c r="B16" s="65"/>
    </row>
    <row r="17" spans="2:7" x14ac:dyDescent="0.75">
      <c r="B17" s="67" t="str">
        <f>"* group[+].source = ##34#"&amp;'Devices-ConceptMap-1'!E6&amp;"##34#"</f>
        <v>* group[+].source = ##34#http://hl7.eu/fhir/ig/xpandh/ps/StructureDefinition/MedicalDevice##34#</v>
      </c>
    </row>
    <row r="18" spans="2:7" x14ac:dyDescent="0.75">
      <c r="B18" s="67" t="str">
        <f>"* group[=].target = ##34#"&amp;'Devices-ConceptMap-1'!E7&amp;"##34#"</f>
        <v>* group[=].target = ##34#http://hl7.eu/fhir/ig/xpandh/ps/StructureDefinition/DeviceUseStatement-ps-xpandh##34#</v>
      </c>
    </row>
    <row r="19" spans="2:7" x14ac:dyDescent="0.75">
      <c r="B19" s="69"/>
    </row>
    <row r="20" spans="2:7" x14ac:dyDescent="0.75">
      <c r="B20" s="14" t="str">
        <f>IF('Devices-ConceptMap-1'!S15=0,"//---END",'Devices-ConceptMap-1'!S15)</f>
        <v>* group[=].element[+].code = #MedicalDevice.description</v>
      </c>
    </row>
    <row r="21" spans="2:7" x14ac:dyDescent="0.75">
      <c r="B21" s="14" t="str">
        <f>IF('Devices-ConceptMap-1'!S16=0,"//---END",'Devices-ConceptMap-1'!S16)</f>
        <v>* group[=].element[=].display = ##34#A.2.3.2.1 Device and implant description##34#</v>
      </c>
    </row>
    <row r="22" spans="2:7" x14ac:dyDescent="0.75">
      <c r="B22" s="14" t="str">
        <f>IF('Devices-ConceptMap-1'!S17=0,"//---END",'Devices-ConceptMap-1'!S17)</f>
        <v>* group[=].element[=].target.code = #DeviceUseStatement.device.type</v>
      </c>
    </row>
    <row r="23" spans="2:7" x14ac:dyDescent="0.75">
      <c r="B23" s="14" t="str">
        <f>IF('Devices-ConceptMap-1'!S18=0,"//---END",'Devices-ConceptMap-1'!S18)</f>
        <v>* group[=].element[=].target.display = ##34###34#</v>
      </c>
    </row>
    <row r="24" spans="2:7" x14ac:dyDescent="0.75">
      <c r="B24" s="14" t="str">
        <f>IF('Devices-ConceptMap-1'!S19=0,"//---END",'Devices-ConceptMap-1'!S19)</f>
        <v>* group[=].element[=].target.equivalence = #equivalent</v>
      </c>
    </row>
    <row r="25" spans="2:7" x14ac:dyDescent="0.75">
      <c r="B25" s="14" t="str">
        <f>IF('Devices-ConceptMap-1'!S20=0,"//---END",'Devices-ConceptMap-1'!S20)</f>
        <v/>
      </c>
      <c r="G25" s="10"/>
    </row>
    <row r="26" spans="2:7" x14ac:dyDescent="0.75">
      <c r="B26" s="14" t="str">
        <f>IF('Devices-ConceptMap-1'!S21=0,"//---END",'Devices-ConceptMap-1'!S21)</f>
        <v>* group[=].element[+].code = #MedicalDevice.identifier</v>
      </c>
    </row>
    <row r="27" spans="2:7" x14ac:dyDescent="0.75">
      <c r="B27" s="14" t="str">
        <f>IF('Devices-ConceptMap-1'!S22=0,"//---END",'Devices-ConceptMap-1'!S22)</f>
        <v>* group[=].element[=].display = ##34#A.2.3.2.2 Device ID##34#</v>
      </c>
    </row>
    <row r="28" spans="2:7" x14ac:dyDescent="0.75">
      <c r="B28" s="14" t="str">
        <f>IF('Devices-ConceptMap-1'!S23=0,"//---END",'Devices-ConceptMap-1'!S23)</f>
        <v>* group[=].element[=].target.code = #DeviceUseStatement.device.identifier</v>
      </c>
    </row>
    <row r="29" spans="2:7" x14ac:dyDescent="0.75">
      <c r="B29" s="14" t="str">
        <f>IF('Devices-ConceptMap-1'!S24=0,"//---END",'Devices-ConceptMap-1'!S24)</f>
        <v>* group[=].element[=].target.display = ##34###34#</v>
      </c>
    </row>
    <row r="30" spans="2:7" x14ac:dyDescent="0.75">
      <c r="B30" s="14" t="str">
        <f>IF('Devices-ConceptMap-1'!S25=0,"//---END",'Devices-ConceptMap-1'!S25)</f>
        <v>* group[=].element[=].target.equivalence = #relatedto</v>
      </c>
    </row>
    <row r="31" spans="2:7" x14ac:dyDescent="0.75">
      <c r="B31" s="14" t="str">
        <f>IF('Devices-ConceptMap-1'!S26=0,"//---END",'Devices-ConceptMap-1'!S26)</f>
        <v>* group[=].element[=].target.comment = ##34#If it is a generic identifier##34#</v>
      </c>
    </row>
    <row r="32" spans="2:7" x14ac:dyDescent="0.75">
      <c r="B32" s="14" t="str">
        <f>IF('Devices-ConceptMap-1'!S27=0,"//---END",'Devices-ConceptMap-1'!S27)</f>
        <v>* group[=].element[+].code = #MedicalDevice.identifier</v>
      </c>
    </row>
    <row r="33" spans="2:2" x14ac:dyDescent="0.75">
      <c r="B33" s="14" t="str">
        <f>IF('Devices-ConceptMap-1'!S28=0,"//---END",'Devices-ConceptMap-1'!S28)</f>
        <v>* group[=].element[=].display = ##34#A.2.3.2.2 Device ID##34#</v>
      </c>
    </row>
    <row r="34" spans="2:2" x14ac:dyDescent="0.75">
      <c r="B34" s="14" t="str">
        <f>IF('Devices-ConceptMap-1'!S29=0,"//---END",'Devices-ConceptMap-1'!S29)</f>
        <v>* group[=].element[=].target.code = #DeviceUseStatement.device.udiCarrier</v>
      </c>
    </row>
    <row r="35" spans="2:2" x14ac:dyDescent="0.75">
      <c r="B35" s="14" t="str">
        <f>IF('Devices-ConceptMap-1'!S30=0,"//---END",'Devices-ConceptMap-1'!S30)</f>
        <v>* group[=].element[=].target.display = ##34###34#</v>
      </c>
    </row>
    <row r="36" spans="2:2" x14ac:dyDescent="0.75">
      <c r="B36" s="14" t="str">
        <f>IF('Devices-ConceptMap-1'!S31=0,"//---END",'Devices-ConceptMap-1'!S31)</f>
        <v>* group[=].element[=].target.equivalence = #relatedto</v>
      </c>
    </row>
    <row r="37" spans="2:2" x14ac:dyDescent="0.75">
      <c r="B37" s="14" t="str">
        <f>IF('Devices-ConceptMap-1'!S32=0,"//---END",'Devices-ConceptMap-1'!S32)</f>
        <v>* group[=].element[=].target.comment = ##34#If it is an UDI##34#</v>
      </c>
    </row>
    <row r="38" spans="2:2" x14ac:dyDescent="0.75">
      <c r="B38" s="14" t="str">
        <f>IF('Devices-ConceptMap-1'!S33=0,"//---END",'Devices-ConceptMap-1'!S33)</f>
        <v>* group[=].element[+].code = #MedicalDevice.implantDate</v>
      </c>
    </row>
    <row r="39" spans="2:2" x14ac:dyDescent="0.75">
      <c r="B39" s="14" t="str">
        <f>IF('Devices-ConceptMap-1'!S34=0,"//---END",'Devices-ConceptMap-1'!S34)</f>
        <v>* group[=].element[=].display = ##34#A.2.3.2.3 Implant date##34#</v>
      </c>
    </row>
    <row r="40" spans="2:2" x14ac:dyDescent="0.75">
      <c r="B40" s="14" t="str">
        <f>IF('Devices-ConceptMap-1'!S35=0,"//---END",'Devices-ConceptMap-1'!S35)</f>
        <v>* group[=].element[=].target.code = #DeviceUseStatement.timingPeriod.start</v>
      </c>
    </row>
    <row r="41" spans="2:2" x14ac:dyDescent="0.75">
      <c r="B41" s="14" t="str">
        <f>IF('Devices-ConceptMap-1'!S36=0,"//---END",'Devices-ConceptMap-1'!S36)</f>
        <v>* group[=].element[=].target.display = ##34###34#</v>
      </c>
    </row>
    <row r="42" spans="2:2" x14ac:dyDescent="0.75">
      <c r="B42" s="14" t="str">
        <f>IF('Devices-ConceptMap-1'!S37=0,"//---END",'Devices-ConceptMap-1'!S37)</f>
        <v>* group[=].element[=].target.equivalence = #equivalent</v>
      </c>
    </row>
    <row r="43" spans="2:2" x14ac:dyDescent="0.75">
      <c r="B43" s="14" t="str">
        <f>IF('Devices-ConceptMap-1'!S38=0,"//---END",'Devices-ConceptMap-1'!S38)</f>
        <v/>
      </c>
    </row>
    <row r="44" spans="2:2" x14ac:dyDescent="0.75">
      <c r="B44" s="14" t="str">
        <f>IF('Devices-ConceptMap-1'!S39=0,"//---END",'Devices-ConceptMap-1'!S39)</f>
        <v>* group[=].element[+].code = #MedicalDevice.endDate</v>
      </c>
    </row>
    <row r="45" spans="2:2" x14ac:dyDescent="0.75">
      <c r="B45" s="14" t="str">
        <f>IF('Devices-ConceptMap-1'!S40=0,"//---END",'Devices-ConceptMap-1'!S40)</f>
        <v>* group[=].element[=].display = ##34#A.2.3.2.4 End date##34#</v>
      </c>
    </row>
    <row r="46" spans="2:2" x14ac:dyDescent="0.75">
      <c r="B46" s="14" t="str">
        <f>IF('Devices-ConceptMap-1'!S41=0,"//---END",'Devices-ConceptMap-1'!S41)</f>
        <v>* group[=].element[=].target.code = #DeviceUseStatement.timingPeriod.end</v>
      </c>
    </row>
    <row r="47" spans="2:2" x14ac:dyDescent="0.75">
      <c r="B47" s="14" t="str">
        <f>IF('Devices-ConceptMap-1'!S42=0,"//---END",'Devices-ConceptMap-1'!S42)</f>
        <v>* group[=].element[=].target.display = ##34###34#</v>
      </c>
    </row>
    <row r="48" spans="2:2" x14ac:dyDescent="0.75">
      <c r="B48" s="14" t="str">
        <f>IF('Devices-ConceptMap-1'!S43=0,"//---END",'Devices-ConceptMap-1'!S43)</f>
        <v>* group[=].element[=].target.equivalence = #equivalent</v>
      </c>
    </row>
    <row r="49" spans="2:2" x14ac:dyDescent="0.75">
      <c r="B49" s="14" t="str">
        <f>IF('Devices-ConceptMap-1'!S44=0,"//---END",'Devices-ConceptMap-1'!S44)</f>
        <v/>
      </c>
    </row>
    <row r="50" spans="2:2" x14ac:dyDescent="0.75">
      <c r="B50" s="14" t="str">
        <f>IF('Devices-ConceptMap-1'!S45=0,"//---END",'Devices-ConceptMap-1'!S45)</f>
        <v>//---END</v>
      </c>
    </row>
    <row r="51" spans="2:2" x14ac:dyDescent="0.75">
      <c r="B51" s="14" t="str">
        <f>IF('Devices-ConceptMap-1'!S46=0,"//---END",'Devices-ConceptMap-1'!S46)</f>
        <v>//---END</v>
      </c>
    </row>
    <row r="52" spans="2:2" x14ac:dyDescent="0.75">
      <c r="B52" s="14" t="str">
        <f>IF('Devices-ConceptMap-1'!S47=0,"//---END",'Devices-ConceptMap-1'!S47)</f>
        <v>//---END</v>
      </c>
    </row>
    <row r="53" spans="2:2" x14ac:dyDescent="0.75">
      <c r="B53" s="14" t="str">
        <f>IF('Devices-ConceptMap-1'!S48=0,"//---END",'Devices-ConceptMap-1'!S48)</f>
        <v>//---END</v>
      </c>
    </row>
    <row r="54" spans="2:2" x14ac:dyDescent="0.75">
      <c r="B54" s="14" t="str">
        <f>IF('Devices-ConceptMap-1'!S49=0,"//---END",'Devices-ConceptMap-1'!S49)</f>
        <v>//---END</v>
      </c>
    </row>
    <row r="55" spans="2:2" x14ac:dyDescent="0.75">
      <c r="B55" s="14" t="str">
        <f>IF('Devices-ConceptMap-1'!S50=0,"//---END",'Devices-ConceptMap-1'!S50)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33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2BC6C-D9B3-4C36-BE82-6ECCD2F2FD11}">
  <sheetPr codeName="Foglio42">
    <tabColor theme="7" tint="0.39997558519241921"/>
  </sheetPr>
  <dimension ref="A1:L24"/>
  <sheetViews>
    <sheetView topLeftCell="A7" workbookViewId="0">
      <selection activeCell="B9" sqref="B9"/>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1142</v>
      </c>
      <c r="I4" s="24" t="str">
        <f>CONCATENATE("Logical: ",B4)</f>
        <v>Logical: ProblemPsEhn</v>
      </c>
    </row>
    <row r="5" spans="1:9" x14ac:dyDescent="0.75">
      <c r="A5" s="17" t="s">
        <v>19</v>
      </c>
      <c r="B5" s="33" t="s">
        <v>1143</v>
      </c>
      <c r="I5" s="24" t="str">
        <f>CONCATENATE("Id: ",B5)</f>
        <v>Id: Problem</v>
      </c>
    </row>
    <row r="6" spans="1:9" x14ac:dyDescent="0.75">
      <c r="A6" s="17" t="s">
        <v>13</v>
      </c>
      <c r="B6" s="18" t="s">
        <v>1135</v>
      </c>
      <c r="I6" s="25" t="str">
        <f>CONCATENATE("Title: ##34#",B6,"##34#")</f>
        <v>Title: ##34#A.2.3.1 Current problems##34#</v>
      </c>
    </row>
    <row r="7" spans="1:9" ht="29.5" x14ac:dyDescent="0.75">
      <c r="A7" s="43" t="s">
        <v>5</v>
      </c>
      <c r="B7" s="123" t="s">
        <v>1136</v>
      </c>
      <c r="C7" s="12"/>
      <c r="D7" s="2"/>
      <c r="E7" s="49"/>
      <c r="F7" s="3" t="s">
        <v>9</v>
      </c>
      <c r="G7" s="3" t="s">
        <v>10</v>
      </c>
      <c r="I7" s="25" t="str">
        <f>CONCATENATE("Description: "," ##334#",B7,"##334#",)</f>
        <v>Description:  ##334#Current problems. Section A.2.3.1 of the eHN guideline.##334#</v>
      </c>
    </row>
    <row r="8" spans="1:9" ht="73.75" x14ac:dyDescent="0.75">
      <c r="A8" s="9">
        <v>1</v>
      </c>
      <c r="B8" s="9" t="s">
        <v>204</v>
      </c>
      <c r="C8" t="s">
        <v>1139</v>
      </c>
      <c r="D8" s="14" t="s">
        <v>1137</v>
      </c>
      <c r="E8" s="9">
        <v>0</v>
      </c>
      <c r="F8" s="9" t="s">
        <v>11</v>
      </c>
      <c r="G8" s="9" t="s">
        <v>1</v>
      </c>
      <c r="H8" s="22"/>
      <c r="I8" s="14" t="str">
        <f>CONCATENATE("* ",B8, " ",E8,"..",F8," ",G8," ##34#",C8,"##34# ##334#",D8,"##334#")</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1:9" ht="30.25" thickBot="1" x14ac:dyDescent="0.9">
      <c r="A9" s="9">
        <v>2</v>
      </c>
      <c r="B9" s="9" t="s">
        <v>890</v>
      </c>
      <c r="C9" t="s">
        <v>1140</v>
      </c>
      <c r="D9" s="36" t="s">
        <v>1120</v>
      </c>
      <c r="E9" s="9">
        <v>0</v>
      </c>
      <c r="F9" s="9" t="s">
        <v>11</v>
      </c>
      <c r="G9" s="9" t="s">
        <v>2</v>
      </c>
      <c r="H9" s="22"/>
      <c r="I9" s="14" t="str">
        <f t="shared" ref="I9:I14" si="0">CONCATENATE("* ",B9, " ",E9,"..",F9," ",G9," ##34#",C9,"##34# ##334#",D9,"##334#")</f>
        <v>* onsetDate 0..* dateTime ##34#A.2.3.1.2 Onset date##34# ##334#Date of problem onset - Preferred system(s): ISO 8601##334#</v>
      </c>
    </row>
    <row r="10" spans="1:9" ht="44.25" x14ac:dyDescent="0.75">
      <c r="A10" s="9">
        <v>3</v>
      </c>
      <c r="B10" s="9" t="s">
        <v>1305</v>
      </c>
      <c r="C10" t="s">
        <v>1141</v>
      </c>
      <c r="D10" s="14" t="s">
        <v>1138</v>
      </c>
      <c r="E10" s="9">
        <v>0</v>
      </c>
      <c r="F10" s="9" t="s">
        <v>11</v>
      </c>
      <c r="G10" s="9" t="s">
        <v>2</v>
      </c>
      <c r="H10" s="22"/>
      <c r="I10" s="14" t="str">
        <f t="shared" si="0"/>
        <v>* assertionStatus 0..* dateTime ##34#A.2.3.1.3 Diagnosis assertion status##34# ##334#Assertion about the certainty associated with a diagnosis. Diagnostic and/or clinical evidence of condition. - Preferred system(s): HL7##334#</v>
      </c>
    </row>
    <row r="11" spans="1:9" ht="14.75" customHeight="1" x14ac:dyDescent="0.75">
      <c r="I11" s="14" t="str">
        <f t="shared" si="0"/>
        <v>*  ..  ##34###34# ##334###334#</v>
      </c>
    </row>
    <row r="12" spans="1:9" ht="15.5" customHeight="1" x14ac:dyDescent="0.75">
      <c r="I12" s="14" t="str">
        <f t="shared" si="0"/>
        <v>*  ..  ##34###34# ##334###334#</v>
      </c>
    </row>
    <row r="13" spans="1:9" x14ac:dyDescent="0.75">
      <c r="I13" s="14" t="str">
        <f t="shared" si="0"/>
        <v>*  ..  ##34###34# ##334###334#</v>
      </c>
    </row>
    <row r="14" spans="1:9" x14ac:dyDescent="0.75">
      <c r="I14" s="14" t="str">
        <f t="shared" si="0"/>
        <v>*  ..  ##34###34# ##334###334#</v>
      </c>
    </row>
    <row r="15" spans="1:9" x14ac:dyDescent="0.75">
      <c r="I15"/>
    </row>
    <row r="19" spans="2:9" ht="15.5" thickBot="1" x14ac:dyDescent="0.9"/>
    <row r="20" spans="2:9" ht="15.5" customHeight="1" thickBot="1" x14ac:dyDescent="0.9">
      <c r="B20" t="str">
        <f t="shared" ref="B20:B23" si="1">CONCATENATE(C20," ",D20)</f>
        <v xml:space="preserve"> </v>
      </c>
      <c r="C20" s="171"/>
      <c r="D20" s="172"/>
      <c r="E20" s="172"/>
      <c r="F20" s="173"/>
    </row>
    <row r="21" spans="2:9" ht="133.5" thickBot="1" x14ac:dyDescent="0.9">
      <c r="B21" t="str">
        <f t="shared" si="1"/>
        <v>A.2.3.1.1 Problem / diagnosis description</v>
      </c>
      <c r="C21" s="93" t="s">
        <v>726</v>
      </c>
      <c r="D21" s="94" t="s">
        <v>648</v>
      </c>
      <c r="E21" s="94" t="s">
        <v>649</v>
      </c>
      <c r="F21" s="94" t="s">
        <v>650</v>
      </c>
      <c r="I21" s="1" t="str">
        <f t="shared" ref="I21:I23" si="2">CONCATENATE(E21," - Preferred system(s): ",F21)</f>
        <v>Health conditions affecting the health of the patient and are important to be known for a health professional during a health encounter. - Preferred system(s): ICD-10* SNOMED CT GPS Orphacode if rare disease is diagnosed</v>
      </c>
    </row>
    <row r="22" spans="2:9" ht="15.5" thickBot="1" x14ac:dyDescent="0.9">
      <c r="B22" t="str">
        <f t="shared" si="1"/>
        <v>A.2.3.1.2 Onset date</v>
      </c>
      <c r="C22" s="93" t="s">
        <v>727</v>
      </c>
      <c r="D22" s="94" t="s">
        <v>584</v>
      </c>
      <c r="E22" s="94" t="s">
        <v>639</v>
      </c>
      <c r="F22" s="94" t="s">
        <v>94</v>
      </c>
      <c r="I22" s="1" t="str">
        <f t="shared" si="2"/>
        <v>Date of problem onset - Preferred system(s): ISO 8601</v>
      </c>
    </row>
    <row r="23" spans="2:9" ht="59.75" thickBot="1" x14ac:dyDescent="0.9">
      <c r="B23" t="str">
        <f t="shared" si="1"/>
        <v>A.2.3.1.3 Diagnosis assertion status</v>
      </c>
      <c r="C23" s="93" t="s">
        <v>728</v>
      </c>
      <c r="D23" s="94" t="s">
        <v>651</v>
      </c>
      <c r="E23" s="94" t="s">
        <v>652</v>
      </c>
      <c r="F23" s="94" t="s">
        <v>653</v>
      </c>
      <c r="I23" s="1" t="str">
        <f t="shared" si="2"/>
        <v>Assertion about the certainty associated with a diagnosis. Diagnostic and/or clinical evidence of condition. - Preferred system(s): HL7</v>
      </c>
    </row>
    <row r="24" spans="2:9" ht="15.5" thickBot="1" x14ac:dyDescent="0.9">
      <c r="C24" s="93"/>
      <c r="D24" s="94"/>
      <c r="E24" s="94"/>
      <c r="F24" s="94"/>
    </row>
  </sheetData>
  <mergeCells count="1">
    <mergeCell ref="C20:F20"/>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4AEBD-9829-4757-8632-33B69F7A9F67}">
  <sheetPr codeName="Foglio28">
    <tabColor theme="8" tint="-0.249977111117893"/>
  </sheetPr>
  <dimension ref="C1:G14"/>
  <sheetViews>
    <sheetView workbookViewId="0">
      <selection activeCell="G9" sqref="G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'A.2.3.1 Problem'!I1</f>
        <v>// -------------------------------------------------------------------------------</v>
      </c>
    </row>
    <row r="2" spans="3:7" ht="16.75" thickBot="1" x14ac:dyDescent="0.9">
      <c r="C2" s="32" t="str">
        <f>'A.2.3.1 Problem'!I2</f>
        <v>//  Logical Model</v>
      </c>
      <c r="G2" s="48" t="s">
        <v>1144</v>
      </c>
    </row>
    <row r="3" spans="3:7" x14ac:dyDescent="0.75">
      <c r="C3" s="32" t="str">
        <f>'A.2.3.1 Problem'!I3</f>
        <v>// -------------------------------------------------------------------------------</v>
      </c>
    </row>
    <row r="4" spans="3:7" x14ac:dyDescent="0.75">
      <c r="C4" s="24" t="str">
        <f>'A.2.3.1 Problem'!I4</f>
        <v>Logical: ProblemPsEhn</v>
      </c>
    </row>
    <row r="5" spans="3:7" x14ac:dyDescent="0.75">
      <c r="C5" s="24" t="str">
        <f>'A.2.3.1 Problem'!I5</f>
        <v>Id: Problem</v>
      </c>
    </row>
    <row r="6" spans="3:7" x14ac:dyDescent="0.75">
      <c r="C6" s="24" t="str">
        <f>'A.2.3.1 Problem'!I6</f>
        <v>Title: ##34#A.2.3.1 Current problems##34#</v>
      </c>
    </row>
    <row r="7" spans="3:7" x14ac:dyDescent="0.75">
      <c r="C7" s="24" t="str">
        <f>'A.2.3.1 Problem'!I7</f>
        <v>Description:  ##334#Current problems. Section A.2.3.1 of the eHN guideline.##334#</v>
      </c>
    </row>
    <row r="8" spans="3:7" ht="44.25" x14ac:dyDescent="0.75">
      <c r="C8" s="14" t="str">
        <f>IF('A.2.3.1 Problem'!I8="*  ..  ##34###34# ##334###334#","//--- END",'A.2.3.1 Problem'!I8)</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3:7" ht="29.5" x14ac:dyDescent="0.75">
      <c r="C9" s="14" t="str">
        <f>IF('A.2.3.1 Problem'!I9="*  ..  ##34###34# ##334###334#","//--- END",'A.2.3.1 Problem'!I9)</f>
        <v>* onsetDate 0..* dateTime ##34#A.2.3.1.2 Onset date##34# ##334#Date of problem onset - Preferred system(s): ISO 8601##334#</v>
      </c>
    </row>
    <row r="10" spans="3:7" ht="29.5" x14ac:dyDescent="0.75">
      <c r="C10" s="14" t="str">
        <f>IF('A.2.3.1 Problem'!I10="*  ..  ##34###34# ##334###334#","//--- END",'A.2.3.1 Problem'!I10)</f>
        <v>* assertionStatus 0..* dateTime ##34#A.2.3.1.3 Diagnosis assertion status##34# ##334#Assertion about the certainty associated with a diagnosis. Diagnostic and/or clinical evidence of condition. - Preferred system(s): HL7##334#</v>
      </c>
      <c r="E10" t="s">
        <v>116</v>
      </c>
    </row>
    <row r="11" spans="3:7" x14ac:dyDescent="0.75">
      <c r="C11" s="14" t="str">
        <f>IF('A.2.3.1 Problem'!I11="*  ..  ##34###34# ##334###334#","//--- END",'A.2.3.1 Problem'!I11)</f>
        <v>//--- END</v>
      </c>
    </row>
    <row r="12" spans="3:7" x14ac:dyDescent="0.75">
      <c r="C12" s="14" t="str">
        <f>IF('A.2.3.1 Problem'!I12="*  ..  ##34###34# ##334###334#","//--- END",'A.2.3.1 Problem'!I12)</f>
        <v>//--- END</v>
      </c>
    </row>
    <row r="13" spans="3:7" x14ac:dyDescent="0.75">
      <c r="C13" s="14" t="str">
        <f>IF('A.2.3.1 Problem'!I13="*  ..  ##34###34# ##334###334#","//--- END",'A.2.3.1 Problem'!I13)</f>
        <v>//--- END</v>
      </c>
    </row>
    <row r="14" spans="3:7" x14ac:dyDescent="0.75">
      <c r="C14" s="14" t="str">
        <f>IF('A.2.3.1 Problem'!I14="*  ..  ##34###34# ##334###334#","//--- END",'A.2.3.1 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081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39B35-41DC-4D2E-A7E6-142B03F11D8B}">
  <sheetPr codeName="Foglio61">
    <tabColor theme="0" tint="-0.499984740745262"/>
  </sheetPr>
  <dimension ref="A2:S52"/>
  <sheetViews>
    <sheetView topLeftCell="B1" zoomScale="70" zoomScaleNormal="70" workbookViewId="0">
      <selection activeCell="E8" sqref="E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1153</v>
      </c>
      <c r="D3" s="61" t="s">
        <v>208</v>
      </c>
      <c r="E3" s="72" t="str">
        <f>"http://hl7.eu/fhir/ig/xpandh/ps/StructureDefinition/"&amp;'A.2.3.1 Problem'!B5</f>
        <v>http://hl7.eu/fhir/ig/xpandh/ps/StructureDefinition/Problem</v>
      </c>
    </row>
    <row r="4" spans="1:19" x14ac:dyDescent="0.75">
      <c r="B4" s="61" t="s">
        <v>19</v>
      </c>
      <c r="C4" s="47" t="s">
        <v>1158</v>
      </c>
      <c r="D4" s="61" t="s">
        <v>209</v>
      </c>
      <c r="E4" s="165" t="s">
        <v>1308</v>
      </c>
      <c r="F4" s="164"/>
      <c r="G4" s="164"/>
    </row>
    <row r="5" spans="1:19" x14ac:dyDescent="0.75">
      <c r="B5" s="61" t="s">
        <v>13</v>
      </c>
      <c r="C5" s="10" t="s">
        <v>1154</v>
      </c>
      <c r="D5" s="61"/>
      <c r="E5" s="10"/>
    </row>
    <row r="6" spans="1:19" x14ac:dyDescent="0.75">
      <c r="B6" s="61" t="s">
        <v>35</v>
      </c>
      <c r="C6" s="60"/>
      <c r="D6" s="61" t="s">
        <v>206</v>
      </c>
      <c r="E6" s="165" t="str">
        <f>E3</f>
        <v>http://hl7.eu/fhir/ig/xpandh/ps/StructureDefinition/Problem</v>
      </c>
      <c r="F6" s="164"/>
      <c r="G6" s="164"/>
    </row>
    <row r="7" spans="1:19" x14ac:dyDescent="0.75">
      <c r="B7" s="61" t="s">
        <v>18</v>
      </c>
      <c r="C7" s="68"/>
      <c r="D7" s="61" t="s">
        <v>207</v>
      </c>
      <c r="E7" s="165" t="str">
        <f>E4</f>
        <v>http://hl7.eu/fhir/ig/xpandh/ps/StructureDefinition/Condition-ps-xpandh</v>
      </c>
      <c r="F7" s="164"/>
      <c r="G7" s="164"/>
    </row>
    <row r="8" spans="1:19" ht="44.25" x14ac:dyDescent="0.75">
      <c r="B8" s="61" t="s">
        <v>204</v>
      </c>
      <c r="C8" s="46" t="s">
        <v>1155</v>
      </c>
      <c r="D8" s="61"/>
      <c r="E8" s="10"/>
      <c r="I8" s="14" t="s">
        <v>181</v>
      </c>
      <c r="J8" s="14" t="s">
        <v>182</v>
      </c>
      <c r="K8" s="14" t="s">
        <v>183</v>
      </c>
      <c r="L8" s="14" t="s">
        <v>184</v>
      </c>
      <c r="M8" s="9" t="s">
        <v>185</v>
      </c>
      <c r="P8" s="57" t="s">
        <v>186</v>
      </c>
      <c r="Q8" s="57">
        <v>6</v>
      </c>
    </row>
    <row r="9" spans="1:19" ht="29.5" x14ac:dyDescent="0.75">
      <c r="B9" s="61" t="s">
        <v>205</v>
      </c>
      <c r="C9" s="14" t="s">
        <v>1156</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'A.2.3.1 Problem'!B5</f>
        <v>Problem</v>
      </c>
      <c r="C14" s="9"/>
      <c r="D14" s="4" t="s">
        <v>1131</v>
      </c>
      <c r="E14" s="8"/>
      <c r="F14" s="63"/>
      <c r="G14" s="63"/>
      <c r="I14" s="14"/>
      <c r="J14" s="9"/>
      <c r="K14" s="9"/>
      <c r="L14" s="9"/>
      <c r="M14" s="59"/>
      <c r="N14" s="62"/>
    </row>
    <row r="15" spans="1:19" ht="44.25" x14ac:dyDescent="0.75">
      <c r="A15" s="22"/>
      <c r="B15" s="9" t="str">
        <f>'A.2.3.1 Problem'!B8</f>
        <v>description</v>
      </c>
      <c r="C15" s="9" t="str">
        <f>'A.2.3.1 Problem'!C8</f>
        <v>A.2.3.1.1 Problem / diagnosis description</v>
      </c>
      <c r="D15" s="14" t="s">
        <v>189</v>
      </c>
      <c r="E15" s="9"/>
      <c r="F15" s="63" t="s">
        <v>192</v>
      </c>
      <c r="G15" s="63"/>
      <c r="I15" s="14" t="str">
        <f>"* group[=].element[+].code = #"&amp;$B$14&amp;"."&amp;B15</f>
        <v>* group[=].element[+].code = #Problem.description</v>
      </c>
      <c r="J15" s="14" t="str">
        <f>"* group[=].element[=].display = ##34#"&amp;C15&amp;"##34#"</f>
        <v>* group[=].element[=].display = ##34#A.2.3.1.1 Problem / diagnosis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INDEX('Problem-ConceptMap-1'!$I$15:$N$55,Q15+1,R15)</f>
        <v>* group[=].element[+].code = #Problem.description</v>
      </c>
    </row>
    <row r="16" spans="1:19" ht="44.25" customHeight="1" x14ac:dyDescent="0.75">
      <c r="A16" s="22"/>
      <c r="B16" s="9" t="str">
        <f>'A.2.3.1 Problem'!B9</f>
        <v>onsetDate</v>
      </c>
      <c r="C16" s="9" t="str">
        <f>'A.2.3.1 Problem'!C9</f>
        <v>A.2.3.1.2 Onset date</v>
      </c>
      <c r="D16" s="14" t="s">
        <v>915</v>
      </c>
      <c r="E16" s="9"/>
      <c r="F16" s="63" t="s">
        <v>192</v>
      </c>
      <c r="G16" s="63"/>
      <c r="H16" s="64"/>
      <c r="I16" s="14" t="str">
        <f t="shared" ref="I16:I17" si="2">"* group[=].element[+].code = #"&amp;$B$14&amp;"."&amp;B16</f>
        <v>* group[=].element[+].code = #Problem.onsetDate</v>
      </c>
      <c r="J16" s="14" t="str">
        <f t="shared" ref="J16:J17" si="3">"* group[=].element[=].display = ##34#"&amp;C16&amp;"##34#"</f>
        <v>* group[=].element[=].display = ##34#A.2.3.1.2 Onset date##34#</v>
      </c>
      <c r="K16" s="14" t="str">
        <f t="shared" ref="K16:K17" si="4">IF(F16="unmatched","//-- unmatched","* group[=].element[=].target.code = #"&amp;$D$14&amp;"."&amp;D16)</f>
        <v>* group[=].element[=].target.code = #Condition.onsetDateTime</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c>
      <c r="P16" s="9">
        <v>2</v>
      </c>
      <c r="Q16" s="9">
        <f t="shared" ref="Q16:Q52" si="8">IF(MOD(P16,$Q$8)=0,P16/$Q$8-1,INT(P16/$Q$8))</f>
        <v>0</v>
      </c>
      <c r="R16" s="9">
        <f t="shared" ref="R16:R52" si="9">IF(MOD(P16,$Q$8)=0,$Q$8,MOD(P16,$Q$8))</f>
        <v>2</v>
      </c>
      <c r="S16" s="14" t="str" cm="1">
        <f t="array" ref="S16">INDEX('Problem-ConceptMap-1'!$I$15:$N$55,Q16+1,R16)</f>
        <v>* group[=].element[=].display = ##34#A.2.3.1.1 Problem / diagnosis description##34#</v>
      </c>
    </row>
    <row r="17" spans="1:19" ht="44.25" x14ac:dyDescent="0.75">
      <c r="A17" s="22"/>
      <c r="B17" s="9" t="str">
        <f>'A.2.3.1 Problem'!B10</f>
        <v>assertionStatus</v>
      </c>
      <c r="C17" s="9" t="str">
        <f>'A.2.3.1 Problem'!C10</f>
        <v>A.2.3.1.3 Diagnosis assertion status</v>
      </c>
      <c r="D17" s="14" t="s">
        <v>917</v>
      </c>
      <c r="E17" s="9"/>
      <c r="F17" s="63" t="s">
        <v>192</v>
      </c>
      <c r="G17" s="63"/>
      <c r="H17" s="64"/>
      <c r="I17" s="14" t="str">
        <f t="shared" si="2"/>
        <v>* group[=].element[+].code = #Problem.assertionStatus</v>
      </c>
      <c r="J17" s="14" t="str">
        <f t="shared" si="3"/>
        <v>* group[=].element[=].display = ##34#A.2.3.1.3 Diagnosis assertion status##34#</v>
      </c>
      <c r="K17" s="14" t="str">
        <f t="shared" si="4"/>
        <v>* group[=].element[=].target.code = #Condition.verificationStatus</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INDEX('Problem-ConceptMap-1'!$I$15:$N$55,Q17+1,R17)</f>
        <v>* group[=].element[=].target.code = #Condition.code</v>
      </c>
    </row>
    <row r="18" spans="1:19" x14ac:dyDescent="0.75">
      <c r="P18" s="9">
        <v>4</v>
      </c>
      <c r="Q18" s="9">
        <f t="shared" si="8"/>
        <v>0</v>
      </c>
      <c r="R18" s="9">
        <f t="shared" si="9"/>
        <v>4</v>
      </c>
      <c r="S18" s="14" t="str" cm="1">
        <f t="array" ref="S18">INDEX('Problem-ConceptMap-1'!$I$15:$N$55,Q18+1,R18)</f>
        <v>* group[=].element[=].target.display = ##34###34#</v>
      </c>
    </row>
    <row r="19" spans="1:19" x14ac:dyDescent="0.75">
      <c r="P19" s="9">
        <v>5</v>
      </c>
      <c r="Q19" s="9">
        <f t="shared" si="8"/>
        <v>0</v>
      </c>
      <c r="R19" s="9">
        <f t="shared" si="9"/>
        <v>5</v>
      </c>
      <c r="S19" s="14" t="str" cm="1">
        <f t="array" ref="S19">INDEX('Problem-ConceptMap-1'!$I$15:$N$55,Q19+1,R19)</f>
        <v>* group[=].element[=].target.equivalence = #equivalent</v>
      </c>
    </row>
    <row r="20" spans="1:19" x14ac:dyDescent="0.75">
      <c r="P20" s="9">
        <v>6</v>
      </c>
      <c r="Q20" s="9">
        <f t="shared" si="8"/>
        <v>0</v>
      </c>
      <c r="R20" s="9">
        <f t="shared" si="9"/>
        <v>6</v>
      </c>
      <c r="S20" s="14" t="str" cm="1">
        <f t="array" ref="S20">INDEX('Problem-ConceptMap-1'!$I$15:$N$55,Q20+1,R20)</f>
        <v/>
      </c>
    </row>
    <row r="21" spans="1:19" x14ac:dyDescent="0.75">
      <c r="P21" s="9">
        <v>7</v>
      </c>
      <c r="Q21" s="9">
        <f t="shared" si="8"/>
        <v>1</v>
      </c>
      <c r="R21" s="9">
        <f t="shared" si="9"/>
        <v>1</v>
      </c>
      <c r="S21" s="14" t="str" cm="1">
        <f t="array" ref="S21">INDEX('Problem-ConceptMap-1'!$I$15:$N$55,Q21+1,R21)</f>
        <v>* group[=].element[+].code = #Problem.onsetDate</v>
      </c>
    </row>
    <row r="22" spans="1:19" x14ac:dyDescent="0.75">
      <c r="P22" s="9">
        <v>8</v>
      </c>
      <c r="Q22" s="9">
        <f t="shared" si="8"/>
        <v>1</v>
      </c>
      <c r="R22" s="9">
        <f t="shared" si="9"/>
        <v>2</v>
      </c>
      <c r="S22" s="14" t="str" cm="1">
        <f t="array" ref="S22">INDEX('Problem-ConceptMap-1'!$I$15:$N$55,Q22+1,R22)</f>
        <v>* group[=].element[=].display = ##34#A.2.3.1.2 Onset date##34#</v>
      </c>
    </row>
    <row r="23" spans="1:19" x14ac:dyDescent="0.75">
      <c r="P23" s="9">
        <v>9</v>
      </c>
      <c r="Q23" s="9">
        <f t="shared" si="8"/>
        <v>1</v>
      </c>
      <c r="R23" s="9">
        <f t="shared" si="9"/>
        <v>3</v>
      </c>
      <c r="S23" s="14" t="str" cm="1">
        <f t="array" ref="S23">INDEX('Problem-ConceptMap-1'!$I$15:$N$55,Q23+1,R23)</f>
        <v>* group[=].element[=].target.code = #Condition.onsetDateTime</v>
      </c>
    </row>
    <row r="24" spans="1:19" x14ac:dyDescent="0.75">
      <c r="P24" s="9">
        <v>10</v>
      </c>
      <c r="Q24" s="9">
        <f t="shared" si="8"/>
        <v>1</v>
      </c>
      <c r="R24" s="9">
        <f t="shared" si="9"/>
        <v>4</v>
      </c>
      <c r="S24" s="14" t="str" cm="1">
        <f t="array" ref="S24">INDEX('Problem-ConceptMap-1'!$I$15:$N$55,Q24+1,R24)</f>
        <v>* group[=].element[=].target.display = ##34###34#</v>
      </c>
    </row>
    <row r="25" spans="1:19" x14ac:dyDescent="0.75">
      <c r="P25" s="9">
        <v>11</v>
      </c>
      <c r="Q25" s="9">
        <f t="shared" si="8"/>
        <v>1</v>
      </c>
      <c r="R25" s="9">
        <f t="shared" si="9"/>
        <v>5</v>
      </c>
      <c r="S25" s="14" t="str" cm="1">
        <f t="array" ref="S25">INDEX('Problem-ConceptMap-1'!$I$15:$N$55,Q25+1,R25)</f>
        <v>* group[=].element[=].target.equivalence = #equivalent</v>
      </c>
    </row>
    <row r="26" spans="1:19" x14ac:dyDescent="0.75">
      <c r="P26" s="9">
        <v>12</v>
      </c>
      <c r="Q26" s="9">
        <f t="shared" si="8"/>
        <v>1</v>
      </c>
      <c r="R26" s="9">
        <f t="shared" si="9"/>
        <v>6</v>
      </c>
      <c r="S26" s="14" t="str" cm="1">
        <f t="array" ref="S26">INDEX('Problem-ConceptMap-1'!$I$15:$N$55,Q26+1,R26)</f>
        <v/>
      </c>
    </row>
    <row r="27" spans="1:19" x14ac:dyDescent="0.75">
      <c r="P27" s="9">
        <v>13</v>
      </c>
      <c r="Q27" s="9">
        <f t="shared" si="8"/>
        <v>2</v>
      </c>
      <c r="R27" s="9">
        <f t="shared" si="9"/>
        <v>1</v>
      </c>
      <c r="S27" s="14" t="str" cm="1">
        <f t="array" ref="S27">INDEX('Problem-ConceptMap-1'!$I$15:$N$55,Q27+1,R27)</f>
        <v>* group[=].element[+].code = #Problem.assertionStatus</v>
      </c>
    </row>
    <row r="28" spans="1:19" x14ac:dyDescent="0.75">
      <c r="P28" s="9">
        <v>14</v>
      </c>
      <c r="Q28" s="9">
        <f t="shared" si="8"/>
        <v>2</v>
      </c>
      <c r="R28" s="9">
        <f t="shared" si="9"/>
        <v>2</v>
      </c>
      <c r="S28" s="14" t="str" cm="1">
        <f t="array" ref="S28">INDEX('Problem-ConceptMap-1'!$I$15:$N$55,Q28+1,R28)</f>
        <v>* group[=].element[=].display = ##34#A.2.3.1.3 Diagnosis assertion status##34#</v>
      </c>
    </row>
    <row r="29" spans="1:19" x14ac:dyDescent="0.75">
      <c r="P29" s="9">
        <v>15</v>
      </c>
      <c r="Q29" s="9">
        <f t="shared" si="8"/>
        <v>2</v>
      </c>
      <c r="R29" s="9">
        <f t="shared" si="9"/>
        <v>3</v>
      </c>
      <c r="S29" s="14" t="str" cm="1">
        <f t="array" ref="S29">INDEX('Problem-ConceptMap-1'!$I$15:$N$55,Q29+1,R29)</f>
        <v>* group[=].element[=].target.code = #Condition.verificationStatus</v>
      </c>
    </row>
    <row r="30" spans="1:19" x14ac:dyDescent="0.75">
      <c r="P30" s="9">
        <v>16</v>
      </c>
      <c r="Q30" s="9">
        <f t="shared" si="8"/>
        <v>2</v>
      </c>
      <c r="R30" s="9">
        <f t="shared" si="9"/>
        <v>4</v>
      </c>
      <c r="S30" s="14" t="str" cm="1">
        <f t="array" ref="S30">INDEX('Problem-ConceptMap-1'!$I$15:$N$55,Q30+1,R30)</f>
        <v>* group[=].element[=].target.display = ##34###34#</v>
      </c>
    </row>
    <row r="31" spans="1:19" x14ac:dyDescent="0.75">
      <c r="P31" s="9">
        <v>17</v>
      </c>
      <c r="Q31" s="9">
        <f t="shared" si="8"/>
        <v>2</v>
      </c>
      <c r="R31" s="9">
        <f t="shared" si="9"/>
        <v>5</v>
      </c>
      <c r="S31" s="14" t="str" cm="1">
        <f t="array" ref="S31">INDEX('Problem-ConceptMap-1'!$I$15:$N$55,Q31+1,R31)</f>
        <v>* group[=].element[=].target.equivalence = #equivalent</v>
      </c>
    </row>
    <row r="32" spans="1:19" x14ac:dyDescent="0.75">
      <c r="P32" s="9">
        <v>18</v>
      </c>
      <c r="Q32" s="9">
        <f t="shared" si="8"/>
        <v>2</v>
      </c>
      <c r="R32" s="9">
        <f t="shared" si="9"/>
        <v>6</v>
      </c>
      <c r="S32" s="14" t="str" cm="1">
        <f t="array" ref="S32">INDEX('Problem-ConceptMap-1'!$I$15:$N$55,Q32+1,R32)</f>
        <v/>
      </c>
    </row>
    <row r="33" spans="16:19" x14ac:dyDescent="0.75">
      <c r="P33" s="9">
        <v>19</v>
      </c>
      <c r="Q33" s="9">
        <f t="shared" si="8"/>
        <v>3</v>
      </c>
      <c r="R33" s="9">
        <f t="shared" si="9"/>
        <v>1</v>
      </c>
      <c r="S33" s="14" cm="1">
        <f t="array" ref="S33">INDEX('Problem-ConceptMap-1'!$I$15:$N$55,Q33+1,R33)</f>
        <v>0</v>
      </c>
    </row>
    <row r="34" spans="16:19" x14ac:dyDescent="0.75">
      <c r="P34" s="9">
        <v>20</v>
      </c>
      <c r="Q34" s="9">
        <f t="shared" si="8"/>
        <v>3</v>
      </c>
      <c r="R34" s="9">
        <f t="shared" si="9"/>
        <v>2</v>
      </c>
      <c r="S34" s="14" cm="1">
        <f t="array" ref="S34">INDEX('Problem-ConceptMap-1'!$I$15:$N$55,Q34+1,R34)</f>
        <v>0</v>
      </c>
    </row>
    <row r="35" spans="16:19" x14ac:dyDescent="0.75">
      <c r="P35" s="9">
        <v>21</v>
      </c>
      <c r="Q35" s="9">
        <f t="shared" si="8"/>
        <v>3</v>
      </c>
      <c r="R35" s="9">
        <f t="shared" si="9"/>
        <v>3</v>
      </c>
      <c r="S35" s="14" cm="1">
        <f t="array" ref="S35">INDEX('Problem-ConceptMap-1'!$I$15:$N$55,Q35+1,R35)</f>
        <v>0</v>
      </c>
    </row>
    <row r="36" spans="16:19" x14ac:dyDescent="0.75">
      <c r="P36" s="9">
        <v>22</v>
      </c>
      <c r="Q36" s="9">
        <f t="shared" si="8"/>
        <v>3</v>
      </c>
      <c r="R36" s="9">
        <f t="shared" si="9"/>
        <v>4</v>
      </c>
      <c r="S36" s="14" cm="1">
        <f t="array" ref="S36">INDEX('Problem-ConceptMap-1'!$I$15:$N$55,Q36+1,R36)</f>
        <v>0</v>
      </c>
    </row>
    <row r="37" spans="16:19" x14ac:dyDescent="0.75">
      <c r="P37" s="9">
        <v>23</v>
      </c>
      <c r="Q37" s="9">
        <f t="shared" si="8"/>
        <v>3</v>
      </c>
      <c r="R37" s="9">
        <f t="shared" si="9"/>
        <v>5</v>
      </c>
      <c r="S37" s="14" cm="1">
        <f t="array" ref="S37">INDEX('Problem-ConceptMap-1'!$I$15:$N$55,Q37+1,R37)</f>
        <v>0</v>
      </c>
    </row>
    <row r="38" spans="16:19" x14ac:dyDescent="0.75">
      <c r="P38" s="9">
        <v>24</v>
      </c>
      <c r="Q38" s="9">
        <f t="shared" si="8"/>
        <v>3</v>
      </c>
      <c r="R38" s="9">
        <f t="shared" si="9"/>
        <v>6</v>
      </c>
      <c r="S38" s="14" cm="1">
        <f t="array" ref="S38">INDEX('Problem-ConceptMap-1'!$I$15:$N$55,Q38+1,R38)</f>
        <v>0</v>
      </c>
    </row>
    <row r="39" spans="16:19" x14ac:dyDescent="0.75">
      <c r="P39" s="9">
        <v>25</v>
      </c>
      <c r="Q39" s="9">
        <f t="shared" si="8"/>
        <v>4</v>
      </c>
      <c r="R39" s="9">
        <f t="shared" si="9"/>
        <v>1</v>
      </c>
      <c r="S39" s="14" cm="1">
        <f t="array" ref="S39">INDEX('Problem-ConceptMap-1'!$I$15:$N$55,Q39+1,R39)</f>
        <v>0</v>
      </c>
    </row>
    <row r="40" spans="16:19" x14ac:dyDescent="0.75">
      <c r="P40" s="9">
        <v>26</v>
      </c>
      <c r="Q40" s="9">
        <f t="shared" si="8"/>
        <v>4</v>
      </c>
      <c r="R40" s="9">
        <f t="shared" si="9"/>
        <v>2</v>
      </c>
      <c r="S40" s="14" cm="1">
        <f t="array" ref="S40">INDEX('Problem-ConceptMap-1'!$I$15:$N$55,Q40+1,R40)</f>
        <v>0</v>
      </c>
    </row>
    <row r="41" spans="16:19" x14ac:dyDescent="0.75">
      <c r="P41" s="9">
        <v>27</v>
      </c>
      <c r="Q41" s="9">
        <f t="shared" si="8"/>
        <v>4</v>
      </c>
      <c r="R41" s="9">
        <f t="shared" si="9"/>
        <v>3</v>
      </c>
      <c r="S41" s="14" cm="1">
        <f t="array" ref="S41">INDEX('Problem-ConceptMap-1'!$I$15:$N$55,Q41+1,R41)</f>
        <v>0</v>
      </c>
    </row>
    <row r="42" spans="16:19" x14ac:dyDescent="0.75">
      <c r="P42" s="9">
        <v>28</v>
      </c>
      <c r="Q42" s="9">
        <f t="shared" si="8"/>
        <v>4</v>
      </c>
      <c r="R42" s="9">
        <f t="shared" si="9"/>
        <v>4</v>
      </c>
      <c r="S42" s="14" cm="1">
        <f t="array" ref="S42">INDEX('Problem-ConceptMap-1'!$I$15:$N$55,Q42+1,R42)</f>
        <v>0</v>
      </c>
    </row>
    <row r="43" spans="16:19" x14ac:dyDescent="0.75">
      <c r="P43" s="9">
        <v>29</v>
      </c>
      <c r="Q43" s="9">
        <f t="shared" si="8"/>
        <v>4</v>
      </c>
      <c r="R43" s="9">
        <f t="shared" si="9"/>
        <v>5</v>
      </c>
      <c r="S43" s="14" cm="1">
        <f t="array" ref="S43">INDEX('Problem-ConceptMap-1'!$I$15:$N$55,Q43+1,R43)</f>
        <v>0</v>
      </c>
    </row>
    <row r="44" spans="16:19" x14ac:dyDescent="0.75">
      <c r="P44" s="9">
        <v>30</v>
      </c>
      <c r="Q44" s="9">
        <f t="shared" si="8"/>
        <v>4</v>
      </c>
      <c r="R44" s="9">
        <f t="shared" si="9"/>
        <v>6</v>
      </c>
      <c r="S44" s="14" cm="1">
        <f t="array" ref="S44">INDEX('Problem-ConceptMap-1'!$I$15:$N$55,Q44+1,R44)</f>
        <v>0</v>
      </c>
    </row>
    <row r="45" spans="16:19" x14ac:dyDescent="0.75">
      <c r="P45" s="9">
        <v>31</v>
      </c>
      <c r="Q45" s="9">
        <f t="shared" si="8"/>
        <v>5</v>
      </c>
      <c r="R45" s="9">
        <f t="shared" si="9"/>
        <v>1</v>
      </c>
      <c r="S45" s="14" cm="1">
        <f t="array" ref="S45">INDEX('Problem-ConceptMap-1'!$I$15:$N$55,Q45+1,R45)</f>
        <v>0</v>
      </c>
    </row>
    <row r="46" spans="16:19" x14ac:dyDescent="0.75">
      <c r="P46" s="9">
        <v>32</v>
      </c>
      <c r="Q46" s="9">
        <f t="shared" si="8"/>
        <v>5</v>
      </c>
      <c r="R46" s="9">
        <f t="shared" si="9"/>
        <v>2</v>
      </c>
      <c r="S46" s="14" cm="1">
        <f t="array" ref="S46">INDEX('Problem-ConceptMap-1'!$I$15:$N$55,Q46+1,R46)</f>
        <v>0</v>
      </c>
    </row>
    <row r="47" spans="16:19" x14ac:dyDescent="0.75">
      <c r="P47" s="9">
        <v>33</v>
      </c>
      <c r="Q47" s="9">
        <f t="shared" si="8"/>
        <v>5</v>
      </c>
      <c r="R47" s="9">
        <f t="shared" si="9"/>
        <v>3</v>
      </c>
      <c r="S47" s="14" cm="1">
        <f t="array" ref="S47">INDEX('Problem-ConceptMap-1'!$I$15:$N$55,Q47+1,R47)</f>
        <v>0</v>
      </c>
    </row>
    <row r="48" spans="16:19" x14ac:dyDescent="0.75">
      <c r="P48" s="9">
        <v>34</v>
      </c>
      <c r="Q48" s="9">
        <f t="shared" si="8"/>
        <v>5</v>
      </c>
      <c r="R48" s="9">
        <f t="shared" si="9"/>
        <v>4</v>
      </c>
      <c r="S48" s="14" cm="1">
        <f t="array" ref="S48">INDEX('Problem-ConceptMap-1'!$I$15:$N$55,Q48+1,R48)</f>
        <v>0</v>
      </c>
    </row>
    <row r="49" spans="16:19" x14ac:dyDescent="0.75">
      <c r="P49" s="9">
        <v>35</v>
      </c>
      <c r="Q49" s="9">
        <f t="shared" si="8"/>
        <v>5</v>
      </c>
      <c r="R49" s="9">
        <f t="shared" si="9"/>
        <v>5</v>
      </c>
      <c r="S49" s="14" cm="1">
        <f t="array" ref="S49">INDEX('Problem-ConceptMap-1'!$I$15:$N$55,Q49+1,R49)</f>
        <v>0</v>
      </c>
    </row>
    <row r="50" spans="16:19" x14ac:dyDescent="0.75">
      <c r="P50" s="9">
        <v>36</v>
      </c>
      <c r="Q50" s="9">
        <f t="shared" si="8"/>
        <v>5</v>
      </c>
      <c r="R50" s="9">
        <f t="shared" si="9"/>
        <v>6</v>
      </c>
      <c r="S50" s="14" cm="1">
        <f t="array" ref="S50">INDEX('Problem-ConceptMap-1'!$I$15:$N$55,Q50+1,R50)</f>
        <v>0</v>
      </c>
    </row>
    <row r="51" spans="16:19" x14ac:dyDescent="0.75">
      <c r="P51" s="9">
        <v>37</v>
      </c>
      <c r="Q51" s="9">
        <f t="shared" si="8"/>
        <v>6</v>
      </c>
      <c r="R51" s="9">
        <f t="shared" si="9"/>
        <v>1</v>
      </c>
      <c r="S51" s="14" cm="1">
        <f t="array" ref="S51">INDEX('Problem-ConceptMap-1'!$I$15:$N$55,Q51+1,R51)</f>
        <v>0</v>
      </c>
    </row>
    <row r="52" spans="16:19" x14ac:dyDescent="0.75">
      <c r="P52" s="9">
        <v>38</v>
      </c>
      <c r="Q52" s="9">
        <f t="shared" si="8"/>
        <v>6</v>
      </c>
      <c r="R52" s="9">
        <f t="shared" si="9"/>
        <v>2</v>
      </c>
      <c r="S52" s="14" cm="1">
        <f t="array" ref="S52">INDEX('Problem-ConceptMap-1'!$I$15:$N$55,Q52+1,R52)</f>
        <v>0</v>
      </c>
    </row>
  </sheetData>
  <mergeCells count="3">
    <mergeCell ref="E4:G4"/>
    <mergeCell ref="E6:G6"/>
    <mergeCell ref="E7:G7"/>
  </mergeCells>
  <hyperlinks>
    <hyperlink ref="E3" r:id="rId1" display="http://hl7.eu/fhir/laboratory/StructureDefinition/Author" xr:uid="{A5F5FED7-485C-4CD3-AF90-BC764A3103F3}"/>
    <hyperlink ref="E6" r:id="rId2" display="http://hl7.eu/fhir/laboratory/StructureDefinition/Author" xr:uid="{F0AD97CA-0204-40F6-9881-356FEDD4EF2F}"/>
    <hyperlink ref="E4" r:id="rId3" xr:uid="{BCD6BCE9-C3E5-43B7-9C6C-C20189EA574F}"/>
    <hyperlink ref="E7" r:id="rId4" display="http://hl7.eu/fhir/ig/xpandh/ps/StructureDefinition/Condition-ps-eu-xpandh" xr:uid="{EEB4F4FE-7FFA-4B74-8884-9BD89B7B639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95E61-851F-4B81-B4CF-634C21549E16}">
  <sheetPr codeName="Foglio62">
    <tabColor theme="0" tint="-0.34998626667073579"/>
  </sheetPr>
  <dimension ref="B1:G51"/>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1145</v>
      </c>
    </row>
    <row r="3" spans="2:7" x14ac:dyDescent="0.75">
      <c r="B3" s="32" t="s">
        <v>37</v>
      </c>
    </row>
    <row r="4" spans="2:7" x14ac:dyDescent="0.75">
      <c r="B4" s="65" t="str">
        <f>"Instance: "&amp;'Problem-ConceptMap-1'!C4</f>
        <v>Instance: problem2FHIR-eu-ps</v>
      </c>
    </row>
    <row r="5" spans="2:7" x14ac:dyDescent="0.75">
      <c r="B5" s="65" t="s">
        <v>196</v>
      </c>
    </row>
    <row r="6" spans="2:7" x14ac:dyDescent="0.75">
      <c r="B6" s="65" t="s">
        <v>197</v>
      </c>
    </row>
    <row r="7" spans="2:7" x14ac:dyDescent="0.75">
      <c r="B7" s="65" t="s">
        <v>203</v>
      </c>
    </row>
    <row r="8" spans="2:7" x14ac:dyDescent="0.75">
      <c r="B8" s="65" t="str">
        <f>"* name = ##34#"&amp;'Problem-ConceptMap-1'!C3&amp;"##34#"</f>
        <v>* name = ##34#Problem2Fhir##34#</v>
      </c>
    </row>
    <row r="9" spans="2:7" x14ac:dyDescent="0.75">
      <c r="B9" s="65" t="str">
        <f>"* title = ##34#"&amp;'Problem-ConceptMap-1'!C5&amp;"##34#"</f>
        <v>* title = ##34#eHN Problem to this guide Map##34#</v>
      </c>
    </row>
    <row r="10" spans="2:7" x14ac:dyDescent="0.75">
      <c r="B10" s="65" t="s">
        <v>198</v>
      </c>
    </row>
    <row r="11" spans="2:7" x14ac:dyDescent="0.75">
      <c r="B11" s="65" t="s">
        <v>199</v>
      </c>
    </row>
    <row r="12" spans="2:7" x14ac:dyDescent="0.75">
      <c r="B12" s="65" t="str">
        <f>"* description = ##34#"&amp;'Problem-ConceptMap-1'!C8&amp;"##34#"</f>
        <v>* description = ##34#eHN Problem Model to this guide Map##34#</v>
      </c>
    </row>
    <row r="13" spans="2:7" x14ac:dyDescent="0.75">
      <c r="B13" s="65" t="str">
        <f>"* purpose = ##34#"&amp;'Problem-ConceptMap-1'!C9&amp;"##34#"</f>
        <v>* purpose = ##34#It shows how the Problem data set defined by the EU eHN guidelines is mapped into this guide##34#</v>
      </c>
    </row>
    <row r="14" spans="2:7" x14ac:dyDescent="0.75">
      <c r="B14" s="66" t="str">
        <f>"* sourceUri = ##34#"&amp;'Problem-ConceptMap-1'!E3&amp;"##34#"</f>
        <v>* sourceUri = ##34#http://hl7.eu/fhir/ig/xpandh/ps/StructureDefinition/Problem##34#</v>
      </c>
    </row>
    <row r="15" spans="2:7" x14ac:dyDescent="0.75">
      <c r="B15" s="66" t="str">
        <f>"* targetUri = ##34#"&amp;'Problem-ConceptMap-1'!E4&amp;"##34#"</f>
        <v>* targetUri = ##34#http://hl7.eu/fhir/ig/xpandh/ps/StructureDefinition/Condition-ps-xpandh##34#</v>
      </c>
    </row>
    <row r="16" spans="2:7" x14ac:dyDescent="0.75">
      <c r="B16" s="67" t="str">
        <f>"* group[+].source = ##34#"&amp;'Problem-ConceptMap-1'!E6&amp;"##34#"</f>
        <v>* group[+].source = ##34#http://hl7.eu/fhir/ig/xpandh/ps/StructureDefinition/Problem##34#</v>
      </c>
    </row>
    <row r="17" spans="2:7" x14ac:dyDescent="0.75">
      <c r="B17" s="67" t="str">
        <f>"* group[=].target = ##34#"&amp;'Problem-ConceptMap-1'!E7&amp;"##34#"</f>
        <v>* group[=].target = ##34#http://hl7.eu/fhir/ig/xpandh/ps/StructureDefinition/Condition-ps-xpandh##34#</v>
      </c>
    </row>
    <row r="18" spans="2:7" x14ac:dyDescent="0.75">
      <c r="B18" s="69"/>
    </row>
    <row r="19" spans="2:7" x14ac:dyDescent="0.75">
      <c r="B19" s="14" t="str">
        <f>IF('Problem-ConceptMap-1'!S15=0,"//---END",'Problem-ConceptMap-1'!S15)</f>
        <v>* group[=].element[+].code = #Problem.description</v>
      </c>
    </row>
    <row r="20" spans="2:7" x14ac:dyDescent="0.75">
      <c r="B20" s="14" t="str">
        <f>IF('Problem-ConceptMap-1'!S16=0,"//---END",'Problem-ConceptMap-1'!S16)</f>
        <v>* group[=].element[=].display = ##34#A.2.3.1.1 Problem / diagnosis description##34#</v>
      </c>
    </row>
    <row r="21" spans="2:7" x14ac:dyDescent="0.75">
      <c r="B21" s="14" t="str">
        <f>IF('Problem-ConceptMap-1'!S17=0,"//---END",'Problem-ConceptMap-1'!S17)</f>
        <v>* group[=].element[=].target.code = #Condition.code</v>
      </c>
    </row>
    <row r="22" spans="2:7" x14ac:dyDescent="0.75">
      <c r="B22" s="14" t="str">
        <f>IF('Problem-ConceptMap-1'!S18=0,"//---END",'Problem-ConceptMap-1'!S18)</f>
        <v>* group[=].element[=].target.display = ##34###34#</v>
      </c>
    </row>
    <row r="23" spans="2:7" x14ac:dyDescent="0.75">
      <c r="B23" s="14" t="str">
        <f>IF('Problem-ConceptMap-1'!S19=0,"//---END",'Problem-ConceptMap-1'!S19)</f>
        <v>* group[=].element[=].target.equivalence = #equivalent</v>
      </c>
    </row>
    <row r="24" spans="2:7" x14ac:dyDescent="0.75">
      <c r="B24" s="14" t="str">
        <f>IF('Problem-ConceptMap-1'!S20=0,"//---END",'Problem-ConceptMap-1'!S20)</f>
        <v/>
      </c>
      <c r="G24" s="10"/>
    </row>
    <row r="25" spans="2:7" x14ac:dyDescent="0.75">
      <c r="B25" s="14" t="str">
        <f>IF('Problem-ConceptMap-1'!S21=0,"//---END",'Problem-ConceptMap-1'!S21)</f>
        <v>* group[=].element[+].code = #Problem.onsetDate</v>
      </c>
    </row>
    <row r="26" spans="2:7" x14ac:dyDescent="0.75">
      <c r="B26" s="14" t="str">
        <f>IF('Problem-ConceptMap-1'!S22=0,"//---END",'Problem-ConceptMap-1'!S22)</f>
        <v>* group[=].element[=].display = ##34#A.2.3.1.2 Onset date##34#</v>
      </c>
    </row>
    <row r="27" spans="2:7" x14ac:dyDescent="0.75">
      <c r="B27" s="14" t="str">
        <f>IF('Problem-ConceptMap-1'!S23=0,"//---END",'Problem-ConceptMap-1'!S23)</f>
        <v>* group[=].element[=].target.code = #Condition.onsetDateTime</v>
      </c>
    </row>
    <row r="28" spans="2:7" x14ac:dyDescent="0.75">
      <c r="B28" s="14" t="str">
        <f>IF('Problem-ConceptMap-1'!S24=0,"//---END",'Problem-ConceptMap-1'!S24)</f>
        <v>* group[=].element[=].target.display = ##34###34#</v>
      </c>
    </row>
    <row r="29" spans="2:7" x14ac:dyDescent="0.75">
      <c r="B29" s="14" t="str">
        <f>IF('Problem-ConceptMap-1'!S25=0,"//---END",'Problem-ConceptMap-1'!S25)</f>
        <v>* group[=].element[=].target.equivalence = #equivalent</v>
      </c>
    </row>
    <row r="30" spans="2:7" x14ac:dyDescent="0.75">
      <c r="B30" s="14" t="str">
        <f>IF('Problem-ConceptMap-1'!S26=0,"//---END",'Problem-ConceptMap-1'!S26)</f>
        <v/>
      </c>
    </row>
    <row r="31" spans="2:7" x14ac:dyDescent="0.75">
      <c r="B31" s="14" t="str">
        <f>IF('Problem-ConceptMap-1'!S27=0,"//---END",'Problem-ConceptMap-1'!S27)</f>
        <v>* group[=].element[+].code = #Problem.assertionStatus</v>
      </c>
    </row>
    <row r="32" spans="2:7" x14ac:dyDescent="0.75">
      <c r="B32" s="14" t="str">
        <f>IF('Problem-ConceptMap-1'!S28=0,"//---END",'Problem-ConceptMap-1'!S28)</f>
        <v>* group[=].element[=].display = ##34#A.2.3.1.3 Diagnosis assertion status##34#</v>
      </c>
    </row>
    <row r="33" spans="2:2" x14ac:dyDescent="0.75">
      <c r="B33" s="14" t="str">
        <f>IF('Problem-ConceptMap-1'!S29=0,"//---END",'Problem-ConceptMap-1'!S29)</f>
        <v>* group[=].element[=].target.code = #Condition.verificationStatus</v>
      </c>
    </row>
    <row r="34" spans="2:2" x14ac:dyDescent="0.75">
      <c r="B34" s="14" t="str">
        <f>IF('Problem-ConceptMap-1'!S30=0,"//---END",'Problem-ConceptMap-1'!S30)</f>
        <v>* group[=].element[=].target.display = ##34###34#</v>
      </c>
    </row>
    <row r="35" spans="2:2" x14ac:dyDescent="0.75">
      <c r="B35" s="14" t="str">
        <f>IF('Problem-ConceptMap-1'!S31=0,"//---END",'Problem-ConceptMap-1'!S31)</f>
        <v>* group[=].element[=].target.equivalence = #equivalent</v>
      </c>
    </row>
    <row r="36" spans="2:2" x14ac:dyDescent="0.75">
      <c r="B36" s="14" t="str">
        <f>IF('Problem-ConceptMap-1'!S32=0,"//---END",'Problem-ConceptMap-1'!S32)</f>
        <v/>
      </c>
    </row>
    <row r="37" spans="2:2" x14ac:dyDescent="0.75">
      <c r="B37" s="14" t="str">
        <f>IF('Problem-ConceptMap-1'!S33=0,"//---END",'Problem-ConceptMap-1'!S33)</f>
        <v>//---END</v>
      </c>
    </row>
    <row r="38" spans="2:2" x14ac:dyDescent="0.75">
      <c r="B38" s="14" t="str">
        <f>IF('Problem-ConceptMap-1'!S34=0,"//---END",'Problem-ConceptMap-1'!S34)</f>
        <v>//---END</v>
      </c>
    </row>
    <row r="39" spans="2:2" x14ac:dyDescent="0.75">
      <c r="B39" s="14" t="str">
        <f>IF('Problem-ConceptMap-1'!S35=0,"//---END",'Problem-ConceptMap-1'!S35)</f>
        <v>//---END</v>
      </c>
    </row>
    <row r="40" spans="2:2" x14ac:dyDescent="0.75">
      <c r="B40" s="14" t="str">
        <f>IF('Problem-ConceptMap-1'!S36=0,"//---END",'Problem-ConceptMap-1'!S36)</f>
        <v>//---END</v>
      </c>
    </row>
    <row r="41" spans="2:2" x14ac:dyDescent="0.75">
      <c r="B41" s="14" t="str">
        <f>IF('Problem-ConceptMap-1'!S37=0,"//---END",'Problem-ConceptMap-1'!S37)</f>
        <v>//---END</v>
      </c>
    </row>
    <row r="42" spans="2:2" x14ac:dyDescent="0.75">
      <c r="B42" s="14" t="str">
        <f>IF('Problem-ConceptMap-1'!S38=0,"//---END",'Problem-ConceptMap-1'!S38)</f>
        <v>//---END</v>
      </c>
    </row>
    <row r="43" spans="2:2" x14ac:dyDescent="0.75">
      <c r="B43" s="14" t="str">
        <f>IF('Problem-ConceptMap-1'!S39=0,"//---END",'Problem-ConceptMap-1'!S39)</f>
        <v>//---END</v>
      </c>
    </row>
    <row r="44" spans="2:2" x14ac:dyDescent="0.75">
      <c r="B44" s="14" t="str">
        <f>IF('Problem-ConceptMap-1'!S40=0,"//---END",'Problem-ConceptMap-1'!S40)</f>
        <v>//---END</v>
      </c>
    </row>
    <row r="45" spans="2:2" x14ac:dyDescent="0.75">
      <c r="B45" s="14" t="str">
        <f>IF('Problem-ConceptMap-1'!S41=0,"//---END",'Problem-ConceptMap-1'!S41)</f>
        <v>//---END</v>
      </c>
    </row>
    <row r="46" spans="2:2" x14ac:dyDescent="0.75">
      <c r="B46" s="14" t="str">
        <f>IF('Problem-ConceptMap-1'!S42=0,"//---END",'Problem-ConceptMap-1'!S42)</f>
        <v>//---END</v>
      </c>
    </row>
    <row r="47" spans="2:2" x14ac:dyDescent="0.75">
      <c r="B47" s="14" t="str">
        <f>IF('Problem-ConceptMap-1'!S43=0,"//---END",'Problem-ConceptMap-1'!S43)</f>
        <v>//---END</v>
      </c>
    </row>
    <row r="48" spans="2:2" x14ac:dyDescent="0.75">
      <c r="B48" s="14" t="str">
        <f>IF('Problem-ConceptMap-1'!S44=0,"//---END",'Problem-ConceptMap-1'!S44)</f>
        <v>//---END</v>
      </c>
    </row>
    <row r="49" spans="2:2" x14ac:dyDescent="0.75">
      <c r="B49" s="14" t="str">
        <f>IF('Problem-ConceptMap-1'!S45=0,"//---END",'Problem-ConceptMap-1'!S45)</f>
        <v>//---END</v>
      </c>
    </row>
    <row r="50" spans="2:2" x14ac:dyDescent="0.75">
      <c r="B50" s="14" t="str">
        <f>IF('Problem-ConceptMap-1'!S46=0,"//---END",'Problem-ConceptMap-1'!S46)</f>
        <v>//---END</v>
      </c>
    </row>
    <row r="51" spans="2:2" x14ac:dyDescent="0.75">
      <c r="B51" s="14" t="str">
        <f>IF('Problem-ConceptMap-1'!S47=0,"//---END",'Problem-ConceptMap-1'!S47)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25"/>
  <sheetViews>
    <sheetView topLeftCell="A3" workbookViewId="0">
      <selection activeCell="D14" sqref="D14"/>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1123</v>
      </c>
      <c r="I4" s="24" t="str">
        <f>CONCATENATE("Logical: ",B4)</f>
        <v>Logical: ClosedProblemPsEhn</v>
      </c>
    </row>
    <row r="5" spans="1:9" x14ac:dyDescent="0.75">
      <c r="A5" s="17" t="s">
        <v>19</v>
      </c>
      <c r="B5" s="33" t="s">
        <v>1134</v>
      </c>
      <c r="I5" s="24" t="str">
        <f>CONCATENATE("Id: ",B5)</f>
        <v>Id: ClosedProblem</v>
      </c>
    </row>
    <row r="6" spans="1:9" x14ac:dyDescent="0.75">
      <c r="A6" s="17" t="s">
        <v>13</v>
      </c>
      <c r="B6" s="18" t="s">
        <v>835</v>
      </c>
      <c r="I6" s="25" t="str">
        <f>CONCATENATE("Title: ##34#",B6,"##34#")</f>
        <v>Title: ##34#A.2.2.2 - Resolved, closed or inactive problems##34#</v>
      </c>
    </row>
    <row r="7" spans="1:9" ht="29.5" x14ac:dyDescent="0.75">
      <c r="A7" s="43" t="s">
        <v>5</v>
      </c>
      <c r="B7" s="123" t="s">
        <v>1124</v>
      </c>
      <c r="C7" s="12"/>
      <c r="D7" s="2"/>
      <c r="E7" s="49"/>
      <c r="F7" s="3" t="s">
        <v>9</v>
      </c>
      <c r="G7" s="3" t="s">
        <v>10</v>
      </c>
      <c r="I7" s="25" t="str">
        <f>CONCATENATE("Description: "," ##334#",B7,"##334#",)</f>
        <v>Description:  ##334#Resolved, closed or inactive problems. Section A.2.2.2 of the eHN guideline.##334#</v>
      </c>
    </row>
    <row r="8" spans="1:9" ht="103.25" x14ac:dyDescent="0.75">
      <c r="A8" s="9">
        <v>1</v>
      </c>
      <c r="B8" s="9" t="s">
        <v>204</v>
      </c>
      <c r="C8" s="9" t="s">
        <v>1115</v>
      </c>
      <c r="D8" s="14" t="s">
        <v>1119</v>
      </c>
      <c r="E8" s="9">
        <v>0</v>
      </c>
      <c r="F8" s="9" t="s">
        <v>11</v>
      </c>
      <c r="G8" s="9" t="s">
        <v>1</v>
      </c>
      <c r="H8" s="22"/>
      <c r="I8" s="14" t="str">
        <f>CONCATENATE("* ",B8, " ",E8,"..",F8," ",G8," ##34#",C8,"##34# ##334#",D8,"##334#")</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1:9" ht="30.25" thickBot="1" x14ac:dyDescent="0.9">
      <c r="A9" s="9">
        <v>2</v>
      </c>
      <c r="B9" s="9" t="s">
        <v>890</v>
      </c>
      <c r="C9" s="9" t="s">
        <v>1116</v>
      </c>
      <c r="D9" s="36" t="s">
        <v>1120</v>
      </c>
      <c r="E9" s="9">
        <v>0</v>
      </c>
      <c r="F9" s="9" t="s">
        <v>11</v>
      </c>
      <c r="G9" s="9" t="s">
        <v>2</v>
      </c>
      <c r="H9" s="22"/>
      <c r="I9" s="14" t="str">
        <f t="shared" ref="I9:I15" si="0">CONCATENATE("* ",B9, " ",E9,"..",F9," ",G9," ##34#",C9,"##34# ##334#",D9,"##334#")</f>
        <v>* onsetDate 0..* dateTime ##34#A.2.2.2.2 Onset date##34# ##334#Date of problem onset - Preferred system(s): ISO 8601##334#</v>
      </c>
    </row>
    <row r="10" spans="1:9" ht="29.5" x14ac:dyDescent="0.75">
      <c r="A10" s="9">
        <v>3</v>
      </c>
      <c r="B10" s="9" t="s">
        <v>891</v>
      </c>
      <c r="C10" s="9" t="s">
        <v>1117</v>
      </c>
      <c r="D10" s="14" t="s">
        <v>1121</v>
      </c>
      <c r="E10" s="9">
        <v>0</v>
      </c>
      <c r="F10" s="9" t="s">
        <v>11</v>
      </c>
      <c r="G10" s="9" t="s">
        <v>2</v>
      </c>
      <c r="H10" s="22"/>
      <c r="I10" s="14" t="str">
        <f t="shared" si="0"/>
        <v>* endDate 0..* dateTime ##34#A.2.2.2.3 End date##34# ##334#Problem resolution date - Preferred system(s): ISO 8601##334#</v>
      </c>
    </row>
    <row r="11" spans="1:9" ht="118" x14ac:dyDescent="0.75">
      <c r="A11" s="51">
        <v>4</v>
      </c>
      <c r="B11" s="9" t="s">
        <v>1126</v>
      </c>
      <c r="C11" s="9" t="s">
        <v>1118</v>
      </c>
      <c r="D11" s="52" t="s">
        <v>1122</v>
      </c>
      <c r="E11" s="51">
        <v>0</v>
      </c>
      <c r="F11" s="51" t="s">
        <v>11</v>
      </c>
      <c r="G11" s="9" t="s">
        <v>1</v>
      </c>
      <c r="H11" s="22"/>
      <c r="I11" s="14" t="str">
        <f t="shared" si="0"/>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1:9" ht="14.75" customHeight="1" x14ac:dyDescent="0.75">
      <c r="I12" s="14" t="str">
        <f t="shared" si="0"/>
        <v>*  ..  ##34###34# ##334###334#</v>
      </c>
    </row>
    <row r="13" spans="1:9" ht="15.5" customHeight="1" x14ac:dyDescent="0.75">
      <c r="I13" s="14" t="str">
        <f t="shared" si="0"/>
        <v>*  ..  ##34###34# ##334###334#</v>
      </c>
    </row>
    <row r="14" spans="1:9" x14ac:dyDescent="0.75">
      <c r="I14" s="14" t="str">
        <f t="shared" si="0"/>
        <v>*  ..  ##34###34# ##334###334#</v>
      </c>
    </row>
    <row r="15" spans="1:9" x14ac:dyDescent="0.75">
      <c r="I15" s="14" t="str">
        <f t="shared" si="0"/>
        <v>*  ..  ##34###34# ##334###334#</v>
      </c>
    </row>
    <row r="16" spans="1:9" x14ac:dyDescent="0.75">
      <c r="I16"/>
    </row>
    <row r="20" spans="2:9" ht="15.5" thickBot="1" x14ac:dyDescent="0.9"/>
    <row r="21" spans="2:9" ht="15.5" customHeight="1" thickBot="1" x14ac:dyDescent="0.9">
      <c r="B21" t="str">
        <f t="shared" ref="B21:B25" si="1">CONCATENATE(C21," ",D21)</f>
        <v xml:space="preserve"> </v>
      </c>
      <c r="C21" s="171"/>
      <c r="D21" s="172"/>
      <c r="E21" s="172"/>
      <c r="F21" s="173"/>
    </row>
    <row r="22" spans="2:9" ht="163" thickBot="1" x14ac:dyDescent="0.9">
      <c r="B22" t="str">
        <f t="shared" si="1"/>
        <v>A.2.2.2.1 Problem description</v>
      </c>
      <c r="C22" s="93" t="s">
        <v>719</v>
      </c>
      <c r="D22" s="94" t="s">
        <v>636</v>
      </c>
      <c r="E22" s="94" t="s">
        <v>1113</v>
      </c>
      <c r="F22" s="94" t="s">
        <v>1114</v>
      </c>
      <c r="I22" s="1" t="str">
        <f t="shared" ref="I22:I25" si="2">CONCATENATE(E22," - Preferred system(s): ",F22)</f>
        <v>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v>
      </c>
    </row>
    <row r="23" spans="2:9" ht="15.5" thickBot="1" x14ac:dyDescent="0.9">
      <c r="B23" t="str">
        <f t="shared" si="1"/>
        <v>A.2.2.2.2 Onset date</v>
      </c>
      <c r="C23" s="93" t="s">
        <v>720</v>
      </c>
      <c r="D23" s="94" t="s">
        <v>584</v>
      </c>
      <c r="E23" s="94" t="s">
        <v>639</v>
      </c>
      <c r="F23" s="94" t="s">
        <v>94</v>
      </c>
      <c r="I23" s="1" t="str">
        <f t="shared" si="2"/>
        <v>Date of problem onset - Preferred system(s): ISO 8601</v>
      </c>
    </row>
    <row r="24" spans="2:9" ht="15.5" thickBot="1" x14ac:dyDescent="0.9">
      <c r="B24" t="str">
        <f t="shared" si="1"/>
        <v>A.2.2.2.3 End date</v>
      </c>
      <c r="C24" s="93" t="s">
        <v>721</v>
      </c>
      <c r="D24" s="94" t="s">
        <v>640</v>
      </c>
      <c r="E24" s="94" t="s">
        <v>641</v>
      </c>
      <c r="F24" s="94" t="s">
        <v>94</v>
      </c>
      <c r="I24" s="1" t="str">
        <f t="shared" si="2"/>
        <v>Problem resolution date - Preferred system(s): ISO 8601</v>
      </c>
    </row>
    <row r="25" spans="2:9" ht="236.75" thickBot="1" x14ac:dyDescent="0.9">
      <c r="B25" t="str">
        <f t="shared" si="1"/>
        <v>A.2.2.2.4 Resolution circumstances</v>
      </c>
      <c r="C25" s="93" t="s">
        <v>722</v>
      </c>
      <c r="D25" s="94" t="s">
        <v>642</v>
      </c>
      <c r="E25" s="94" t="s">
        <v>643</v>
      </c>
      <c r="F25" s="94"/>
      <c r="I25" s="1" t="str">
        <f t="shared" si="2"/>
        <v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v>
      </c>
    </row>
  </sheetData>
  <mergeCells count="1">
    <mergeCell ref="C21:F21"/>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14"/>
  <sheetViews>
    <sheetView workbookViewId="0">
      <selection activeCell="G2" sqref="G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'A.2.2.2 ClosedProblem'!I1</f>
        <v>// -------------------------------------------------------------------------------</v>
      </c>
    </row>
    <row r="2" spans="3:7" ht="16.75" thickBot="1" x14ac:dyDescent="0.9">
      <c r="C2" s="32" t="str">
        <f>'A.2.2.2 ClosedProblem'!I2</f>
        <v>//  Logical Model</v>
      </c>
      <c r="G2" s="48" t="s">
        <v>1125</v>
      </c>
    </row>
    <row r="3" spans="3:7" x14ac:dyDescent="0.75">
      <c r="C3" s="32" t="str">
        <f>'A.2.2.2 ClosedProblem'!I3</f>
        <v>// -------------------------------------------------------------------------------</v>
      </c>
    </row>
    <row r="4" spans="3:7" x14ac:dyDescent="0.75">
      <c r="C4" s="24" t="str">
        <f>'A.2.2.2 ClosedProblem'!I4</f>
        <v>Logical: ClosedProblemPsEhn</v>
      </c>
    </row>
    <row r="5" spans="3:7" x14ac:dyDescent="0.75">
      <c r="C5" s="24" t="str">
        <f>'A.2.2.2 ClosedProblem'!I5</f>
        <v>Id: ClosedProblem</v>
      </c>
    </row>
    <row r="6" spans="3:7" x14ac:dyDescent="0.75">
      <c r="C6" s="24" t="str">
        <f>'A.2.2.2 ClosedProblem'!I6</f>
        <v>Title: ##34#A.2.2.2 - Resolved, closed or inactive problems##34#</v>
      </c>
    </row>
    <row r="7" spans="3:7" x14ac:dyDescent="0.75">
      <c r="C7" s="24" t="str">
        <f>'A.2.2.2 ClosedProblem'!I7</f>
        <v>Description:  ##334#Resolved, closed or inactive problems. Section A.2.2.2 of the eHN guideline.##334#</v>
      </c>
    </row>
    <row r="8" spans="3:7" ht="59" x14ac:dyDescent="0.75">
      <c r="C8" s="14" t="str">
        <f>IF('A.2.2.2 ClosedProblem'!I8="*  ..  ##34###34# ##334###334#","//--- END",'A.2.2.2 ClosedProblem'!I8)</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3:7" ht="29.5" x14ac:dyDescent="0.75">
      <c r="C9" s="14" t="str">
        <f>IF('A.2.2.2 ClosedProblem'!I9="*  ..  ##34###34# ##334###334#","//--- END",'A.2.2.2 ClosedProblem'!I9)</f>
        <v>* onsetDate 0..* dateTime ##34#A.2.2.2.2 Onset date##34# ##334#Date of problem onset - Preferred system(s): ISO 8601##334#</v>
      </c>
    </row>
    <row r="10" spans="3:7" x14ac:dyDescent="0.75">
      <c r="C10" s="14" t="str">
        <f>IF('A.2.2.2 ClosedProblem'!I10="*  ..  ##34###34# ##334###334#","//--- END",'A.2.2.2 ClosedProblem'!I10)</f>
        <v>* endDate 0..* dateTime ##34#A.2.2.2.3 End date##34# ##334#Problem resolution date - Preferred system(s): ISO 8601##334#</v>
      </c>
      <c r="E10" t="s">
        <v>116</v>
      </c>
    </row>
    <row r="11" spans="3:7" ht="73.75" x14ac:dyDescent="0.75">
      <c r="C11" s="14" t="str">
        <f>IF('A.2.2.2 ClosedProblem'!I11="*  ..  ##34###34# ##334###334#","//--- END",'A.2.2.2 ClosedProblem'!I11)</f>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3:7" x14ac:dyDescent="0.75">
      <c r="C12" s="14" t="str">
        <f>IF('A.2.2.2 ClosedProblem'!I12="*  ..  ##34###34# ##334###334#","//--- END",'A.2.2.2 ClosedProblem'!I12)</f>
        <v>//--- END</v>
      </c>
    </row>
    <row r="13" spans="3:7" x14ac:dyDescent="0.75">
      <c r="C13" s="14" t="str">
        <f>IF('A.2.2.2 ClosedProblem'!I13="*  ..  ##34###34# ##334###334#","//--- END",'A.2.2.2 ClosedProblem'!I13)</f>
        <v>//--- END</v>
      </c>
    </row>
    <row r="14" spans="3:7" x14ac:dyDescent="0.75">
      <c r="C14" s="14" t="str">
        <f>IF('A.2.2.2 ClosedProblem'!I14="*  ..  ##34###34# ##334###334#","//--- END",'A.2.2.2 ClosedProblem'!I14)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3"/>
  <sheetViews>
    <sheetView topLeftCell="D1" zoomScale="85" zoomScaleNormal="85" workbookViewId="0">
      <selection activeCell="E8" sqref="E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c r="E2" s="1" t="s">
        <v>1307</v>
      </c>
    </row>
    <row r="3" spans="1:19" ht="15.5" thickBot="1" x14ac:dyDescent="0.9">
      <c r="B3" s="61" t="s">
        <v>34</v>
      </c>
      <c r="C3" s="47" t="s">
        <v>1127</v>
      </c>
      <c r="D3" s="61" t="s">
        <v>208</v>
      </c>
      <c r="E3" s="72" t="str">
        <f>"http://hl7.eu/fhir/ig/xpandh/ps/StructureDefinition/"&amp;'A.2.2.2 ClosedProblem'!B5</f>
        <v>http://hl7.eu/fhir/ig/xpandh/ps/StructureDefinition/ClosedProblem</v>
      </c>
    </row>
    <row r="4" spans="1:19" x14ac:dyDescent="0.75">
      <c r="B4" s="61" t="s">
        <v>19</v>
      </c>
      <c r="C4" s="47" t="s">
        <v>1157</v>
      </c>
      <c r="D4" s="61" t="s">
        <v>209</v>
      </c>
      <c r="E4" s="165" t="s">
        <v>1308</v>
      </c>
      <c r="F4" s="164"/>
      <c r="G4" s="164"/>
    </row>
    <row r="5" spans="1:19" x14ac:dyDescent="0.75">
      <c r="B5" s="61" t="s">
        <v>13</v>
      </c>
      <c r="C5" s="10" t="s">
        <v>1128</v>
      </c>
      <c r="D5" s="61"/>
      <c r="E5" s="10"/>
    </row>
    <row r="6" spans="1:19" x14ac:dyDescent="0.75">
      <c r="B6" s="61" t="s">
        <v>35</v>
      </c>
      <c r="C6" s="60"/>
      <c r="D6" s="61" t="s">
        <v>206</v>
      </c>
      <c r="E6" s="165" t="str">
        <f>E3</f>
        <v>http://hl7.eu/fhir/ig/xpandh/ps/StructureDefinition/ClosedProblem</v>
      </c>
      <c r="F6" s="164"/>
      <c r="G6" s="164"/>
    </row>
    <row r="7" spans="1:19" x14ac:dyDescent="0.75">
      <c r="B7" s="61" t="s">
        <v>18</v>
      </c>
      <c r="C7" s="68"/>
      <c r="D7" s="61" t="s">
        <v>207</v>
      </c>
      <c r="E7" s="165" t="str">
        <f>E4</f>
        <v>http://hl7.eu/fhir/ig/xpandh/ps/StructureDefinition/Condition-ps-xpandh</v>
      </c>
      <c r="F7" s="164"/>
      <c r="G7" s="164"/>
    </row>
    <row r="8" spans="1:19" ht="44.25" x14ac:dyDescent="0.75">
      <c r="B8" s="61" t="s">
        <v>204</v>
      </c>
      <c r="C8" s="46" t="s">
        <v>1129</v>
      </c>
      <c r="D8" s="61"/>
      <c r="E8" s="10"/>
      <c r="I8" s="14" t="s">
        <v>181</v>
      </c>
      <c r="J8" s="14" t="s">
        <v>182</v>
      </c>
      <c r="K8" s="14" t="s">
        <v>183</v>
      </c>
      <c r="L8" s="14" t="s">
        <v>184</v>
      </c>
      <c r="M8" s="9" t="s">
        <v>185</v>
      </c>
      <c r="P8" s="57" t="s">
        <v>186</v>
      </c>
      <c r="Q8" s="57">
        <v>6</v>
      </c>
    </row>
    <row r="9" spans="1:19" ht="29.5" x14ac:dyDescent="0.75">
      <c r="B9" s="61" t="s">
        <v>205</v>
      </c>
      <c r="C9" s="14" t="s">
        <v>1130</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'A.2.2.2 ClosedProblem'!B5</f>
        <v>ClosedProblem</v>
      </c>
      <c r="C14" s="9"/>
      <c r="D14" s="4" t="s">
        <v>1131</v>
      </c>
      <c r="E14" s="8"/>
      <c r="F14" s="63"/>
      <c r="G14" s="63"/>
      <c r="I14" s="14"/>
      <c r="J14" s="9"/>
      <c r="K14" s="9"/>
      <c r="L14" s="9"/>
      <c r="M14" s="59"/>
      <c r="N14" s="62"/>
    </row>
    <row r="15" spans="1:19" ht="44.25" x14ac:dyDescent="0.75">
      <c r="A15" s="22"/>
      <c r="B15" s="9" t="str">
        <f>'A.2.2.2 ClosedProblem'!B8</f>
        <v>description</v>
      </c>
      <c r="C15" s="9" t="str">
        <f>'A.2.2.2 ClosedProblem'!C8</f>
        <v>A.2.2.2.1 Problem description</v>
      </c>
      <c r="D15" s="14" t="s">
        <v>189</v>
      </c>
      <c r="E15" s="54"/>
      <c r="F15" s="63" t="s">
        <v>192</v>
      </c>
      <c r="G15" s="63"/>
      <c r="I15" s="14" t="str">
        <f>"* group[=].element[+].code = #"&amp;$B$14&amp;"."&amp;B15</f>
        <v>* group[=].element[+].code = #ClosedProblem.description</v>
      </c>
      <c r="J15" s="14" t="str">
        <f>"* group[=].element[=].display = ##34#"&amp;C15&amp;"##34#"</f>
        <v>* group[=].element[=].display = ##34#A.2.2.2.1 Problem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INDEX('ClosedProblem-ConceptMap-1'!$I$15:$N$56,Q15+1,R15)</f>
        <v>* group[=].element[+].code = #ClosedProblem.description</v>
      </c>
    </row>
    <row r="16" spans="1:19" ht="44.25" customHeight="1" x14ac:dyDescent="0.75">
      <c r="A16" s="22"/>
      <c r="B16" s="9" t="str">
        <f>'A.2.2.2 ClosedProblem'!B9</f>
        <v>onsetDate</v>
      </c>
      <c r="C16" s="9" t="str">
        <f>'A.2.2.2 ClosedProblem'!C9</f>
        <v>A.2.2.2.2 Onset date</v>
      </c>
      <c r="D16" s="14" t="s">
        <v>915</v>
      </c>
      <c r="E16" s="9"/>
      <c r="F16" s="63" t="s">
        <v>192</v>
      </c>
      <c r="G16" s="63"/>
      <c r="H16" s="64"/>
      <c r="I16" s="14" t="str">
        <f t="shared" ref="I16:I18" si="2">"* group[=].element[+].code = #"&amp;$B$14&amp;"."&amp;B16</f>
        <v>* group[=].element[+].code = #ClosedProblem.onsetDate</v>
      </c>
      <c r="J16" s="14" t="str">
        <f t="shared" ref="J16:J18" si="3">"* group[=].element[=].display = ##34#"&amp;C16&amp;"##34#"</f>
        <v>* group[=].element[=].display = ##34#A.2.2.2.2 Onset date##34#</v>
      </c>
      <c r="K16" s="14" t="str">
        <f t="shared" ref="K16:K18" si="4">IF(F16="unmatched","//-- unmatched","* group[=].element[=].target.code = #"&amp;$D$14&amp;"."&amp;D16)</f>
        <v>* group[=].element[=].target.code = #Condition.onsetDateTime</v>
      </c>
      <c r="L16" s="14" t="str">
        <f t="shared" ref="L16:L18" si="5">IF(F16="unmatched","//-- unmatched","* group[=].element[=].target.display = ##34#"&amp;E16&amp;"##34#")</f>
        <v>* group[=].element[=].target.display = ##34###34#</v>
      </c>
      <c r="M16" s="14" t="str">
        <f t="shared" ref="M16:M18" si="6">"* group[=].element[=].target.equivalence = #"&amp;F16</f>
        <v>* group[=].element[=].target.equivalence = #equivalent</v>
      </c>
      <c r="N16" s="14" t="str">
        <f t="shared" ref="N16:N18" si="7">IF(G16&lt;&gt;"",CONCATENATE("* group[=].element[=].target.comment = ","##34#",G16,"##34#"),"")</f>
        <v/>
      </c>
      <c r="P16" s="9">
        <v>2</v>
      </c>
      <c r="Q16" s="9">
        <f t="shared" ref="Q16:Q20" si="8">IF(MOD(P16,$Q$8)=0,P16/$Q$8-1,INT(P16/$Q$8))</f>
        <v>0</v>
      </c>
      <c r="R16" s="9">
        <f t="shared" ref="R16:R20" si="9">IF(MOD(P16,$Q$8)=0,$Q$8,MOD(P16,$Q$8))</f>
        <v>2</v>
      </c>
      <c r="S16" s="14" t="str" cm="1">
        <f t="array" ref="S16">INDEX('ClosedProblem-ConceptMap-1'!$I$15:$N$56,Q16+1,R16)</f>
        <v>* group[=].element[=].display = ##34#A.2.2.2.1 Problem description##34#</v>
      </c>
    </row>
    <row r="17" spans="1:19" ht="44.25" x14ac:dyDescent="0.75">
      <c r="A17" s="22"/>
      <c r="B17" s="9" t="str">
        <f>'A.2.2.2 ClosedProblem'!B10</f>
        <v>endDate</v>
      </c>
      <c r="C17" s="9" t="str">
        <f>'A.2.2.2 ClosedProblem'!C10</f>
        <v>A.2.2.2.3 End date</v>
      </c>
      <c r="D17" s="14" t="s">
        <v>1132</v>
      </c>
      <c r="E17" s="9"/>
      <c r="F17" s="63" t="s">
        <v>192</v>
      </c>
      <c r="G17" s="63"/>
      <c r="H17" s="64"/>
      <c r="I17" s="14" t="str">
        <f t="shared" si="2"/>
        <v>* group[=].element[+].code = #ClosedProblem.endDate</v>
      </c>
      <c r="J17" s="14" t="str">
        <f t="shared" si="3"/>
        <v>* group[=].element[=].display = ##34#A.2.2.2.3 End date##34#</v>
      </c>
      <c r="K17" s="14" t="str">
        <f t="shared" si="4"/>
        <v>* group[=].element[=].target.code = #Condition.abatementDateTime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INDEX('ClosedProblem-ConceptMap-1'!$I$15:$N$56,Q17+1,R17)</f>
        <v>* group[=].element[=].target.code = #Condition.code</v>
      </c>
    </row>
    <row r="18" spans="1:19" ht="44.25" x14ac:dyDescent="0.75">
      <c r="A18" s="22"/>
      <c r="B18" s="9" t="str">
        <f>'A.2.2.2 ClosedProblem'!B11</f>
        <v>resolution</v>
      </c>
      <c r="C18" s="9" t="str">
        <f>'A.2.2.2 ClosedProblem'!C11</f>
        <v>A.2.2.2.4 Resolution circumstances</v>
      </c>
      <c r="D18" s="14"/>
      <c r="E18" s="9"/>
      <c r="F18" s="63" t="s">
        <v>192</v>
      </c>
      <c r="G18" s="91" t="s">
        <v>1067</v>
      </c>
      <c r="H18" s="64"/>
      <c r="I18" s="14" t="str">
        <f t="shared" si="2"/>
        <v>* group[=].element[+].code = #ClosedProblem.resolution</v>
      </c>
      <c r="J18" s="14" t="str">
        <f t="shared" si="3"/>
        <v>* group[=].element[=].display = ##34#A.2.2.2.4 Resolution circumstances##34#</v>
      </c>
      <c r="K18" s="14" t="str">
        <f t="shared" si="4"/>
        <v>* group[=].element[=].target.code = #Condition.</v>
      </c>
      <c r="L18" s="14" t="str">
        <f t="shared" si="5"/>
        <v>* group[=].element[=].target.display = ##34###34#</v>
      </c>
      <c r="M18" s="14" t="str">
        <f t="shared" si="6"/>
        <v>* group[=].element[=].target.equivalence = #equivalent</v>
      </c>
      <c r="N18" s="14" t="str">
        <f t="shared" si="7"/>
        <v>* group[=].element[=].target.comment = ##34#TBD##34#</v>
      </c>
      <c r="P18" s="9">
        <v>4</v>
      </c>
      <c r="Q18" s="9">
        <f t="shared" si="8"/>
        <v>0</v>
      </c>
      <c r="R18" s="9">
        <f t="shared" si="9"/>
        <v>4</v>
      </c>
      <c r="S18" s="14" t="str" cm="1">
        <f t="array" ref="S18">INDEX('ClosedProblem-ConceptMap-1'!$I$15:$N$56,Q18+1,R18)</f>
        <v>* group[=].element[=].target.display = ##34###34#</v>
      </c>
    </row>
    <row r="19" spans="1:19" x14ac:dyDescent="0.75">
      <c r="P19" s="9">
        <v>5</v>
      </c>
      <c r="Q19" s="9">
        <f t="shared" si="8"/>
        <v>0</v>
      </c>
      <c r="R19" s="9">
        <f t="shared" si="9"/>
        <v>5</v>
      </c>
      <c r="S19" s="14" t="str" cm="1">
        <f t="array" ref="S19">INDEX('ClosedProblem-ConceptMap-1'!$I$15:$N$56,Q19+1,R19)</f>
        <v>* group[=].element[=].target.equivalence = #equivalent</v>
      </c>
    </row>
    <row r="20" spans="1:19" x14ac:dyDescent="0.75">
      <c r="P20" s="9">
        <v>6</v>
      </c>
      <c r="Q20" s="9">
        <f t="shared" si="8"/>
        <v>0</v>
      </c>
      <c r="R20" s="9">
        <f t="shared" si="9"/>
        <v>6</v>
      </c>
      <c r="S20" s="14" t="str" cm="1">
        <f t="array" ref="S20">INDEX('ClosedProblem-ConceptMap-1'!$I$15:$N$56,Q20+1,R20)</f>
        <v/>
      </c>
    </row>
    <row r="21" spans="1:19" x14ac:dyDescent="0.75">
      <c r="P21" s="9">
        <v>7</v>
      </c>
      <c r="Q21" s="9">
        <f t="shared" ref="Q21:Q41" si="10">IF(MOD(P21,$Q$8)=0,P21/$Q$8-1,INT(P21/$Q$8))</f>
        <v>1</v>
      </c>
      <c r="R21" s="9">
        <f t="shared" ref="R21:R41" si="11">IF(MOD(P21,$Q$8)=0,$Q$8,MOD(P21,$Q$8))</f>
        <v>1</v>
      </c>
      <c r="S21" s="14" t="str" cm="1">
        <f t="array" ref="S21">INDEX('ClosedProblem-ConceptMap-1'!$I$15:$N$56,Q21+1,R21)</f>
        <v>* group[=].element[+].code = #ClosedProblem.onsetDate</v>
      </c>
    </row>
    <row r="22" spans="1:19" x14ac:dyDescent="0.75">
      <c r="P22" s="9">
        <v>8</v>
      </c>
      <c r="Q22" s="9">
        <f t="shared" si="10"/>
        <v>1</v>
      </c>
      <c r="R22" s="9">
        <f t="shared" si="11"/>
        <v>2</v>
      </c>
      <c r="S22" s="14" t="str" cm="1">
        <f t="array" ref="S22">INDEX('ClosedProblem-ConceptMap-1'!$I$15:$N$56,Q22+1,R22)</f>
        <v>* group[=].element[=].display = ##34#A.2.2.2.2 Onset date##34#</v>
      </c>
    </row>
    <row r="23" spans="1:19" x14ac:dyDescent="0.75">
      <c r="P23" s="9">
        <v>9</v>
      </c>
      <c r="Q23" s="9">
        <f t="shared" si="10"/>
        <v>1</v>
      </c>
      <c r="R23" s="9">
        <f t="shared" si="11"/>
        <v>3</v>
      </c>
      <c r="S23" s="14" t="str" cm="1">
        <f t="array" ref="S23">INDEX('ClosedProblem-ConceptMap-1'!$I$15:$N$56,Q23+1,R23)</f>
        <v>* group[=].element[=].target.code = #Condition.onsetDateTime</v>
      </c>
    </row>
    <row r="24" spans="1:19" x14ac:dyDescent="0.75">
      <c r="P24" s="9">
        <v>10</v>
      </c>
      <c r="Q24" s="9">
        <f t="shared" si="10"/>
        <v>1</v>
      </c>
      <c r="R24" s="9">
        <f t="shared" si="11"/>
        <v>4</v>
      </c>
      <c r="S24" s="14" t="str" cm="1">
        <f t="array" ref="S24">INDEX('ClosedProblem-ConceptMap-1'!$I$15:$N$56,Q24+1,R24)</f>
        <v>* group[=].element[=].target.display = ##34###34#</v>
      </c>
    </row>
    <row r="25" spans="1:19" x14ac:dyDescent="0.75">
      <c r="P25" s="9">
        <v>11</v>
      </c>
      <c r="Q25" s="9">
        <f t="shared" si="10"/>
        <v>1</v>
      </c>
      <c r="R25" s="9">
        <f t="shared" si="11"/>
        <v>5</v>
      </c>
      <c r="S25" s="14" t="str" cm="1">
        <f t="array" ref="S25">INDEX('ClosedProblem-ConceptMap-1'!$I$15:$N$56,Q25+1,R25)</f>
        <v>* group[=].element[=].target.equivalence = #equivalent</v>
      </c>
    </row>
    <row r="26" spans="1:19" x14ac:dyDescent="0.75">
      <c r="P26" s="9">
        <v>12</v>
      </c>
      <c r="Q26" s="9">
        <f t="shared" si="10"/>
        <v>1</v>
      </c>
      <c r="R26" s="9">
        <f t="shared" si="11"/>
        <v>6</v>
      </c>
      <c r="S26" s="14" t="str" cm="1">
        <f t="array" ref="S26">INDEX('ClosedProblem-ConceptMap-1'!$I$15:$N$56,Q26+1,R26)</f>
        <v/>
      </c>
    </row>
    <row r="27" spans="1:19" x14ac:dyDescent="0.75">
      <c r="P27" s="9">
        <v>13</v>
      </c>
      <c r="Q27" s="9">
        <f t="shared" si="10"/>
        <v>2</v>
      </c>
      <c r="R27" s="9">
        <f t="shared" si="11"/>
        <v>1</v>
      </c>
      <c r="S27" s="14" t="str" cm="1">
        <f t="array" ref="S27">INDEX('ClosedProblem-ConceptMap-1'!$I$15:$N$56,Q27+1,R27)</f>
        <v>* group[=].element[+].code = #ClosedProblem.endDate</v>
      </c>
    </row>
    <row r="28" spans="1:19" x14ac:dyDescent="0.75">
      <c r="P28" s="9">
        <v>14</v>
      </c>
      <c r="Q28" s="9">
        <f t="shared" si="10"/>
        <v>2</v>
      </c>
      <c r="R28" s="9">
        <f t="shared" si="11"/>
        <v>2</v>
      </c>
      <c r="S28" s="14" t="str" cm="1">
        <f t="array" ref="S28">INDEX('ClosedProblem-ConceptMap-1'!$I$15:$N$56,Q28+1,R28)</f>
        <v>* group[=].element[=].display = ##34#A.2.2.2.3 End date##34#</v>
      </c>
    </row>
    <row r="29" spans="1:19" x14ac:dyDescent="0.75">
      <c r="P29" s="9">
        <v>15</v>
      </c>
      <c r="Q29" s="9">
        <f t="shared" si="10"/>
        <v>2</v>
      </c>
      <c r="R29" s="9">
        <f t="shared" si="11"/>
        <v>3</v>
      </c>
      <c r="S29" s="14" t="str" cm="1">
        <f t="array" ref="S29">INDEX('ClosedProblem-ConceptMap-1'!$I$15:$N$56,Q29+1,R29)</f>
        <v>* group[=].element[=].target.code = #Condition.abatementDateTime</v>
      </c>
    </row>
    <row r="30" spans="1:19" x14ac:dyDescent="0.75">
      <c r="P30" s="9">
        <v>16</v>
      </c>
      <c r="Q30" s="9">
        <f t="shared" si="10"/>
        <v>2</v>
      </c>
      <c r="R30" s="9">
        <f t="shared" si="11"/>
        <v>4</v>
      </c>
      <c r="S30" s="14" t="str" cm="1">
        <f t="array" ref="S30">INDEX('ClosedProblem-ConceptMap-1'!$I$15:$N$56,Q30+1,R30)</f>
        <v>* group[=].element[=].target.display = ##34###34#</v>
      </c>
    </row>
    <row r="31" spans="1:19" x14ac:dyDescent="0.75">
      <c r="P31" s="9">
        <v>17</v>
      </c>
      <c r="Q31" s="9">
        <f t="shared" si="10"/>
        <v>2</v>
      </c>
      <c r="R31" s="9">
        <f t="shared" si="11"/>
        <v>5</v>
      </c>
      <c r="S31" s="14" t="str" cm="1">
        <f t="array" ref="S31">INDEX('ClosedProblem-ConceptMap-1'!$I$15:$N$56,Q31+1,R31)</f>
        <v>* group[=].element[=].target.equivalence = #equivalent</v>
      </c>
    </row>
    <row r="32" spans="1:19" x14ac:dyDescent="0.75">
      <c r="P32" s="9">
        <v>18</v>
      </c>
      <c r="Q32" s="9">
        <f t="shared" si="10"/>
        <v>2</v>
      </c>
      <c r="R32" s="9">
        <f t="shared" si="11"/>
        <v>6</v>
      </c>
      <c r="S32" s="14" t="str" cm="1">
        <f t="array" ref="S32">INDEX('ClosedProblem-ConceptMap-1'!$I$15:$N$56,Q32+1,R32)</f>
        <v/>
      </c>
    </row>
    <row r="33" spans="16:19" x14ac:dyDescent="0.75">
      <c r="P33" s="9">
        <v>19</v>
      </c>
      <c r="Q33" s="9">
        <f t="shared" si="10"/>
        <v>3</v>
      </c>
      <c r="R33" s="9">
        <f t="shared" si="11"/>
        <v>1</v>
      </c>
      <c r="S33" s="14" t="str" cm="1">
        <f t="array" ref="S33">INDEX('ClosedProblem-ConceptMap-1'!$I$15:$N$56,Q33+1,R33)</f>
        <v>* group[=].element[+].code = #ClosedProblem.resolution</v>
      </c>
    </row>
    <row r="34" spans="16:19" x14ac:dyDescent="0.75">
      <c r="P34" s="9">
        <v>20</v>
      </c>
      <c r="Q34" s="9">
        <f t="shared" si="10"/>
        <v>3</v>
      </c>
      <c r="R34" s="9">
        <f t="shared" si="11"/>
        <v>2</v>
      </c>
      <c r="S34" s="14" t="str" cm="1">
        <f t="array" ref="S34">INDEX('ClosedProblem-ConceptMap-1'!$I$15:$N$56,Q34+1,R34)</f>
        <v>* group[=].element[=].display = ##34#A.2.2.2.4 Resolution circumstances##34#</v>
      </c>
    </row>
    <row r="35" spans="16:19" x14ac:dyDescent="0.75">
      <c r="P35" s="9">
        <v>21</v>
      </c>
      <c r="Q35" s="9">
        <f t="shared" si="10"/>
        <v>3</v>
      </c>
      <c r="R35" s="9">
        <f t="shared" si="11"/>
        <v>3</v>
      </c>
      <c r="S35" s="14" t="str" cm="1">
        <f t="array" ref="S35">INDEX('ClosedProblem-ConceptMap-1'!$I$15:$N$56,Q35+1,R35)</f>
        <v>* group[=].element[=].target.code = #Condition.</v>
      </c>
    </row>
    <row r="36" spans="16:19" x14ac:dyDescent="0.75">
      <c r="P36" s="9">
        <v>22</v>
      </c>
      <c r="Q36" s="9">
        <f t="shared" si="10"/>
        <v>3</v>
      </c>
      <c r="R36" s="9">
        <f t="shared" si="11"/>
        <v>4</v>
      </c>
      <c r="S36" s="14" t="str" cm="1">
        <f t="array" ref="S36">INDEX('ClosedProblem-ConceptMap-1'!$I$15:$N$56,Q36+1,R36)</f>
        <v>* group[=].element[=].target.display = ##34###34#</v>
      </c>
    </row>
    <row r="37" spans="16:19" x14ac:dyDescent="0.75">
      <c r="P37" s="9">
        <v>23</v>
      </c>
      <c r="Q37" s="9">
        <f t="shared" si="10"/>
        <v>3</v>
      </c>
      <c r="R37" s="9">
        <f t="shared" si="11"/>
        <v>5</v>
      </c>
      <c r="S37" s="14" t="str" cm="1">
        <f t="array" ref="S37">INDEX('ClosedProblem-ConceptMap-1'!$I$15:$N$56,Q37+1,R37)</f>
        <v>* group[=].element[=].target.equivalence = #equivalent</v>
      </c>
    </row>
    <row r="38" spans="16:19" x14ac:dyDescent="0.75">
      <c r="P38" s="9">
        <v>24</v>
      </c>
      <c r="Q38" s="9">
        <f t="shared" si="10"/>
        <v>3</v>
      </c>
      <c r="R38" s="9">
        <f t="shared" si="11"/>
        <v>6</v>
      </c>
      <c r="S38" s="14" t="str" cm="1">
        <f t="array" ref="S38">INDEX('ClosedProblem-ConceptMap-1'!$I$15:$N$56,Q38+1,R38)</f>
        <v>* group[=].element[=].target.comment = ##34#TBD##34#</v>
      </c>
    </row>
    <row r="39" spans="16:19" x14ac:dyDescent="0.75">
      <c r="P39" s="9">
        <v>25</v>
      </c>
      <c r="Q39" s="9">
        <f t="shared" si="10"/>
        <v>4</v>
      </c>
      <c r="R39" s="9">
        <f t="shared" si="11"/>
        <v>1</v>
      </c>
      <c r="S39" s="14" cm="1">
        <f t="array" ref="S39">INDEX('ClosedProblem-ConceptMap-1'!$I$15:$N$56,Q39+1,R39)</f>
        <v>0</v>
      </c>
    </row>
    <row r="40" spans="16:19" x14ac:dyDescent="0.75">
      <c r="P40" s="9">
        <v>26</v>
      </c>
      <c r="Q40" s="9">
        <f t="shared" si="10"/>
        <v>4</v>
      </c>
      <c r="R40" s="9">
        <f t="shared" si="11"/>
        <v>2</v>
      </c>
      <c r="S40" s="14" cm="1">
        <f t="array" ref="S40">INDEX('ClosedProblem-ConceptMap-1'!$I$15:$N$56,Q40+1,R40)</f>
        <v>0</v>
      </c>
    </row>
    <row r="41" spans="16:19" x14ac:dyDescent="0.75">
      <c r="P41" s="9">
        <v>27</v>
      </c>
      <c r="Q41" s="9">
        <f t="shared" si="10"/>
        <v>4</v>
      </c>
      <c r="R41" s="9">
        <f t="shared" si="11"/>
        <v>3</v>
      </c>
      <c r="S41" s="14" cm="1">
        <f t="array" ref="S41">INDEX('ClosedProblem-ConceptMap-1'!$I$15:$N$56,Q41+1,R41)</f>
        <v>0</v>
      </c>
    </row>
    <row r="42" spans="16:19" x14ac:dyDescent="0.75">
      <c r="P42" s="9">
        <v>28</v>
      </c>
      <c r="Q42" s="9">
        <f t="shared" ref="Q42:Q53" si="12">IF(MOD(P42,$Q$8)=0,P42/$Q$8-1,INT(P42/$Q$8))</f>
        <v>4</v>
      </c>
      <c r="R42" s="9">
        <f t="shared" ref="R42:R53" si="13">IF(MOD(P42,$Q$8)=0,$Q$8,MOD(P42,$Q$8))</f>
        <v>4</v>
      </c>
      <c r="S42" s="14" cm="1">
        <f t="array" ref="S42">INDEX('ClosedProblem-ConceptMap-1'!$I$15:$N$56,Q42+1,R42)</f>
        <v>0</v>
      </c>
    </row>
    <row r="43" spans="16:19" x14ac:dyDescent="0.75">
      <c r="P43" s="9">
        <v>29</v>
      </c>
      <c r="Q43" s="9">
        <f t="shared" si="12"/>
        <v>4</v>
      </c>
      <c r="R43" s="9">
        <f t="shared" si="13"/>
        <v>5</v>
      </c>
      <c r="S43" s="14" cm="1">
        <f t="array" ref="S43">INDEX('ClosedProblem-ConceptMap-1'!$I$15:$N$56,Q43+1,R43)</f>
        <v>0</v>
      </c>
    </row>
    <row r="44" spans="16:19" x14ac:dyDescent="0.75">
      <c r="P44" s="9">
        <v>30</v>
      </c>
      <c r="Q44" s="9">
        <f t="shared" si="12"/>
        <v>4</v>
      </c>
      <c r="R44" s="9">
        <f t="shared" si="13"/>
        <v>6</v>
      </c>
      <c r="S44" s="14" cm="1">
        <f t="array" ref="S44">INDEX('ClosedProblem-ConceptMap-1'!$I$15:$N$56,Q44+1,R44)</f>
        <v>0</v>
      </c>
    </row>
    <row r="45" spans="16:19" x14ac:dyDescent="0.75">
      <c r="P45" s="9">
        <v>31</v>
      </c>
      <c r="Q45" s="9">
        <f t="shared" si="12"/>
        <v>5</v>
      </c>
      <c r="R45" s="9">
        <f t="shared" si="13"/>
        <v>1</v>
      </c>
      <c r="S45" s="14" cm="1">
        <f t="array" ref="S45">INDEX('ClosedProblem-ConceptMap-1'!$I$15:$N$56,Q45+1,R45)</f>
        <v>0</v>
      </c>
    </row>
    <row r="46" spans="16:19" x14ac:dyDescent="0.75">
      <c r="P46" s="9">
        <v>32</v>
      </c>
      <c r="Q46" s="9">
        <f t="shared" si="12"/>
        <v>5</v>
      </c>
      <c r="R46" s="9">
        <f t="shared" si="13"/>
        <v>2</v>
      </c>
      <c r="S46" s="14" cm="1">
        <f t="array" ref="S46">INDEX('ClosedProblem-ConceptMap-1'!$I$15:$N$56,Q46+1,R46)</f>
        <v>0</v>
      </c>
    </row>
    <row r="47" spans="16:19" x14ac:dyDescent="0.75">
      <c r="P47" s="9">
        <v>33</v>
      </c>
      <c r="Q47" s="9">
        <f t="shared" si="12"/>
        <v>5</v>
      </c>
      <c r="R47" s="9">
        <f t="shared" si="13"/>
        <v>3</v>
      </c>
      <c r="S47" s="14" cm="1">
        <f t="array" ref="S47">INDEX('ClosedProblem-ConceptMap-1'!$I$15:$N$56,Q47+1,R47)</f>
        <v>0</v>
      </c>
    </row>
    <row r="48" spans="16:19" x14ac:dyDescent="0.75">
      <c r="P48" s="9">
        <v>34</v>
      </c>
      <c r="Q48" s="9">
        <f t="shared" si="12"/>
        <v>5</v>
      </c>
      <c r="R48" s="9">
        <f t="shared" si="13"/>
        <v>4</v>
      </c>
      <c r="S48" s="14" cm="1">
        <f t="array" ref="S48">INDEX('ClosedProblem-ConceptMap-1'!$I$15:$N$56,Q48+1,R48)</f>
        <v>0</v>
      </c>
    </row>
    <row r="49" spans="16:19" x14ac:dyDescent="0.75">
      <c r="P49" s="9">
        <v>35</v>
      </c>
      <c r="Q49" s="9">
        <f t="shared" si="12"/>
        <v>5</v>
      </c>
      <c r="R49" s="9">
        <f t="shared" si="13"/>
        <v>5</v>
      </c>
      <c r="S49" s="14" cm="1">
        <f t="array" ref="S49">INDEX('ClosedProblem-ConceptMap-1'!$I$15:$N$56,Q49+1,R49)</f>
        <v>0</v>
      </c>
    </row>
    <row r="50" spans="16:19" x14ac:dyDescent="0.75">
      <c r="P50" s="9">
        <v>36</v>
      </c>
      <c r="Q50" s="9">
        <f t="shared" si="12"/>
        <v>5</v>
      </c>
      <c r="R50" s="9">
        <f t="shared" si="13"/>
        <v>6</v>
      </c>
      <c r="S50" s="14" cm="1">
        <f t="array" ref="S50">INDEX('ClosedProblem-ConceptMap-1'!$I$15:$N$56,Q50+1,R50)</f>
        <v>0</v>
      </c>
    </row>
    <row r="51" spans="16:19" x14ac:dyDescent="0.75">
      <c r="P51" s="9">
        <v>37</v>
      </c>
      <c r="Q51" s="9">
        <f t="shared" si="12"/>
        <v>6</v>
      </c>
      <c r="R51" s="9">
        <f t="shared" si="13"/>
        <v>1</v>
      </c>
      <c r="S51" s="14" cm="1">
        <f t="array" ref="S51">INDEX('ClosedProblem-ConceptMap-1'!$I$15:$N$56,Q51+1,R51)</f>
        <v>0</v>
      </c>
    </row>
    <row r="52" spans="16:19" x14ac:dyDescent="0.75">
      <c r="P52" s="9">
        <v>38</v>
      </c>
      <c r="Q52" s="9">
        <f t="shared" si="12"/>
        <v>6</v>
      </c>
      <c r="R52" s="9">
        <f t="shared" si="13"/>
        <v>2</v>
      </c>
      <c r="S52" s="14" cm="1">
        <f t="array" ref="S52">INDEX('ClosedProblem-ConceptMap-1'!$I$15:$N$56,Q52+1,R52)</f>
        <v>0</v>
      </c>
    </row>
    <row r="53" spans="16:19" x14ac:dyDescent="0.75">
      <c r="P53" s="9">
        <v>39</v>
      </c>
      <c r="Q53" s="9">
        <f t="shared" si="12"/>
        <v>6</v>
      </c>
      <c r="R53" s="9">
        <f t="shared" si="13"/>
        <v>3</v>
      </c>
      <c r="S53" s="14" cm="1">
        <f t="array" ref="S53">INDEX('ClosedProblem-ConceptMap-1'!$I$15:$N$56,Q53+1,R53)</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display="http://hl7.eu/fhir/ig/xpandh/ps/StructureDefinition/Condition-ps-eu-xpandh" xr:uid="{3DAB909C-5B96-4B11-987C-C0549D3CF744}"/>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1"/>
  <sheetViews>
    <sheetView workbookViewId="0">
      <selection activeCell="A7" sqref="A7:XFD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1133</v>
      </c>
    </row>
    <row r="3" spans="2:7" x14ac:dyDescent="0.75">
      <c r="B3" s="32" t="s">
        <v>37</v>
      </c>
    </row>
    <row r="4" spans="2:7" x14ac:dyDescent="0.75">
      <c r="B4" s="65" t="str">
        <f>"Instance: "&amp;'ClosedProblem-ConceptMap-1'!C4</f>
        <v>Instance: closedProblem2FHIR-eu-ps</v>
      </c>
    </row>
    <row r="5" spans="2:7" x14ac:dyDescent="0.75">
      <c r="B5" s="65" t="s">
        <v>196</v>
      </c>
    </row>
    <row r="6" spans="2:7" x14ac:dyDescent="0.75">
      <c r="B6" s="65" t="s">
        <v>197</v>
      </c>
    </row>
    <row r="7" spans="2:7" x14ac:dyDescent="0.75">
      <c r="B7" s="65" t="s">
        <v>203</v>
      </c>
    </row>
    <row r="8" spans="2:7" x14ac:dyDescent="0.75">
      <c r="B8" s="65" t="str">
        <f>"* name = ##34#"&amp;'ClosedProblem-ConceptMap-1'!C3&amp;"##34#"</f>
        <v>* name = ##34#ClosedProblem2Fhir##34#</v>
      </c>
    </row>
    <row r="9" spans="2:7" x14ac:dyDescent="0.75">
      <c r="B9" s="65" t="str">
        <f>"* title = ##34#"&amp;'ClosedProblem-ConceptMap-1'!C5&amp;"##34#"</f>
        <v>* title = ##34#eHN ClosedProblem to this guide Map##34#</v>
      </c>
    </row>
    <row r="10" spans="2:7" x14ac:dyDescent="0.75">
      <c r="B10" s="65" t="s">
        <v>198</v>
      </c>
    </row>
    <row r="11" spans="2:7" x14ac:dyDescent="0.75">
      <c r="B11" s="65" t="s">
        <v>199</v>
      </c>
    </row>
    <row r="12" spans="2:7" x14ac:dyDescent="0.75">
      <c r="B12" s="65" t="str">
        <f>"* description = ##34#"&amp;'ClosedProblem-ConceptMap-1'!C8&amp;"##34#"</f>
        <v>* description = ##34#eHN ClosedProblem Model to this guide Map##34#</v>
      </c>
    </row>
    <row r="13" spans="2:7" x14ac:dyDescent="0.75">
      <c r="B13" s="65" t="str">
        <f>"* purpose = ##34#"&amp;'ClosedProblem-ConceptMap-1'!C9&amp;"##34#"</f>
        <v>* purpose = ##34#It shows how the ClosedProblem data set defined by the EU eHN guidelines is mapped into this guide##34#</v>
      </c>
    </row>
    <row r="14" spans="2:7" x14ac:dyDescent="0.75">
      <c r="B14" s="66" t="str">
        <f>"* sourceUri = ##34#"&amp;'ClosedProblem-ConceptMap-1'!E3&amp;"##34#"</f>
        <v>* sourceUri = ##34#http://hl7.eu/fhir/ig/xpandh/ps/StructureDefinition/ClosedProblem##34#</v>
      </c>
    </row>
    <row r="15" spans="2:7" x14ac:dyDescent="0.75">
      <c r="B15" s="66" t="str">
        <f>"* targetUri = ##34#"&amp;'ClosedProblem-ConceptMap-1'!E4&amp;"##34#"</f>
        <v>* targetUri = ##34#http://hl7.eu/fhir/ig/xpandh/ps/StructureDefinition/Condition-ps-xpandh##34#</v>
      </c>
    </row>
    <row r="16" spans="2:7" x14ac:dyDescent="0.75">
      <c r="B16" s="67" t="str">
        <f>"* group[+].source = ##34#"&amp;'ClosedProblem-ConceptMap-1'!E6&amp;"##34#"</f>
        <v>* group[+].source = ##34#http://hl7.eu/fhir/ig/xpandh/ps/StructureDefinition/ClosedProblem##34#</v>
      </c>
    </row>
    <row r="17" spans="2:7" x14ac:dyDescent="0.75">
      <c r="B17" s="67" t="str">
        <f>"* group[=].target = ##34#"&amp;'ClosedProblem-ConceptMap-1'!E7&amp;"##34#"</f>
        <v>* group[=].target = ##34#http://hl7.eu/fhir/ig/xpandh/ps/StructureDefinition/Condition-ps-xpandh##34#</v>
      </c>
    </row>
    <row r="18" spans="2:7" x14ac:dyDescent="0.75">
      <c r="B18" s="69"/>
    </row>
    <row r="19" spans="2:7" x14ac:dyDescent="0.75">
      <c r="B19" s="14" t="str">
        <f>IF('ClosedProblem-ConceptMap-1'!S15=0,"//---END",'ClosedProblem-ConceptMap-1'!S15)</f>
        <v>* group[=].element[+].code = #ClosedProblem.description</v>
      </c>
    </row>
    <row r="20" spans="2:7" x14ac:dyDescent="0.75">
      <c r="B20" s="14" t="str">
        <f>IF('ClosedProblem-ConceptMap-1'!S16=0,"//---END",'ClosedProblem-ConceptMap-1'!S16)</f>
        <v>* group[=].element[=].display = ##34#A.2.2.2.1 Problem description##34#</v>
      </c>
    </row>
    <row r="21" spans="2:7" x14ac:dyDescent="0.75">
      <c r="B21" s="14" t="str">
        <f>IF('ClosedProblem-ConceptMap-1'!S17=0,"//---END",'ClosedProblem-ConceptMap-1'!S17)</f>
        <v>* group[=].element[=].target.code = #Condition.code</v>
      </c>
    </row>
    <row r="22" spans="2:7" x14ac:dyDescent="0.75">
      <c r="B22" s="14" t="str">
        <f>IF('ClosedProblem-ConceptMap-1'!S18=0,"//---END",'ClosedProblem-ConceptMap-1'!S18)</f>
        <v>* group[=].element[=].target.display = ##34###34#</v>
      </c>
    </row>
    <row r="23" spans="2:7" x14ac:dyDescent="0.75">
      <c r="B23" s="14" t="str">
        <f>IF('ClosedProblem-ConceptMap-1'!S19=0,"//---END",'ClosedProblem-ConceptMap-1'!S19)</f>
        <v>* group[=].element[=].target.equivalence = #equivalent</v>
      </c>
    </row>
    <row r="24" spans="2:7" x14ac:dyDescent="0.75">
      <c r="B24" s="14" t="str">
        <f>IF('ClosedProblem-ConceptMap-1'!S20=0,"//---END",'ClosedProblem-ConceptMap-1'!S20)</f>
        <v/>
      </c>
      <c r="G24" s="10"/>
    </row>
    <row r="25" spans="2:7" x14ac:dyDescent="0.75">
      <c r="B25" s="14" t="str">
        <f>IF('ClosedProblem-ConceptMap-1'!S21=0,"//---END",'ClosedProblem-ConceptMap-1'!S21)</f>
        <v>* group[=].element[+].code = #ClosedProblem.onsetDate</v>
      </c>
    </row>
    <row r="26" spans="2:7" x14ac:dyDescent="0.75">
      <c r="B26" s="14" t="str">
        <f>IF('ClosedProblem-ConceptMap-1'!S22=0,"//---END",'ClosedProblem-ConceptMap-1'!S22)</f>
        <v>* group[=].element[=].display = ##34#A.2.2.2.2 Onset date##34#</v>
      </c>
    </row>
    <row r="27" spans="2:7" x14ac:dyDescent="0.75">
      <c r="B27" s="14" t="str">
        <f>IF('ClosedProblem-ConceptMap-1'!S23=0,"//---END",'ClosedProblem-ConceptMap-1'!S23)</f>
        <v>* group[=].element[=].target.code = #Condition.onsetDateTime</v>
      </c>
    </row>
    <row r="28" spans="2:7" x14ac:dyDescent="0.75">
      <c r="B28" s="14" t="str">
        <f>IF('ClosedProblem-ConceptMap-1'!S24=0,"//---END",'ClosedProblem-ConceptMap-1'!S24)</f>
        <v>* group[=].element[=].target.display = ##34###34#</v>
      </c>
    </row>
    <row r="29" spans="2:7" x14ac:dyDescent="0.75">
      <c r="B29" s="14" t="str">
        <f>IF('ClosedProblem-ConceptMap-1'!S25=0,"//---END",'ClosedProblem-ConceptMap-1'!S25)</f>
        <v>* group[=].element[=].target.equivalence = #equivalent</v>
      </c>
    </row>
    <row r="30" spans="2:7" x14ac:dyDescent="0.75">
      <c r="B30" s="14" t="str">
        <f>IF('ClosedProblem-ConceptMap-1'!S26=0,"//---END",'ClosedProblem-ConceptMap-1'!S26)</f>
        <v/>
      </c>
    </row>
    <row r="31" spans="2:7" x14ac:dyDescent="0.75">
      <c r="B31" s="14" t="str">
        <f>IF('ClosedProblem-ConceptMap-1'!S27=0,"//---END",'ClosedProblem-ConceptMap-1'!S27)</f>
        <v>* group[=].element[+].code = #ClosedProblem.endDate</v>
      </c>
    </row>
    <row r="32" spans="2:7" x14ac:dyDescent="0.75">
      <c r="B32" s="14" t="str">
        <f>IF('ClosedProblem-ConceptMap-1'!S28=0,"//---END",'ClosedProblem-ConceptMap-1'!S28)</f>
        <v>* group[=].element[=].display = ##34#A.2.2.2.3 End date##34#</v>
      </c>
    </row>
    <row r="33" spans="2:2" x14ac:dyDescent="0.75">
      <c r="B33" s="14" t="str">
        <f>IF('ClosedProblem-ConceptMap-1'!S29=0,"//---END",'ClosedProblem-ConceptMap-1'!S29)</f>
        <v>* group[=].element[=].target.code = #Condition.abatementDateTime</v>
      </c>
    </row>
    <row r="34" spans="2:2" x14ac:dyDescent="0.75">
      <c r="B34" s="14" t="str">
        <f>IF('ClosedProblem-ConceptMap-1'!S30=0,"//---END",'ClosedProblem-ConceptMap-1'!S30)</f>
        <v>* group[=].element[=].target.display = ##34###34#</v>
      </c>
    </row>
    <row r="35" spans="2:2" x14ac:dyDescent="0.75">
      <c r="B35" s="14" t="str">
        <f>IF('ClosedProblem-ConceptMap-1'!S31=0,"//---END",'ClosedProblem-ConceptMap-1'!S31)</f>
        <v>* group[=].element[=].target.equivalence = #equivalent</v>
      </c>
    </row>
    <row r="36" spans="2:2" x14ac:dyDescent="0.75">
      <c r="B36" s="14" t="str">
        <f>IF('ClosedProblem-ConceptMap-1'!S32=0,"//---END",'ClosedProblem-ConceptMap-1'!S32)</f>
        <v/>
      </c>
    </row>
    <row r="37" spans="2:2" x14ac:dyDescent="0.75">
      <c r="B37" s="14" t="str">
        <f>IF('ClosedProblem-ConceptMap-1'!S33=0,"//---END",'ClosedProblem-ConceptMap-1'!S33)</f>
        <v>* group[=].element[+].code = #ClosedProblem.resolution</v>
      </c>
    </row>
    <row r="38" spans="2:2" x14ac:dyDescent="0.75">
      <c r="B38" s="14" t="str">
        <f>IF('ClosedProblem-ConceptMap-1'!S34=0,"//---END",'ClosedProblem-ConceptMap-1'!S34)</f>
        <v>* group[=].element[=].display = ##34#A.2.2.2.4 Resolution circumstances##34#</v>
      </c>
    </row>
    <row r="39" spans="2:2" x14ac:dyDescent="0.75">
      <c r="B39" s="14" t="str">
        <f>IF('ClosedProblem-ConceptMap-1'!S35=0,"//---END",'ClosedProblem-ConceptMap-1'!S35)</f>
        <v>* group[=].element[=].target.code = #Condition.</v>
      </c>
    </row>
    <row r="40" spans="2:2" x14ac:dyDescent="0.75">
      <c r="B40" s="14" t="str">
        <f>IF('ClosedProblem-ConceptMap-1'!S36=0,"//---END",'ClosedProblem-ConceptMap-1'!S36)</f>
        <v>* group[=].element[=].target.display = ##34###34#</v>
      </c>
    </row>
    <row r="41" spans="2:2" x14ac:dyDescent="0.75">
      <c r="B41" s="14" t="str">
        <f>IF('ClosedProblem-ConceptMap-1'!S37=0,"//---END",'ClosedProblem-ConceptMap-1'!S37)</f>
        <v>* group[=].element[=].target.equivalence = #equivalent</v>
      </c>
    </row>
    <row r="42" spans="2:2" x14ac:dyDescent="0.75">
      <c r="B42" s="14" t="str">
        <f>IF('ClosedProblem-ConceptMap-1'!S38=0,"//---END",'ClosedProblem-ConceptMap-1'!S38)</f>
        <v>* group[=].element[=].target.comment = ##34#TBD##34#</v>
      </c>
    </row>
    <row r="43" spans="2:2" x14ac:dyDescent="0.75">
      <c r="B43" s="14" t="str">
        <f>IF('ClosedProblem-ConceptMap-1'!S39=0,"//---END",'ClosedProblem-ConceptMap-1'!S39)</f>
        <v>//---END</v>
      </c>
    </row>
    <row r="44" spans="2:2" x14ac:dyDescent="0.75">
      <c r="B44" s="14" t="str">
        <f>IF('ClosedProblem-ConceptMap-1'!S40=0,"//---END",'ClosedProblem-ConceptMap-1'!S40)</f>
        <v>//---END</v>
      </c>
    </row>
    <row r="45" spans="2:2" x14ac:dyDescent="0.75">
      <c r="B45" s="14" t="str">
        <f>IF('ClosedProblem-ConceptMap-1'!S41=0,"//---END",'ClosedProblem-ConceptMap-1'!S41)</f>
        <v>//---END</v>
      </c>
    </row>
    <row r="46" spans="2:2" x14ac:dyDescent="0.75">
      <c r="B46" s="14" t="str">
        <f>IF('ClosedProblem-ConceptMap-1'!S42=0,"//---END",'ClosedProblem-ConceptMap-1'!S42)</f>
        <v>//---END</v>
      </c>
    </row>
    <row r="47" spans="2:2" x14ac:dyDescent="0.75">
      <c r="B47" s="14" t="str">
        <f>IF('ClosedProblem-ConceptMap-1'!S43=0,"//---END",'ClosedProblem-ConceptMap-1'!S43)</f>
        <v>//---END</v>
      </c>
    </row>
    <row r="48" spans="2:2" x14ac:dyDescent="0.75">
      <c r="B48" s="14" t="str">
        <f>IF('ClosedProblem-ConceptMap-1'!S44=0,"//---END",'ClosedProblem-ConceptMap-1'!S44)</f>
        <v>//---END</v>
      </c>
    </row>
    <row r="49" spans="2:2" x14ac:dyDescent="0.75">
      <c r="B49" s="14" t="str">
        <f>IF('ClosedProblem-ConceptMap-1'!S45=0,"//---END",'ClosedProblem-ConceptMap-1'!S45)</f>
        <v>//---END</v>
      </c>
    </row>
    <row r="50" spans="2:2" x14ac:dyDescent="0.75">
      <c r="B50" s="14" t="str">
        <f>IF('ClosedProblem-ConceptMap-1'!S46=0,"//---END",'ClosedProblem-ConceptMap-1'!S46)</f>
        <v>//---END</v>
      </c>
    </row>
    <row r="51" spans="2:2" x14ac:dyDescent="0.75">
      <c r="B51" s="14" t="str">
        <f>IF('ClosedProblem-ConceptMap-1'!S47=0,"//---END",'ClosedProblem-ConceptMap-1'!S47)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3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394</v>
      </c>
      <c r="I4" s="24" t="str">
        <f>CONCATENATE("Logical: ",B4)</f>
        <v>Logical: ResultPsEhn</v>
      </c>
    </row>
    <row r="5" spans="1:11" x14ac:dyDescent="0.75">
      <c r="A5" s="17" t="s">
        <v>19</v>
      </c>
      <c r="B5" s="33" t="s">
        <v>157</v>
      </c>
      <c r="I5" s="24" t="str">
        <f>CONCATENATE("Id: ",B5)</f>
        <v>Id: Result</v>
      </c>
    </row>
    <row r="6" spans="1:11" x14ac:dyDescent="0.75">
      <c r="A6" s="17" t="s">
        <v>13</v>
      </c>
      <c r="B6" s="14" t="s">
        <v>843</v>
      </c>
      <c r="I6" s="25" t="str">
        <f>CONCATENATE("Title: ##34#",B6,"##34#")</f>
        <v>Title: ##34#A.2.8 - Results##34#</v>
      </c>
    </row>
    <row r="7" spans="1:11" ht="29.5" x14ac:dyDescent="0.75">
      <c r="A7" s="43" t="s">
        <v>5</v>
      </c>
      <c r="B7" s="14" t="s">
        <v>1094</v>
      </c>
      <c r="C7" s="12"/>
      <c r="D7" s="2"/>
      <c r="E7" s="49"/>
      <c r="F7" s="3" t="s">
        <v>9</v>
      </c>
      <c r="G7" s="3" t="s">
        <v>10</v>
      </c>
      <c r="I7" s="25" t="str">
        <f>CONCATENATE("Description: "," ##334#",B7,"##334#",)</f>
        <v>Description:  ##334#Results data elements. Section A2.8 of the eHN guideline.##334#</v>
      </c>
    </row>
    <row r="8" spans="1:11" ht="45" thickBot="1" x14ac:dyDescent="0.9">
      <c r="A8" s="9">
        <v>1</v>
      </c>
      <c r="B8" s="9" t="s">
        <v>159</v>
      </c>
      <c r="C8" s="14" t="s">
        <v>1081</v>
      </c>
      <c r="D8" s="94" t="s">
        <v>822</v>
      </c>
      <c r="E8" s="9">
        <v>0</v>
      </c>
      <c r="F8" s="9">
        <v>1</v>
      </c>
      <c r="G8" s="9" t="s">
        <v>4</v>
      </c>
      <c r="H8" s="22"/>
      <c r="I8" s="14" t="str">
        <f>CONCATENATE("* ",B8, " ",E8,"..",F8," ",G8," ##34#",C8,"##34# ##334#",D8,"##334#")</f>
        <v>* observation 0..1 BackboneElement ##34#A.2.8.1 Result observations##34# ##334#(A list of observation results pertaining to the subject of care's health condition and which might have impact on future treatments)##334#</v>
      </c>
    </row>
    <row r="9" spans="1:11" ht="30.25" thickBot="1" x14ac:dyDescent="0.9">
      <c r="A9" s="9">
        <v>2</v>
      </c>
      <c r="B9" s="9" t="s">
        <v>211</v>
      </c>
      <c r="C9" s="1" t="s">
        <v>1082</v>
      </c>
      <c r="D9" s="94" t="s">
        <v>158</v>
      </c>
      <c r="E9" s="9">
        <v>0</v>
      </c>
      <c r="F9" s="9" t="s">
        <v>11</v>
      </c>
      <c r="G9" s="9" t="s">
        <v>2</v>
      </c>
      <c r="H9" s="22"/>
      <c r="I9" s="14" t="str">
        <f t="shared" ref="I9:I18" si="0">CONCATENATE("* ",B9, " ",E9,"..",F9," ",G9," ##34#",C9,"##34# ##334#",D9,"##334#")</f>
        <v>* date 0..* dateTime ##34#A.2.8.1.1 Date##34# ##334#Date and time of the observation - Preferred system(s): ISO 8601##334#</v>
      </c>
    </row>
    <row r="10" spans="1:11" ht="89.25" thickBot="1" x14ac:dyDescent="0.9">
      <c r="A10" s="9">
        <v>3</v>
      </c>
      <c r="B10" s="9" t="s">
        <v>240</v>
      </c>
      <c r="C10" s="14" t="s">
        <v>1083</v>
      </c>
      <c r="D10" s="94" t="s">
        <v>1091</v>
      </c>
      <c r="E10" s="9">
        <v>0</v>
      </c>
      <c r="F10" s="9" t="s">
        <v>11</v>
      </c>
      <c r="G10" s="9" t="s">
        <v>1</v>
      </c>
      <c r="H10" s="22"/>
      <c r="I10" s="14" t="str">
        <f t="shared" si="0"/>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row>
    <row r="11" spans="1:11" ht="30.25" thickBot="1" x14ac:dyDescent="0.9">
      <c r="A11" s="51">
        <v>4</v>
      </c>
      <c r="B11" s="9" t="s">
        <v>204</v>
      </c>
      <c r="C11" s="45" t="s">
        <v>1084</v>
      </c>
      <c r="D11" s="94" t="s">
        <v>820</v>
      </c>
      <c r="E11" s="51">
        <v>0</v>
      </c>
      <c r="F11" s="51" t="s">
        <v>11</v>
      </c>
      <c r="G11" s="9" t="s">
        <v>160</v>
      </c>
      <c r="H11" s="22"/>
      <c r="I11" s="14" t="str">
        <f t="shared" si="0"/>
        <v>* description 0..* Narrative ##34#A.2.8.1.3 Result description##34# ##334#Narrative representation of the observation result and findings.##334#</v>
      </c>
    </row>
    <row r="12" spans="1:11" ht="59.75" thickBot="1" x14ac:dyDescent="0.9">
      <c r="A12" s="9">
        <v>5</v>
      </c>
      <c r="B12" s="9" t="s">
        <v>1095</v>
      </c>
      <c r="C12" s="45" t="s">
        <v>1085</v>
      </c>
      <c r="D12" s="94" t="s">
        <v>1092</v>
      </c>
      <c r="E12" s="51">
        <v>0</v>
      </c>
      <c r="F12" s="51" t="s">
        <v>11</v>
      </c>
      <c r="G12" s="9" t="s">
        <v>4</v>
      </c>
      <c r="H12" s="22"/>
      <c r="I12" s="14" t="str">
        <f t="shared" si="0"/>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1:11" ht="104" thickBot="1" x14ac:dyDescent="0.9">
      <c r="A13" s="9">
        <v>6</v>
      </c>
      <c r="B13" s="9" t="s">
        <v>121</v>
      </c>
      <c r="C13" s="14" t="s">
        <v>1086</v>
      </c>
      <c r="D13" s="94" t="s">
        <v>1093</v>
      </c>
      <c r="E13" s="51">
        <v>0</v>
      </c>
      <c r="F13" s="51" t="s">
        <v>11</v>
      </c>
      <c r="G13" s="9" t="s">
        <v>4</v>
      </c>
      <c r="H13" s="22"/>
      <c r="I13" s="14" t="str">
        <f t="shared" si="0"/>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1:11" ht="59.75" thickBot="1" x14ac:dyDescent="0.9">
      <c r="A14" s="9">
        <v>7</v>
      </c>
      <c r="B14" s="9" t="s">
        <v>246</v>
      </c>
      <c r="C14" s="9" t="s">
        <v>1087</v>
      </c>
      <c r="D14" s="94" t="s">
        <v>790</v>
      </c>
      <c r="E14" s="51">
        <v>0</v>
      </c>
      <c r="F14" s="51" t="s">
        <v>11</v>
      </c>
      <c r="G14" s="9" t="s">
        <v>4</v>
      </c>
      <c r="H14" s="22"/>
      <c r="I14" s="14" t="str">
        <f t="shared" si="0"/>
        <v>* performer 0..* BackboneElement ##34#A.2.8.1.6 Performer##34# ##334#Identifies the originator/author and provides provenance information about the source of the results data that may have not originated with the source of the whole PS document.##334#</v>
      </c>
    </row>
    <row r="15" spans="1:11" ht="45" thickBot="1" x14ac:dyDescent="0.9">
      <c r="A15" s="3">
        <v>8</v>
      </c>
      <c r="B15" s="9" t="s">
        <v>1096</v>
      </c>
      <c r="C15" s="9" t="s">
        <v>1088</v>
      </c>
      <c r="D15" s="94" t="s">
        <v>103</v>
      </c>
      <c r="E15" s="3">
        <v>0</v>
      </c>
      <c r="F15" s="3" t="s">
        <v>11</v>
      </c>
      <c r="G15" s="9" t="s">
        <v>4</v>
      </c>
      <c r="H15" s="53"/>
      <c r="I15" s="14" t="str">
        <f t="shared" si="0"/>
        <v>* reporter 0..* BackboneElement ##34#A.2.8.1.7 Reporter##34# ##334#With certain observation results, e.g. there may also be an interpreter or a person responsible for validation.##334#</v>
      </c>
      <c r="J15" s="15"/>
      <c r="K15" s="9"/>
    </row>
    <row r="16" spans="1:11" x14ac:dyDescent="0.75">
      <c r="A16" s="9"/>
      <c r="B16" s="9"/>
      <c r="C16" s="9"/>
      <c r="D16" s="14"/>
      <c r="E16" s="9"/>
      <c r="F16" s="9"/>
      <c r="G16" s="9"/>
      <c r="H16" s="9"/>
      <c r="I16" s="14" t="str">
        <f t="shared" si="0"/>
        <v>*  ..  ##34###34# ##334###334#</v>
      </c>
    </row>
    <row r="17" spans="1:9" x14ac:dyDescent="0.75">
      <c r="A17" s="3"/>
      <c r="B17" s="9"/>
      <c r="C17" s="9"/>
      <c r="D17" s="14"/>
      <c r="E17" s="9"/>
      <c r="F17" s="9"/>
      <c r="G17" s="9"/>
      <c r="H17" s="9"/>
      <c r="I17" s="14" t="str">
        <f t="shared" si="0"/>
        <v>*  ..  ##34###34# ##334###334#</v>
      </c>
    </row>
    <row r="18" spans="1:9" x14ac:dyDescent="0.75">
      <c r="A18" s="9"/>
      <c r="B18" s="9"/>
      <c r="C18" s="9"/>
      <c r="D18" s="14"/>
      <c r="E18" s="9"/>
      <c r="F18" s="9"/>
      <c r="G18" s="9"/>
      <c r="H18" s="9"/>
      <c r="I18" s="14" t="str">
        <f t="shared" si="0"/>
        <v>*  ..  ##34###34# ##334###334#</v>
      </c>
    </row>
    <row r="19" spans="1:9" x14ac:dyDescent="0.75">
      <c r="A19" s="9"/>
      <c r="B19" s="9"/>
      <c r="C19" s="9"/>
      <c r="D19" s="14"/>
      <c r="E19" s="9"/>
      <c r="F19" s="9"/>
      <c r="G19" s="9"/>
      <c r="H19" s="9"/>
      <c r="I19" s="14"/>
    </row>
    <row r="20" spans="1:9" x14ac:dyDescent="0.75">
      <c r="A20" s="9"/>
      <c r="B20" s="9"/>
      <c r="C20" s="9"/>
      <c r="D20" s="14"/>
      <c r="E20" s="9"/>
      <c r="F20" s="9"/>
      <c r="G20" s="9"/>
      <c r="H20" s="9"/>
      <c r="I20" s="14"/>
    </row>
    <row r="21" spans="1:9" x14ac:dyDescent="0.75">
      <c r="A21" s="9"/>
      <c r="B21" s="9"/>
      <c r="C21" s="9"/>
      <c r="D21" s="14"/>
      <c r="E21" s="9"/>
      <c r="F21" s="9"/>
      <c r="G21" s="9"/>
      <c r="H21" s="9"/>
      <c r="I21" s="14"/>
    </row>
    <row r="22" spans="1:9" x14ac:dyDescent="0.75">
      <c r="A22" s="9"/>
      <c r="B22" s="9"/>
      <c r="C22" s="9"/>
      <c r="D22" s="14"/>
      <c r="E22" s="9"/>
      <c r="F22" s="9"/>
      <c r="G22" s="9"/>
      <c r="H22" s="9"/>
      <c r="I22" s="14"/>
    </row>
    <row r="24" spans="1:9" ht="74.5" thickBot="1" x14ac:dyDescent="0.9">
      <c r="B24" t="str">
        <f t="shared" ref="B24:B31" si="1">CONCATENATE(C24," ",D24)</f>
        <v>A.2.8.1 Result observations</v>
      </c>
      <c r="C24" s="93" t="s">
        <v>810</v>
      </c>
      <c r="D24" s="94" t="s">
        <v>821</v>
      </c>
      <c r="E24" s="94" t="s">
        <v>822</v>
      </c>
      <c r="F24" s="94"/>
      <c r="I24" s="1" t="str">
        <f t="shared" ref="I24:I31" si="2">CONCATENATE(E24," - Preferred system(s): ",F24)</f>
        <v xml:space="preserve">(A list of observation results pertaining to the subject of care's health condition and which might have impact on future treatments) - Preferred system(s): </v>
      </c>
    </row>
    <row r="25" spans="1:9" ht="29.5" customHeight="1" thickBot="1" x14ac:dyDescent="0.9">
      <c r="B25" t="str">
        <f t="shared" si="1"/>
        <v>A.2.8.1.1 Date</v>
      </c>
      <c r="C25" s="93" t="s">
        <v>811</v>
      </c>
      <c r="D25" s="94" t="s">
        <v>781</v>
      </c>
      <c r="E25" s="94" t="s">
        <v>100</v>
      </c>
      <c r="F25" s="94" t="s">
        <v>94</v>
      </c>
      <c r="I25" s="1" t="str">
        <f t="shared" si="2"/>
        <v>Date and time of the observation - Preferred system(s): ISO 8601</v>
      </c>
    </row>
    <row r="26" spans="1:9" ht="148.25" thickBot="1" x14ac:dyDescent="0.9">
      <c r="B26" t="str">
        <f t="shared" si="1"/>
        <v>A.2.8.1.2 Observation type</v>
      </c>
      <c r="C26" s="93" t="s">
        <v>812</v>
      </c>
      <c r="D26" s="94" t="s">
        <v>782</v>
      </c>
      <c r="E26" s="94" t="s">
        <v>1089</v>
      </c>
      <c r="F26" s="94" t="s">
        <v>1090</v>
      </c>
      <c r="I26" s="1" t="str">
        <f t="shared" si="2"/>
        <v>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v>
      </c>
    </row>
    <row r="27" spans="1:9" ht="30.25" thickBot="1" x14ac:dyDescent="0.9">
      <c r="B27" t="str">
        <f t="shared" si="1"/>
        <v>A.2.8.1.3 Result description</v>
      </c>
      <c r="C27" s="93" t="s">
        <v>813</v>
      </c>
      <c r="D27" s="94" t="s">
        <v>104</v>
      </c>
      <c r="E27" s="94" t="s">
        <v>820</v>
      </c>
      <c r="F27" s="94"/>
      <c r="I27" s="1" t="str">
        <f t="shared" si="2"/>
        <v xml:space="preserve">Narrative representation of the observation result and findings. - Preferred system(s): </v>
      </c>
    </row>
    <row r="28" spans="1:9" ht="89.25" thickBot="1" x14ac:dyDescent="0.9">
      <c r="B28" t="str">
        <f t="shared" si="1"/>
        <v>A.2.8.1.4 Observation details</v>
      </c>
      <c r="C28" s="93" t="s">
        <v>814</v>
      </c>
      <c r="D28" s="94" t="s">
        <v>784</v>
      </c>
      <c r="E28" s="94" t="s">
        <v>785</v>
      </c>
      <c r="F28" s="94" t="s">
        <v>786</v>
      </c>
      <c r="I28" s="1" t="str">
        <f t="shared" si="2"/>
        <v>Observation details including code that identifies observation, specification of the observed body structure or specimen, date and time of the specimen collection. LOINC - Preferred system(s): SNOMED CT GPS NPU</v>
      </c>
    </row>
    <row r="29" spans="1:9" ht="163" thickBot="1" x14ac:dyDescent="0.9">
      <c r="B29" t="str">
        <f t="shared" si="1"/>
        <v>A.2.8.1.5 Observation results</v>
      </c>
      <c r="C29" s="93" t="s">
        <v>815</v>
      </c>
      <c r="D29" s="94" t="s">
        <v>787</v>
      </c>
      <c r="E29" s="94" t="s">
        <v>788</v>
      </c>
      <c r="F29" s="94" t="s">
        <v>789</v>
      </c>
      <c r="I29" s="1" t="str">
        <f t="shared" si="2"/>
        <v>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v>
      </c>
    </row>
    <row r="30" spans="1:9" ht="89.25" thickBot="1" x14ac:dyDescent="0.9">
      <c r="B30" t="str">
        <f t="shared" si="1"/>
        <v>A.2.8.1.6 Performer</v>
      </c>
      <c r="C30" s="93" t="s">
        <v>816</v>
      </c>
      <c r="D30" s="94" t="s">
        <v>101</v>
      </c>
      <c r="E30" s="94" t="s">
        <v>790</v>
      </c>
      <c r="F30" s="94"/>
      <c r="I30" s="1" t="str">
        <f t="shared" si="2"/>
        <v xml:space="preserve">Identifies the originator/author and provides provenance information about the source of the results data that may have not originated with the source of the whole PS document. - Preferred system(s): </v>
      </c>
    </row>
    <row r="31" spans="1:9" ht="59.75" thickBot="1" x14ac:dyDescent="0.9">
      <c r="B31" t="str">
        <f t="shared" si="1"/>
        <v>A.2.8.1.7 Reporter</v>
      </c>
      <c r="C31" s="93" t="s">
        <v>817</v>
      </c>
      <c r="D31" s="94" t="s">
        <v>102</v>
      </c>
      <c r="E31" s="94" t="s">
        <v>103</v>
      </c>
      <c r="F31" s="94"/>
      <c r="I31" s="1" t="str">
        <f t="shared" si="2"/>
        <v xml:space="preserve">With certain observation results, e.g. there may also be an interpreter or a person responsible for validation. - Preferred system(s): </v>
      </c>
    </row>
  </sheetData>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18"/>
  <sheetViews>
    <sheetView workbookViewId="0">
      <selection activeCell="C18" sqref="C1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'A.2.8 Results'!I1</f>
        <v>// -------------------------------------------------------------------------------</v>
      </c>
    </row>
    <row r="2" spans="3:7" ht="16.75" thickBot="1" x14ac:dyDescent="0.9">
      <c r="C2" s="32" t="str">
        <f>'A.2.8 Results'!I2</f>
        <v>//  Logical Model</v>
      </c>
      <c r="G2" s="48" t="s">
        <v>436</v>
      </c>
    </row>
    <row r="3" spans="3:7" x14ac:dyDescent="0.75">
      <c r="C3" s="32" t="str">
        <f>'A.2.8 Results'!I3</f>
        <v>// -------------------------------------------------------------------------------</v>
      </c>
      <c r="G3" s="10"/>
    </row>
    <row r="4" spans="3:7" x14ac:dyDescent="0.75">
      <c r="C4" s="24" t="str">
        <f>'A.2.8 Results'!I4</f>
        <v>Logical: ResultPsEhn</v>
      </c>
    </row>
    <row r="5" spans="3:7" x14ac:dyDescent="0.75">
      <c r="C5" s="24" t="str">
        <f>'A.2.8 Results'!I5</f>
        <v>Id: Result</v>
      </c>
    </row>
    <row r="6" spans="3:7" x14ac:dyDescent="0.75">
      <c r="C6" s="24" t="str">
        <f>'A.2.8 Results'!I6</f>
        <v>Title: ##34#A.2.8 - Results##34#</v>
      </c>
    </row>
    <row r="7" spans="3:7" x14ac:dyDescent="0.75">
      <c r="C7" s="24" t="str">
        <f>'A.2.8 Results'!I7</f>
        <v>Description:  ##334#Results data elements. Section A2.8 of the eHN guideline.##334#</v>
      </c>
    </row>
    <row r="8" spans="3:7" ht="29.5" x14ac:dyDescent="0.75">
      <c r="C8" s="14" t="str">
        <f>IF('A.2.8 Results'!I8="*  ..  ##34###34# ##334###334#","//--- END",'A.2.8 Results'!I8)</f>
        <v>* observation 0..1 BackboneElement ##34#A.2.8.1 Result observations##34# ##334#(A list of observation results pertaining to the subject of care's health condition and which might have impact on future treatments)##334#</v>
      </c>
    </row>
    <row r="9" spans="3:7" x14ac:dyDescent="0.75">
      <c r="C9" s="14" t="str">
        <f>IF('A.2.8 Results'!I9="*  ..  ##34###34# ##334###334#","//--- END",'A.2.8 Results'!I9)</f>
        <v>* date 0..* dateTime ##34#A.2.8.1.1 Date##34# ##334#Date and time of the observation - Preferred system(s): ISO 8601##334#</v>
      </c>
    </row>
    <row r="10" spans="3:7" ht="59" x14ac:dyDescent="0.75">
      <c r="C10" s="14" t="str">
        <f>IF('A.2.8 Results'!I10="*  ..  ##34###34# ##334###334#","//--- END",'A.2.8 Results'!I10)</f>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c r="E10" t="s">
        <v>116</v>
      </c>
    </row>
    <row r="11" spans="3:7" ht="29.5" x14ac:dyDescent="0.75">
      <c r="C11" s="14" t="str">
        <f>IF('A.2.8 Results'!I11="*  ..  ##34###34# ##334###334#","//--- END",'A.2.8 Results'!I11)</f>
        <v>* description 0..* Narrative ##34#A.2.8.1.3 Result description##34# ##334#Narrative representation of the observation result and findings.##334#</v>
      </c>
    </row>
    <row r="12" spans="3:7" ht="44.25" x14ac:dyDescent="0.75">
      <c r="C12" s="14" t="str">
        <f>IF('A.2.8 Results'!I12="*  ..  ##34###34# ##334###334#","//--- END",'A.2.8 Results'!I12)</f>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3:7" ht="59" x14ac:dyDescent="0.75">
      <c r="C13" s="14" t="str">
        <f>IF('A.2.8 Results'!I13="*  ..  ##34###34# ##334###334#","//--- END",'A.2.8 Results'!I13)</f>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3:7" ht="44.25" x14ac:dyDescent="0.75">
      <c r="C14" s="14" t="str">
        <f>IF('A.2.8 Results'!I14="*  ..  ##34###34# ##334###334#","//--- END",'A.2.8 Results'!I14)</f>
        <v>* performer 0..* BackboneElement ##34#A.2.8.1.6 Performer##34# ##334#Identifies the originator/author and provides provenance information about the source of the results data that may have not originated with the source of the whole PS document.##334#</v>
      </c>
    </row>
    <row r="15" spans="3:7" ht="29.5" x14ac:dyDescent="0.75">
      <c r="C15" s="14" t="str">
        <f>IF('A.2.8 Results'!I15="*  ..  ##34###34# ##334###334#","//--- END",'A.2.8 Results'!I15)</f>
        <v>* reporter 0..* BackboneElement ##34#A.2.8.1.7 Reporter##34# ##334#With certain observation results, e.g. there may also be an interpreter or a person responsible for validation.##334#</v>
      </c>
    </row>
    <row r="16" spans="3:7" x14ac:dyDescent="0.75">
      <c r="C16" s="14" t="str">
        <f>IF('A.2.8 Results'!I16="*  ..  ##34###34# ##334###334#","//--- END",'A.2.8 Results'!I16)</f>
        <v>//--- END</v>
      </c>
    </row>
    <row r="17" spans="3:3" x14ac:dyDescent="0.75">
      <c r="C17" s="14" t="str">
        <f>IF('A.2.8 Results'!I17="*  ..  ##34###34# ##334###334#","//--- END",'A.2.8 Results'!I17)</f>
        <v>//--- END</v>
      </c>
    </row>
    <row r="18" spans="3:3" x14ac:dyDescent="0.75">
      <c r="C18" s="14" t="str">
        <f>IF('A.2.8 Results'!I18="*  ..  ##34###34# ##334###334#","//--- END",'A.2.8 Results'!I18)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86"/>
  <sheetViews>
    <sheetView topLeftCell="B19" zoomScaleNormal="100" workbookViewId="0">
      <selection activeCell="B24" sqref="B24:B2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847</v>
      </c>
      <c r="D3" s="61" t="s">
        <v>208</v>
      </c>
      <c r="E3" s="72" t="str">
        <f>"http://hl7.eu/fhir/ig/xpandh/ps/StructureDefinition/"&amp;'A.2.8 Results'!B5</f>
        <v>http://hl7.eu/fhir/ig/xpandh/ps/StructureDefinition/Result</v>
      </c>
    </row>
    <row r="4" spans="1:19" x14ac:dyDescent="0.75">
      <c r="B4" s="61" t="s">
        <v>19</v>
      </c>
      <c r="C4" s="47" t="s">
        <v>520</v>
      </c>
      <c r="D4" s="61" t="s">
        <v>209</v>
      </c>
      <c r="E4" s="165" t="s">
        <v>1097</v>
      </c>
      <c r="F4" s="164"/>
      <c r="G4" s="164"/>
    </row>
    <row r="5" spans="1:19" x14ac:dyDescent="0.75">
      <c r="B5" s="61" t="s">
        <v>13</v>
      </c>
      <c r="C5" s="10" t="s">
        <v>241</v>
      </c>
      <c r="D5" s="61"/>
      <c r="E5"/>
    </row>
    <row r="6" spans="1:19" x14ac:dyDescent="0.75">
      <c r="B6" s="61" t="s">
        <v>35</v>
      </c>
      <c r="C6" s="60"/>
      <c r="D6" s="61" t="s">
        <v>206</v>
      </c>
      <c r="E6" s="174" t="str">
        <f>E3</f>
        <v>http://hl7.eu/fhir/ig/xpandh/ps/StructureDefinition/Result</v>
      </c>
      <c r="F6" s="175"/>
      <c r="G6" s="175"/>
    </row>
    <row r="7" spans="1:19" x14ac:dyDescent="0.75">
      <c r="B7" s="61" t="s">
        <v>18</v>
      </c>
      <c r="C7" s="68"/>
      <c r="D7" s="61" t="s">
        <v>207</v>
      </c>
      <c r="E7" s="165" t="s">
        <v>1097</v>
      </c>
      <c r="F7" s="164"/>
      <c r="G7" s="164"/>
    </row>
    <row r="8" spans="1:19" ht="44.25" x14ac:dyDescent="0.75">
      <c r="B8" s="61" t="s">
        <v>204</v>
      </c>
      <c r="C8" s="46" t="s">
        <v>242</v>
      </c>
      <c r="D8" s="61"/>
      <c r="E8" s="10"/>
      <c r="I8" s="14" t="s">
        <v>181</v>
      </c>
      <c r="J8" s="14" t="s">
        <v>182</v>
      </c>
      <c r="K8" s="14" t="s">
        <v>183</v>
      </c>
      <c r="L8" s="14" t="s">
        <v>184</v>
      </c>
      <c r="M8" s="9" t="s">
        <v>185</v>
      </c>
      <c r="P8" s="57" t="s">
        <v>186</v>
      </c>
      <c r="Q8" s="57">
        <v>6</v>
      </c>
    </row>
    <row r="9" spans="1:19" ht="29.5" x14ac:dyDescent="0.75">
      <c r="B9" s="61" t="s">
        <v>205</v>
      </c>
      <c r="C9" s="14" t="s">
        <v>243</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'A.2.8 Results'!B5</f>
        <v>Result</v>
      </c>
      <c r="C14" s="9"/>
      <c r="D14" s="4" t="s">
        <v>245</v>
      </c>
      <c r="E14" s="8"/>
      <c r="F14" s="63"/>
      <c r="G14" s="70"/>
      <c r="I14" s="14"/>
      <c r="J14" s="9"/>
      <c r="K14" s="9"/>
      <c r="L14" s="9"/>
      <c r="M14" s="59"/>
      <c r="N14" s="62"/>
    </row>
    <row r="15" spans="1:19" ht="44.25" x14ac:dyDescent="0.75">
      <c r="A15" s="22"/>
      <c r="B15" s="9" t="str">
        <f>'A.2.8 Results'!B8</f>
        <v>observation</v>
      </c>
      <c r="C15" s="9" t="str">
        <f>'A.2.8 Results'!C8</f>
        <v>A.2.8.1 Result observations</v>
      </c>
      <c r="D15" s="14"/>
      <c r="E15" s="9"/>
      <c r="F15" s="63" t="s">
        <v>193</v>
      </c>
      <c r="G15" s="70"/>
      <c r="I15" s="14" t="str">
        <f>"* group[=].element[+].code = #"&amp;$B$14&amp;"."&amp;B15</f>
        <v>* group[=].element[+].code = #Result.observation</v>
      </c>
      <c r="J15" s="14" t="str">
        <f t="shared" ref="J15" si="0">"* group[=].element[=].display = ##34#"&amp;C15&amp;"##34#"</f>
        <v>* group[=].element[=].display = ##34#A.2.8.1 Result observations##34#</v>
      </c>
      <c r="K15" s="14" t="str">
        <f>IF(F15="unmatched","//-- unmatched",IF(D15="","* group[=].element[=].target.code = #"&amp;$D$14,"* group[=].element[=].target.code = #"&amp;$D$14&amp;"."&amp;D15))</f>
        <v>* group[=].element[=].target.code = #Observation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 si="4">IF(MOD(P15,$Q$8)=0,P15/$Q$8-1,INT(P15/$Q$8))</f>
        <v>0</v>
      </c>
      <c r="R15" s="9">
        <f t="shared" ref="R15" si="5">IF(MOD(P15,$Q$8)=0,$Q$8,MOD(P15,$Q$8))</f>
        <v>1</v>
      </c>
      <c r="S15" s="14" t="str" cm="1">
        <f t="array" ref="S15">INDEX('Results-ConceptMap-1'!$I$15:$N$86,Q15+1,R15)</f>
        <v>* group[=].element[+].code = #Result.observation</v>
      </c>
    </row>
    <row r="16" spans="1:19" ht="44.25" customHeight="1" x14ac:dyDescent="0.75">
      <c r="A16" s="22"/>
      <c r="B16" s="9" t="str">
        <f>'A.2.8 Results'!B9</f>
        <v>date</v>
      </c>
      <c r="C16" s="9" t="str">
        <f>'A.2.8 Results'!C9</f>
        <v>A.2.8.1.1 Date</v>
      </c>
      <c r="D16" s="14" t="s">
        <v>1098</v>
      </c>
      <c r="E16" s="9"/>
      <c r="F16" s="63" t="s">
        <v>193</v>
      </c>
      <c r="G16" s="70" t="s">
        <v>1099</v>
      </c>
      <c r="H16" s="64"/>
      <c r="I16" s="14" t="str">
        <f>"* group[=].element[+].code = #"&amp;$B$14&amp;"."&amp;B16</f>
        <v>* group[=].element[+].code = #Result.date</v>
      </c>
      <c r="J16" s="14" t="str">
        <f t="shared" ref="J16:J17" si="6">"* group[=].element[=].display = ##34#"&amp;C16&amp;"##34#"</f>
        <v>* group[=].element[=].display = ##34#A.2.8.1.1 Date##34#</v>
      </c>
      <c r="K16" s="14" t="str">
        <f>IF(F16="unmatched","//-- unmatched",IF(D16="","* group[=].element[=].target.code = #"&amp;$D$14,"* group[=].element[=].target.code = #"&amp;$D$14&amp;"."&amp;D16))</f>
        <v>* group[=].element[=].target.code = #Observation.effectiveDateTime</v>
      </c>
      <c r="L16" s="14" t="str">
        <f t="shared" ref="L16:L17" si="7">IF(F16="unmatched","//-- unmatched","* group[=].element[=].target.display = ##34#"&amp;E16&amp;"##34#")</f>
        <v>* group[=].element[=].target.display = ##34###34#</v>
      </c>
      <c r="M16" s="14" t="str">
        <f t="shared" ref="M16:M17" si="8">"* group[=].element[=].target.equivalence = #"&amp;F16</f>
        <v>* group[=].element[=].target.equivalence = #relatedto</v>
      </c>
      <c r="N16" s="14" t="str">
        <f t="shared" ref="N16:N17" si="9">IF(G16&lt;&gt;"",CONCATENATE("* group[=].element[=].target.comment = ","##34#",G16,"##34#"),"")</f>
        <v>* group[=].element[=].target.comment = ##34#Whe it represents the date clincally relevant time (e.g. the time of specimen collection for Lab results##34#</v>
      </c>
      <c r="P16" s="9">
        <v>2</v>
      </c>
      <c r="Q16" s="9">
        <f t="shared" ref="Q16:Q30" si="10">IF(MOD(P16,$Q$8)=0,P16/$Q$8-1,INT(P16/$Q$8))</f>
        <v>0</v>
      </c>
      <c r="R16" s="9">
        <f t="shared" ref="R16:R30" si="11">IF(MOD(P16,$Q$8)=0,$Q$8,MOD(P16,$Q$8))</f>
        <v>2</v>
      </c>
      <c r="S16" s="14" t="str" cm="1">
        <f t="array" ref="S16">INDEX('Results-ConceptMap-1'!$I$15:$N$86,Q16+1,R16)</f>
        <v>* group[=].element[=].display = ##34#A.2.8.1 Result observations##34#</v>
      </c>
    </row>
    <row r="17" spans="1:19" ht="44.25" customHeight="1" x14ac:dyDescent="0.75">
      <c r="A17" s="22"/>
      <c r="B17" s="5" t="str">
        <f>'A.2.8 Results'!B9</f>
        <v>date</v>
      </c>
      <c r="C17" s="5" t="str">
        <f>'A.2.8 Results'!C9</f>
        <v>A.2.8.1.1 Date</v>
      </c>
      <c r="D17" s="14" t="s">
        <v>1100</v>
      </c>
      <c r="E17" s="9"/>
      <c r="F17" s="63" t="s">
        <v>193</v>
      </c>
      <c r="G17" s="70" t="s">
        <v>1101</v>
      </c>
      <c r="H17" s="64"/>
      <c r="I17" s="14" t="str">
        <f t="shared" ref="I17:I19" si="12">"* group[=].element[+].code = #"&amp;$B$14&amp;"."&amp;B17</f>
        <v>* group[=].element[+].code = #Result.date</v>
      </c>
      <c r="J17" s="14" t="str">
        <f t="shared" si="6"/>
        <v>* group[=].element[=].display = ##34#A.2.8.1.1 Date##34#</v>
      </c>
      <c r="K17" s="14" t="str">
        <f t="shared" ref="K17:K19" si="13">IF(F17="unmatched","//-- unmatched",IF(D17="","* group[=].element[=].target.code = #"&amp;$D$14,"* group[=].element[=].target.code = #"&amp;$D$14&amp;"."&amp;D17))</f>
        <v>* group[=].element[=].target.code = #Observation.issued</v>
      </c>
      <c r="L17" s="14" t="str">
        <f t="shared" si="7"/>
        <v>* group[=].element[=].target.display = ##34###34#</v>
      </c>
      <c r="M17" s="14" t="str">
        <f t="shared" si="8"/>
        <v>* group[=].element[=].target.equivalence = #relatedto</v>
      </c>
      <c r="N17" s="14" t="str">
        <f t="shared" si="9"/>
        <v>* group[=].element[=].target.comment = ##34#When is the time when this result has been made available##34#</v>
      </c>
      <c r="P17" s="9">
        <v>3</v>
      </c>
      <c r="Q17" s="9">
        <f t="shared" si="10"/>
        <v>0</v>
      </c>
      <c r="R17" s="9">
        <f t="shared" si="11"/>
        <v>3</v>
      </c>
      <c r="S17" s="14" t="str" cm="1">
        <f t="array" ref="S17">INDEX('Results-ConceptMap-1'!$I$15:$N$86,Q17+1,R17)</f>
        <v>* group[=].element[=].target.code = #Observation</v>
      </c>
    </row>
    <row r="18" spans="1:19" ht="44.25" x14ac:dyDescent="0.75">
      <c r="A18" s="22"/>
      <c r="B18" s="9" t="str">
        <f>'A.2.8 Results'!B10</f>
        <v>type</v>
      </c>
      <c r="C18" s="9" t="str">
        <f>'A.2.8 Results'!C10</f>
        <v>A.2.8.1.2 Observation type</v>
      </c>
      <c r="D18" s="14" t="s">
        <v>189</v>
      </c>
      <c r="E18" s="9"/>
      <c r="F18" s="63" t="s">
        <v>192</v>
      </c>
      <c r="G18" s="70"/>
      <c r="H18" s="64"/>
      <c r="I18" s="14" t="str">
        <f t="shared" si="12"/>
        <v>* group[=].element[+].code = #Result.type</v>
      </c>
      <c r="J18" s="14" t="str">
        <f t="shared" ref="J18:J19" si="14">"* group[=].element[=].display = ##34#"&amp;C18&amp;"##34#"</f>
        <v>* group[=].element[=].display = ##34#A.2.8.1.2 Observation type##34#</v>
      </c>
      <c r="K18" s="14" t="str">
        <f t="shared" si="13"/>
        <v>* group[=].element[=].target.code = #Observation.code</v>
      </c>
      <c r="L18" s="14" t="str">
        <f t="shared" ref="L18:L19" si="15">IF(F18="unmatched","//-- unmatched","* group[=].element[=].target.display = ##34#"&amp;E18&amp;"##34#")</f>
        <v>* group[=].element[=].target.display = ##34###34#</v>
      </c>
      <c r="M18" s="14" t="str">
        <f t="shared" ref="M18:M19" si="16">"* group[=].element[=].target.equivalence = #"&amp;F18</f>
        <v>* group[=].element[=].target.equivalence = #equivalent</v>
      </c>
      <c r="N18" s="14" t="str">
        <f t="shared" ref="N18:N19" si="17">IF(G18&lt;&gt;"",CONCATENATE("* group[=].element[=].target.comment = ","##34#",G18,"##34#"),"")</f>
        <v/>
      </c>
      <c r="P18" s="9">
        <v>4</v>
      </c>
      <c r="Q18" s="9">
        <f t="shared" si="10"/>
        <v>0</v>
      </c>
      <c r="R18" s="9">
        <f t="shared" si="11"/>
        <v>4</v>
      </c>
      <c r="S18" s="14" t="str" cm="1">
        <f t="array" ref="S18">INDEX('Results-ConceptMap-1'!$I$15:$N$86,Q18+1,R18)</f>
        <v>* group[=].element[=].target.display = ##34###34#</v>
      </c>
    </row>
    <row r="19" spans="1:19" ht="59" x14ac:dyDescent="0.75">
      <c r="A19" s="22"/>
      <c r="B19" s="9" t="str">
        <f>'A.2.8 Results'!B11</f>
        <v>description</v>
      </c>
      <c r="C19" s="9" t="str">
        <f>'A.2.8 Results'!C11</f>
        <v>A.2.8.1.3 Result description</v>
      </c>
      <c r="D19" s="14" t="s">
        <v>244</v>
      </c>
      <c r="E19" s="9"/>
      <c r="F19" s="63" t="s">
        <v>192</v>
      </c>
      <c r="G19" s="70" t="s">
        <v>1102</v>
      </c>
      <c r="H19" s="64"/>
      <c r="I19" s="14" t="str">
        <f t="shared" si="12"/>
        <v>* group[=].element[+].code = #Result.description</v>
      </c>
      <c r="J19" s="14" t="str">
        <f t="shared" si="14"/>
        <v>* group[=].element[=].display = ##34#A.2.8.1.3 Result description##34#</v>
      </c>
      <c r="K19" s="14" t="str">
        <f t="shared" si="13"/>
        <v>* group[=].element[=].target.code = #Observation.text</v>
      </c>
      <c r="L19" s="14" t="str">
        <f t="shared" si="15"/>
        <v>* group[=].element[=].target.display = ##34###34#</v>
      </c>
      <c r="M19" s="14" t="str">
        <f t="shared" si="16"/>
        <v>* group[=].element[=].target.equivalence = #equivalent</v>
      </c>
      <c r="N19" s="14" t="str">
        <f t="shared" si="17"/>
        <v>* group[=].element[=].target.comment = ##34#text describing the result##34#</v>
      </c>
      <c r="P19" s="9">
        <v>5</v>
      </c>
      <c r="Q19" s="9">
        <f t="shared" si="10"/>
        <v>0</v>
      </c>
      <c r="R19" s="9">
        <f t="shared" si="11"/>
        <v>5</v>
      </c>
      <c r="S19" s="14" t="str" cm="1">
        <f t="array" ref="S19">INDEX('Results-ConceptMap-1'!$I$15:$N$86,Q19+1,R19)</f>
        <v>* group[=].element[=].target.equivalence = #relatedto</v>
      </c>
    </row>
    <row r="20" spans="1:19" ht="73.75" x14ac:dyDescent="0.75">
      <c r="A20" s="22"/>
      <c r="B20" s="9" t="str">
        <f>'A.2.8 Results'!B12</f>
        <v>details</v>
      </c>
      <c r="C20" s="9" t="str">
        <f>'A.2.8 Results'!C12</f>
        <v>A.2.8.1.4 Observation details</v>
      </c>
      <c r="D20" s="14"/>
      <c r="E20" s="9"/>
      <c r="F20" s="63" t="s">
        <v>193</v>
      </c>
      <c r="G20" s="70" t="s">
        <v>1103</v>
      </c>
      <c r="H20" s="64"/>
      <c r="I20" s="14" t="str">
        <f t="shared" ref="I20:I21" si="18">"* group[=].element[+].code = #"&amp;$B$14&amp;"."&amp;B20</f>
        <v>* group[=].element[+].code = #Result.details</v>
      </c>
      <c r="J20" s="14" t="str">
        <f t="shared" ref="J20:J21" si="19">"* group[=].element[=].display = ##34#"&amp;C20&amp;"##34#"</f>
        <v>* group[=].element[=].display = ##34#A.2.8.1.4 Observation details##34#</v>
      </c>
      <c r="K20" s="14" t="str">
        <f t="shared" ref="K20:K21" si="20">IF(F20="unmatched","//-- unmatched",IF(D20="","* group[=].element[=].target.code = #"&amp;$D$14,"* group[=].element[=].target.code = #"&amp;$D$14&amp;"."&amp;D20))</f>
        <v>* group[=].element[=].target.code = #Observation</v>
      </c>
      <c r="L20" s="14" t="str">
        <f t="shared" ref="L20:L21" si="21">IF(F20="unmatched","//-- unmatched","* group[=].element[=].target.display = ##34#"&amp;E20&amp;"##34#")</f>
        <v>* group[=].element[=].target.display = ##34###34#</v>
      </c>
      <c r="M20" s="14" t="str">
        <f t="shared" ref="M20:M21" si="22">"* group[=].element[=].target.equivalence = #"&amp;F20</f>
        <v>* group[=].element[=].target.equivalence = #relatedto</v>
      </c>
      <c r="N20" s="14" t="str">
        <f t="shared" ref="N20:N21" si="23">IF(G20&lt;&gt;"",CONCATENATE("* group[=].element[=].target.comment = ","##34#",G20,"##34#"),"")</f>
        <v>* group[=].element[=].target.comment = ##34#details are described by a set of observation elements ##34#</v>
      </c>
      <c r="P20" s="9">
        <v>6</v>
      </c>
      <c r="Q20" s="9">
        <f t="shared" si="10"/>
        <v>0</v>
      </c>
      <c r="R20" s="9">
        <f t="shared" si="11"/>
        <v>6</v>
      </c>
      <c r="S20" s="14" t="str" cm="1">
        <f t="array" ref="S20">INDEX('Results-ConceptMap-1'!$I$15:$N$86,Q20+1,R20)</f>
        <v/>
      </c>
    </row>
    <row r="21" spans="1:19" ht="44.25" x14ac:dyDescent="0.75">
      <c r="A21" s="22"/>
      <c r="B21" s="9" t="str">
        <f>'A.2.8 Results'!B13</f>
        <v>result</v>
      </c>
      <c r="C21" s="9" t="str">
        <f>'A.2.8 Results'!C13</f>
        <v>A.2.8.1.5 Observation results</v>
      </c>
      <c r="D21" s="14" t="s">
        <v>1104</v>
      </c>
      <c r="E21" s="9"/>
      <c r="F21" s="63" t="s">
        <v>193</v>
      </c>
      <c r="G21" s="70"/>
      <c r="H21" s="64"/>
      <c r="I21" s="14" t="str">
        <f t="shared" si="18"/>
        <v>* group[=].element[+].code = #Result.result</v>
      </c>
      <c r="J21" s="14" t="str">
        <f t="shared" si="19"/>
        <v>* group[=].element[=].display = ##34#A.2.8.1.5 Observation results##34#</v>
      </c>
      <c r="K21" s="14" t="str">
        <f t="shared" si="20"/>
        <v>* group[=].element[=].target.code = #Observation.value</v>
      </c>
      <c r="L21" s="14" t="str">
        <f t="shared" si="21"/>
        <v>* group[=].element[=].target.display = ##34###34#</v>
      </c>
      <c r="M21" s="14" t="str">
        <f t="shared" si="22"/>
        <v>* group[=].element[=].target.equivalence = #relatedto</v>
      </c>
      <c r="N21" s="14" t="str">
        <f t="shared" si="23"/>
        <v/>
      </c>
      <c r="P21" s="9">
        <v>7</v>
      </c>
      <c r="Q21" s="9">
        <f t="shared" si="10"/>
        <v>1</v>
      </c>
      <c r="R21" s="9">
        <f t="shared" si="11"/>
        <v>1</v>
      </c>
      <c r="S21" s="14" t="str" cm="1">
        <f t="array" ref="S21">INDEX('Results-ConceptMap-1'!$I$15:$N$86,Q21+1,R21)</f>
        <v>* group[=].element[+].code = #Result.date</v>
      </c>
    </row>
    <row r="22" spans="1:19" ht="73.75" x14ac:dyDescent="0.75">
      <c r="A22" s="22"/>
      <c r="B22" s="9" t="str">
        <f>'A.2.8 Results'!B13</f>
        <v>result</v>
      </c>
      <c r="C22" s="9" t="str">
        <f>'A.2.8 Results'!C13</f>
        <v>A.2.8.1.5 Observation results</v>
      </c>
      <c r="D22" s="14" t="s">
        <v>1105</v>
      </c>
      <c r="E22" s="9"/>
      <c r="F22" s="63" t="s">
        <v>193</v>
      </c>
      <c r="G22" s="70" t="s">
        <v>1107</v>
      </c>
      <c r="H22" s="64"/>
      <c r="I22" s="14" t="str">
        <f t="shared" ref="I22:I25" si="24">"* group[=].element[+].code = #"&amp;$B$14&amp;"."&amp;B22</f>
        <v>* group[=].element[+].code = #Result.result</v>
      </c>
      <c r="J22" s="14" t="str">
        <f t="shared" ref="J22:J25" si="25">"* group[=].element[=].display = ##34#"&amp;C22&amp;"##34#"</f>
        <v>* group[=].element[=].display = ##34#A.2.8.1.5 Observation results##34#</v>
      </c>
      <c r="K22" s="14" t="str">
        <f t="shared" ref="K22:K25" si="26">IF(F22="unmatched","//-- unmatched",IF(D22="","* group[=].element[=].target.code = #"&amp;$D$14,"* group[=].element[=].target.code = #"&amp;$D$14&amp;"."&amp;D22))</f>
        <v>* group[=].element[=].target.code = #Observation.hasMember</v>
      </c>
      <c r="L22" s="14" t="str">
        <f t="shared" ref="L22:L25" si="27">IF(F22="unmatched","//-- unmatched","* group[=].element[=].target.display = ##34#"&amp;E22&amp;"##34#")</f>
        <v>* group[=].element[=].target.display = ##34###34#</v>
      </c>
      <c r="M22" s="14" t="str">
        <f t="shared" ref="M22:M25" si="28">"* group[=].element[=].target.equivalence = #"&amp;F22</f>
        <v>* group[=].element[=].target.equivalence = #relatedto</v>
      </c>
      <c r="N22" s="14" t="str">
        <f t="shared" ref="N22:N25" si="29">IF(G22&lt;&gt;"",CONCATENATE("* group[=].element[=].target.comment = ","##34#",G22,"##34#"),"")</f>
        <v>* group[=].element[=].target.comment = ##34#when the result is provided in a subordinated observation##34#</v>
      </c>
      <c r="P22" s="9">
        <v>8</v>
      </c>
      <c r="Q22" s="9">
        <f t="shared" si="10"/>
        <v>1</v>
      </c>
      <c r="R22" s="9">
        <f t="shared" si="11"/>
        <v>2</v>
      </c>
      <c r="S22" s="14" t="str" cm="1">
        <f t="array" ref="S22">INDEX('Results-ConceptMap-1'!$I$15:$N$86,Q22+1,R22)</f>
        <v>* group[=].element[=].display = ##34#A.2.8.1.1 Date##34#</v>
      </c>
    </row>
    <row r="23" spans="1:19" ht="59" x14ac:dyDescent="0.75">
      <c r="A23" s="22"/>
      <c r="B23" s="9" t="str">
        <f>'A.2.8 Results'!B13</f>
        <v>result</v>
      </c>
      <c r="C23" s="9" t="str">
        <f>'A.2.8 Results'!C13</f>
        <v>A.2.8.1.5 Observation results</v>
      </c>
      <c r="D23" s="14" t="s">
        <v>1106</v>
      </c>
      <c r="E23" s="9"/>
      <c r="F23" s="63" t="s">
        <v>193</v>
      </c>
      <c r="G23" s="70" t="s">
        <v>1108</v>
      </c>
      <c r="H23" s="64"/>
      <c r="I23" s="14" t="str">
        <f t="shared" si="24"/>
        <v>* group[=].element[+].code = #Result.result</v>
      </c>
      <c r="J23" s="14" t="str">
        <f t="shared" si="25"/>
        <v>* group[=].element[=].display = ##34#A.2.8.1.5 Observation results##34#</v>
      </c>
      <c r="K23" s="14" t="str">
        <f t="shared" si="26"/>
        <v>* group[=].element[=].target.code = #Observation.component.value</v>
      </c>
      <c r="L23" s="14" t="str">
        <f t="shared" si="27"/>
        <v>* group[=].element[=].target.display = ##34###34#</v>
      </c>
      <c r="M23" s="14" t="str">
        <f t="shared" si="28"/>
        <v>* group[=].element[=].target.equivalence = #relatedto</v>
      </c>
      <c r="N23" s="14" t="str">
        <f t="shared" si="29"/>
        <v>* group[=].element[=].target.comment = ##34#when it refers to a component result##34#</v>
      </c>
      <c r="P23" s="9">
        <v>9</v>
      </c>
      <c r="Q23" s="9">
        <f t="shared" si="10"/>
        <v>1</v>
      </c>
      <c r="R23" s="9">
        <f t="shared" si="11"/>
        <v>3</v>
      </c>
      <c r="S23" s="14" t="str" cm="1">
        <f t="array" ref="S23">INDEX('Results-ConceptMap-1'!$I$15:$N$86,Q23+1,R23)</f>
        <v>* group[=].element[=].target.code = #Observation.effectiveDateTime</v>
      </c>
    </row>
    <row r="24" spans="1:19" ht="44.25" x14ac:dyDescent="0.75">
      <c r="A24" s="22"/>
      <c r="B24" s="9" t="str">
        <f>'A.2.8 Results'!B14</f>
        <v>performer</v>
      </c>
      <c r="C24" s="9" t="str">
        <f>'A.2.8 Results'!C14</f>
        <v>A.2.8.1.6 Performer</v>
      </c>
      <c r="D24" s="14" t="s">
        <v>246</v>
      </c>
      <c r="E24" s="9"/>
      <c r="F24" s="63" t="s">
        <v>192</v>
      </c>
      <c r="G24" s="70"/>
      <c r="H24" s="64"/>
      <c r="I24" s="14" t="str">
        <f t="shared" si="24"/>
        <v>* group[=].element[+].code = #Result.performer</v>
      </c>
      <c r="J24" s="14" t="str">
        <f t="shared" si="25"/>
        <v>* group[=].element[=].display = ##34#A.2.8.1.6 Performer##34#</v>
      </c>
      <c r="K24" s="14" t="str">
        <f t="shared" si="26"/>
        <v>* group[=].element[=].target.code = #Observation.performer</v>
      </c>
      <c r="L24" s="14" t="str">
        <f t="shared" si="27"/>
        <v>* group[=].element[=].target.display = ##34###34#</v>
      </c>
      <c r="M24" s="14" t="str">
        <f t="shared" si="28"/>
        <v>* group[=].element[=].target.equivalence = #equivalent</v>
      </c>
      <c r="N24" s="14" t="str">
        <f t="shared" si="29"/>
        <v/>
      </c>
      <c r="P24" s="9">
        <v>10</v>
      </c>
      <c r="Q24" s="9">
        <f t="shared" si="10"/>
        <v>1</v>
      </c>
      <c r="R24" s="9">
        <f t="shared" si="11"/>
        <v>4</v>
      </c>
      <c r="S24" s="14" t="str" cm="1">
        <f t="array" ref="S24">INDEX('Results-ConceptMap-1'!$I$15:$N$86,Q24+1,R24)</f>
        <v>* group[=].element[=].target.display = ##34###34#</v>
      </c>
    </row>
    <row r="25" spans="1:19" ht="132.75" x14ac:dyDescent="0.75">
      <c r="A25" s="22"/>
      <c r="B25" s="9" t="str">
        <f>'A.2.8 Results'!B15</f>
        <v>reporter</v>
      </c>
      <c r="C25" s="9" t="str">
        <f>'A.2.8 Results'!C15</f>
        <v>A.2.8.1.7 Reporter</v>
      </c>
      <c r="D25" s="14" t="s">
        <v>246</v>
      </c>
      <c r="E25" s="14"/>
      <c r="F25" s="63" t="s">
        <v>193</v>
      </c>
      <c r="G25" s="70" t="s">
        <v>271</v>
      </c>
      <c r="H25" s="64"/>
      <c r="I25" s="14" t="str">
        <f t="shared" si="24"/>
        <v>* group[=].element[+].code = #Result.reporter</v>
      </c>
      <c r="J25" s="14" t="str">
        <f t="shared" si="25"/>
        <v>* group[=].element[=].display = ##34#A.2.8.1.7 Reporter##34#</v>
      </c>
      <c r="K25" s="14" t="str">
        <f t="shared" si="26"/>
        <v>* group[=].element[=].target.code = #Observation.performer</v>
      </c>
      <c r="L25" s="14" t="str">
        <f t="shared" si="27"/>
        <v>* group[=].element[=].target.display = ##34###34#</v>
      </c>
      <c r="M25" s="14" t="str">
        <f t="shared" si="28"/>
        <v>* group[=].element[=].target.equivalence = #relatedto</v>
      </c>
      <c r="N25" s="14" t="str">
        <f t="shared" si="29"/>
        <v>* group[=].element[=].target.comment = ##34#For interpreter: performer.extension:performerFunction = AUT (author)
If the person responsible for validation:  performer.extension:performerFunction = AUTHEN or LA##34#</v>
      </c>
      <c r="P25" s="9">
        <v>11</v>
      </c>
      <c r="Q25" s="9">
        <f t="shared" si="10"/>
        <v>1</v>
      </c>
      <c r="R25" s="9">
        <f t="shared" si="11"/>
        <v>5</v>
      </c>
      <c r="S25" s="14" t="str" cm="1">
        <f t="array" ref="S25">INDEX('Results-ConceptMap-1'!$I$15:$N$86,Q25+1,R25)</f>
        <v>* group[=].element[=].target.equivalence = #relatedto</v>
      </c>
    </row>
    <row r="26" spans="1:19" ht="29.5" x14ac:dyDescent="0.75">
      <c r="A26" s="22"/>
      <c r="B26" s="9"/>
      <c r="C26" s="9"/>
      <c r="D26" s="14"/>
      <c r="E26" s="14"/>
      <c r="F26" s="63"/>
      <c r="G26" s="70"/>
      <c r="H26" s="64"/>
      <c r="I26" s="14"/>
      <c r="J26" s="14"/>
      <c r="K26" s="14"/>
      <c r="L26" s="14"/>
      <c r="M26" s="14"/>
      <c r="N26" s="14"/>
      <c r="P26" s="9">
        <v>12</v>
      </c>
      <c r="Q26" s="9">
        <f t="shared" si="10"/>
        <v>1</v>
      </c>
      <c r="R26" s="9">
        <f t="shared" si="11"/>
        <v>6</v>
      </c>
      <c r="S26" s="14" t="str" cm="1">
        <f t="array" ref="S26">INDEX('Results-ConceptMap-1'!$I$15:$N$86,Q26+1,R26)</f>
        <v>* group[=].element[=].target.comment = ##34#Whe it represents the date clincally relevant time (e.g. the time of specimen collection for Lab results##34#</v>
      </c>
    </row>
    <row r="27" spans="1:19" x14ac:dyDescent="0.75">
      <c r="B27" s="9"/>
      <c r="C27" s="9"/>
      <c r="D27" s="14"/>
      <c r="E27" s="14"/>
      <c r="F27" s="63"/>
      <c r="G27" s="70"/>
      <c r="H27" s="64"/>
      <c r="I27" s="14"/>
      <c r="J27" s="14"/>
      <c r="K27" s="14"/>
      <c r="L27" s="14"/>
      <c r="M27" s="14"/>
      <c r="N27" s="14"/>
      <c r="P27" s="9">
        <v>13</v>
      </c>
      <c r="Q27" s="9">
        <f t="shared" si="10"/>
        <v>2</v>
      </c>
      <c r="R27" s="9">
        <f t="shared" si="11"/>
        <v>1</v>
      </c>
      <c r="S27" s="14" t="str" cm="1">
        <f t="array" ref="S27">INDEX('Results-ConceptMap-1'!$I$15:$N$86,Q27+1,R27)</f>
        <v>* group[=].element[+].code = #Result.date</v>
      </c>
    </row>
    <row r="28" spans="1:19" x14ac:dyDescent="0.75">
      <c r="B28" s="9"/>
      <c r="C28" s="9"/>
      <c r="D28" s="14"/>
      <c r="E28" s="14"/>
      <c r="F28" s="63"/>
      <c r="G28" s="70"/>
      <c r="H28" s="64"/>
      <c r="I28" s="14"/>
      <c r="J28" s="14"/>
      <c r="K28" s="14"/>
      <c r="L28" s="14"/>
      <c r="M28" s="14"/>
      <c r="N28" s="14"/>
      <c r="P28" s="9">
        <v>14</v>
      </c>
      <c r="Q28" s="9">
        <f t="shared" si="10"/>
        <v>2</v>
      </c>
      <c r="R28" s="9">
        <f t="shared" si="11"/>
        <v>2</v>
      </c>
      <c r="S28" s="14" t="str" cm="1">
        <f t="array" ref="S28">INDEX('Results-ConceptMap-1'!$I$15:$N$86,Q28+1,R28)</f>
        <v>* group[=].element[=].display = ##34#A.2.8.1.1 Date##34#</v>
      </c>
    </row>
    <row r="29" spans="1:19" x14ac:dyDescent="0.75">
      <c r="B29" s="9"/>
      <c r="C29" s="9"/>
      <c r="D29" s="14"/>
      <c r="E29" s="14"/>
      <c r="F29" s="63"/>
      <c r="G29" s="70"/>
      <c r="H29" s="64"/>
      <c r="I29" s="14"/>
      <c r="J29" s="14"/>
      <c r="K29" s="14"/>
      <c r="L29" s="14"/>
      <c r="M29" s="14"/>
      <c r="N29" s="14"/>
      <c r="P29" s="9">
        <v>15</v>
      </c>
      <c r="Q29" s="9">
        <f t="shared" si="10"/>
        <v>2</v>
      </c>
      <c r="R29" s="9">
        <f t="shared" si="11"/>
        <v>3</v>
      </c>
      <c r="S29" s="14" t="str" cm="1">
        <f t="array" ref="S29">INDEX('Results-ConceptMap-1'!$I$15:$N$86,Q29+1,R29)</f>
        <v>* group[=].element[=].target.code = #Observation.issued</v>
      </c>
    </row>
    <row r="30" spans="1:19" x14ac:dyDescent="0.75">
      <c r="B30" s="9"/>
      <c r="C30" s="9"/>
      <c r="D30" s="14"/>
      <c r="E30" s="14"/>
      <c r="F30" s="63"/>
      <c r="G30" s="70"/>
      <c r="H30" s="64"/>
      <c r="I30" s="14"/>
      <c r="J30" s="14"/>
      <c r="K30" s="14"/>
      <c r="L30" s="14"/>
      <c r="M30" s="14"/>
      <c r="N30" s="14"/>
      <c r="P30" s="9">
        <v>16</v>
      </c>
      <c r="Q30" s="9">
        <f t="shared" si="10"/>
        <v>2</v>
      </c>
      <c r="R30" s="9">
        <f t="shared" si="11"/>
        <v>4</v>
      </c>
      <c r="S30" s="14" t="str" cm="1">
        <f t="array" ref="S30">INDEX('Results-ConceptMap-1'!$I$15:$N$86,Q30+1,R30)</f>
        <v>* group[=].element[=].target.display = ##34###34#</v>
      </c>
    </row>
    <row r="31" spans="1:19" x14ac:dyDescent="0.75">
      <c r="B31" s="9"/>
      <c r="C31" s="9"/>
      <c r="D31" s="14"/>
      <c r="E31" s="14"/>
      <c r="F31" s="63"/>
      <c r="G31" s="70"/>
      <c r="H31" s="64"/>
      <c r="I31" s="14"/>
      <c r="J31" s="14"/>
      <c r="K31" s="14"/>
      <c r="L31" s="14"/>
      <c r="M31" s="14"/>
      <c r="N31" s="14"/>
      <c r="P31" s="9">
        <v>17</v>
      </c>
      <c r="Q31" s="9">
        <f t="shared" ref="Q31:Q86" si="30">IF(MOD(P31,$Q$8)=0,P31/$Q$8-1,INT(P31/$Q$8))</f>
        <v>2</v>
      </c>
      <c r="R31" s="9">
        <f t="shared" ref="R31:R86" si="31">IF(MOD(P31,$Q$8)=0,$Q$8,MOD(P31,$Q$8))</f>
        <v>5</v>
      </c>
      <c r="S31" s="14" t="str" cm="1">
        <f t="array" ref="S31">INDEX('Results-ConceptMap-1'!$I$15:$N$86,Q31+1,R31)</f>
        <v>* group[=].element[=].target.equivalence = #relatedto</v>
      </c>
    </row>
    <row r="32" spans="1:19" ht="29.5" x14ac:dyDescent="0.75">
      <c r="B32" s="9"/>
      <c r="C32" s="9"/>
      <c r="D32" s="14"/>
      <c r="E32" s="14"/>
      <c r="F32" s="63"/>
      <c r="G32" s="70"/>
      <c r="H32" s="64"/>
      <c r="I32" s="14"/>
      <c r="J32" s="14"/>
      <c r="K32" s="14"/>
      <c r="L32" s="14"/>
      <c r="M32" s="14"/>
      <c r="N32" s="14"/>
      <c r="P32" s="9">
        <v>18</v>
      </c>
      <c r="Q32" s="9">
        <f t="shared" si="30"/>
        <v>2</v>
      </c>
      <c r="R32" s="9">
        <f t="shared" si="31"/>
        <v>6</v>
      </c>
      <c r="S32" s="14" t="str" cm="1">
        <f t="array" ref="S32">INDEX('Results-ConceptMap-1'!$I$15:$N$86,Q32+1,R32)</f>
        <v>* group[=].element[=].target.comment = ##34#When is the time when this result has been made available##34#</v>
      </c>
    </row>
    <row r="33" spans="1:19" x14ac:dyDescent="0.75">
      <c r="B33" s="9"/>
      <c r="C33" s="9"/>
      <c r="D33" s="14"/>
      <c r="E33" s="14"/>
      <c r="F33" s="63"/>
      <c r="G33" s="70"/>
      <c r="H33" s="64"/>
      <c r="I33" s="14"/>
      <c r="J33" s="14"/>
      <c r="K33" s="14"/>
      <c r="L33" s="14"/>
      <c r="M33" s="14"/>
      <c r="N33" s="14"/>
      <c r="P33" s="9">
        <v>19</v>
      </c>
      <c r="Q33" s="9">
        <f t="shared" si="30"/>
        <v>3</v>
      </c>
      <c r="R33" s="9">
        <f t="shared" si="31"/>
        <v>1</v>
      </c>
      <c r="S33" s="14" t="str" cm="1">
        <f t="array" ref="S33">INDEX('Results-ConceptMap-1'!$I$15:$N$86,Q33+1,R33)</f>
        <v>* group[=].element[+].code = #Result.type</v>
      </c>
    </row>
    <row r="34" spans="1:19" x14ac:dyDescent="0.75">
      <c r="B34" s="9"/>
      <c r="C34" s="9"/>
      <c r="D34" s="14"/>
      <c r="E34" s="14"/>
      <c r="F34" s="63"/>
      <c r="G34" s="70"/>
      <c r="H34" s="64"/>
      <c r="I34" s="14"/>
      <c r="J34" s="14"/>
      <c r="K34" s="14"/>
      <c r="L34" s="14"/>
      <c r="M34" s="14"/>
      <c r="N34" s="14"/>
      <c r="P34" s="9">
        <v>20</v>
      </c>
      <c r="Q34" s="9">
        <f t="shared" si="30"/>
        <v>3</v>
      </c>
      <c r="R34" s="9">
        <f t="shared" si="31"/>
        <v>2</v>
      </c>
      <c r="S34" s="14" t="str" cm="1">
        <f t="array" ref="S34">INDEX('Results-ConceptMap-1'!$I$15:$N$86,Q34+1,R34)</f>
        <v>* group[=].element[=].display = ##34#A.2.8.1.2 Observation type##34#</v>
      </c>
    </row>
    <row r="35" spans="1:19" x14ac:dyDescent="0.75">
      <c r="B35" s="9"/>
      <c r="C35" s="9"/>
      <c r="D35" s="14"/>
      <c r="E35" s="14"/>
      <c r="F35" s="63"/>
      <c r="G35" s="70"/>
      <c r="H35" s="64"/>
      <c r="I35" s="14"/>
      <c r="J35" s="14"/>
      <c r="K35" s="14"/>
      <c r="L35" s="14"/>
      <c r="M35" s="14"/>
      <c r="N35" s="14"/>
      <c r="P35" s="9">
        <v>21</v>
      </c>
      <c r="Q35" s="9">
        <f t="shared" si="30"/>
        <v>3</v>
      </c>
      <c r="R35" s="9">
        <f t="shared" si="31"/>
        <v>3</v>
      </c>
      <c r="S35" s="14" t="str" cm="1">
        <f t="array" ref="S35">INDEX('Results-ConceptMap-1'!$I$15:$N$86,Q35+1,R35)</f>
        <v>* group[=].element[=].target.code = #Observation.code</v>
      </c>
    </row>
    <row r="36" spans="1:19" x14ac:dyDescent="0.75">
      <c r="B36" s="9"/>
      <c r="C36" s="9"/>
      <c r="D36" s="14"/>
      <c r="E36" s="14"/>
      <c r="F36" s="63"/>
      <c r="G36" s="70"/>
      <c r="H36" s="64"/>
      <c r="I36" s="14"/>
      <c r="J36" s="14"/>
      <c r="K36" s="14"/>
      <c r="L36" s="14"/>
      <c r="M36" s="14"/>
      <c r="N36" s="14" t="str">
        <f t="shared" ref="N36:N38" si="32">IF(G36&lt;&gt;"",CONCATENATE("* group[=].element[=].target.comment = ","##34#",G36,"##34#"),"")</f>
        <v/>
      </c>
      <c r="P36" s="9">
        <v>22</v>
      </c>
      <c r="Q36" s="9">
        <f t="shared" si="30"/>
        <v>3</v>
      </c>
      <c r="R36" s="9">
        <f t="shared" si="31"/>
        <v>4</v>
      </c>
      <c r="S36" s="14" t="str" cm="1">
        <f t="array" ref="S36">INDEX('Results-ConceptMap-1'!$I$15:$N$86,Q36+1,R36)</f>
        <v>* group[=].element[=].target.display = ##34###34#</v>
      </c>
    </row>
    <row r="37" spans="1:19" x14ac:dyDescent="0.75">
      <c r="B37" s="9"/>
      <c r="C37" s="9"/>
      <c r="D37" s="14"/>
      <c r="E37" s="14"/>
      <c r="F37" s="63"/>
      <c r="G37" s="70"/>
      <c r="H37" s="64"/>
      <c r="I37" s="14"/>
      <c r="J37" s="14"/>
      <c r="K37" s="14"/>
      <c r="L37" s="14"/>
      <c r="M37" s="14"/>
      <c r="N37" s="14" t="str">
        <f t="shared" si="32"/>
        <v/>
      </c>
      <c r="P37" s="9">
        <v>23</v>
      </c>
      <c r="Q37" s="9">
        <f t="shared" si="30"/>
        <v>3</v>
      </c>
      <c r="R37" s="9">
        <f t="shared" si="31"/>
        <v>5</v>
      </c>
      <c r="S37" s="14" t="str" cm="1">
        <f t="array" ref="S37">INDEX('Results-ConceptMap-1'!$I$15:$N$86,Q37+1,R37)</f>
        <v>* group[=].element[=].target.equivalence = #equivalent</v>
      </c>
    </row>
    <row r="38" spans="1:19" x14ac:dyDescent="0.75">
      <c r="B38" s="9"/>
      <c r="C38" s="9"/>
      <c r="D38" s="14"/>
      <c r="E38" s="14"/>
      <c r="F38" s="63"/>
      <c r="G38" s="70"/>
      <c r="H38" s="64"/>
      <c r="I38" s="14"/>
      <c r="J38" s="14"/>
      <c r="K38" s="14"/>
      <c r="L38" s="14"/>
      <c r="M38" s="14"/>
      <c r="N38" s="14" t="str">
        <f t="shared" si="32"/>
        <v/>
      </c>
      <c r="P38" s="9">
        <v>24</v>
      </c>
      <c r="Q38" s="9">
        <f t="shared" si="30"/>
        <v>3</v>
      </c>
      <c r="R38" s="9">
        <f t="shared" si="31"/>
        <v>6</v>
      </c>
      <c r="S38" s="14" t="str" cm="1">
        <f t="array" ref="S38">INDEX('Results-ConceptMap-1'!$I$15:$N$86,Q38+1,R38)</f>
        <v/>
      </c>
    </row>
    <row r="39" spans="1:19" s="1" customFormat="1" x14ac:dyDescent="0.75">
      <c r="A39"/>
      <c r="B39" s="9"/>
      <c r="C39" s="9"/>
      <c r="D39" s="14"/>
      <c r="E39" s="14"/>
      <c r="F39" s="63"/>
      <c r="G39" s="81"/>
      <c r="H39" s="64"/>
      <c r="J39"/>
      <c r="K39" s="64"/>
      <c r="L39" s="64"/>
      <c r="M39" s="62"/>
      <c r="N39" s="62"/>
      <c r="P39" s="9">
        <v>25</v>
      </c>
      <c r="Q39" s="9">
        <f t="shared" si="30"/>
        <v>4</v>
      </c>
      <c r="R39" s="9">
        <f t="shared" si="31"/>
        <v>1</v>
      </c>
      <c r="S39" s="14" t="str" cm="1">
        <f t="array" ref="S39">INDEX('Results-ConceptMap-1'!$I$15:$N$86,Q39+1,R39)</f>
        <v>* group[=].element[+].code = #Result.description</v>
      </c>
    </row>
    <row r="40" spans="1:19" s="1" customFormat="1" x14ac:dyDescent="0.75">
      <c r="A40"/>
      <c r="B40" s="9"/>
      <c r="C40" s="9"/>
      <c r="D40" s="52"/>
      <c r="F40" s="64"/>
      <c r="G40" s="81"/>
      <c r="H40" s="64"/>
      <c r="J40"/>
      <c r="K40" s="64"/>
      <c r="L40" s="64"/>
      <c r="M40" s="62"/>
      <c r="N40" s="62"/>
      <c r="P40" s="9">
        <v>26</v>
      </c>
      <c r="Q40" s="9">
        <f t="shared" si="30"/>
        <v>4</v>
      </c>
      <c r="R40" s="9">
        <f t="shared" si="31"/>
        <v>2</v>
      </c>
      <c r="S40" s="14" t="str" cm="1">
        <f t="array" ref="S40">INDEX('Results-ConceptMap-1'!$I$15:$N$86,Q40+1,R40)</f>
        <v>* group[=].element[=].display = ##34#A.2.8.1.3 Result description##34#</v>
      </c>
    </row>
    <row r="41" spans="1:19" s="1" customFormat="1" x14ac:dyDescent="0.75">
      <c r="A41"/>
      <c r="B41" s="9"/>
      <c r="C41" s="9"/>
      <c r="F41" s="64"/>
      <c r="G41" s="81"/>
      <c r="H41" s="64"/>
      <c r="J41"/>
      <c r="K41" s="64"/>
      <c r="L41" s="64"/>
      <c r="M41" s="62"/>
      <c r="N41" s="62"/>
      <c r="P41" s="9">
        <v>27</v>
      </c>
      <c r="Q41" s="9">
        <f t="shared" si="30"/>
        <v>4</v>
      </c>
      <c r="R41" s="9">
        <f t="shared" si="31"/>
        <v>3</v>
      </c>
      <c r="S41" s="14" t="str" cm="1">
        <f t="array" ref="S41">INDEX('Results-ConceptMap-1'!$I$15:$N$86,Q41+1,R41)</f>
        <v>* group[=].element[=].target.code = #Observation.text</v>
      </c>
    </row>
    <row r="42" spans="1:19" s="1" customFormat="1" x14ac:dyDescent="0.75">
      <c r="A42"/>
      <c r="B42" s="9"/>
      <c r="C42" s="9"/>
      <c r="F42" s="64"/>
      <c r="G42" s="81"/>
      <c r="H42" s="64"/>
      <c r="J42" s="64"/>
      <c r="K42" s="64"/>
      <c r="L42" s="64"/>
      <c r="M42" s="62"/>
      <c r="N42" s="62"/>
      <c r="P42" s="9">
        <v>28</v>
      </c>
      <c r="Q42" s="9">
        <f t="shared" si="30"/>
        <v>4</v>
      </c>
      <c r="R42" s="9">
        <f t="shared" si="31"/>
        <v>4</v>
      </c>
      <c r="S42" s="14" t="str" cm="1">
        <f t="array" ref="S42">INDEX('Results-ConceptMap-1'!$I$15:$N$86,Q42+1,R42)</f>
        <v>* group[=].element[=].target.display = ##34###34#</v>
      </c>
    </row>
    <row r="43" spans="1:19" s="1" customFormat="1" x14ac:dyDescent="0.75">
      <c r="A43"/>
      <c r="B43" s="9"/>
      <c r="C43" s="9"/>
      <c r="F43" s="64"/>
      <c r="G43" s="81"/>
      <c r="H43" s="64"/>
      <c r="J43" s="64"/>
      <c r="K43" s="64"/>
      <c r="L43" s="64"/>
      <c r="M43" s="62"/>
      <c r="N43" s="62"/>
      <c r="P43" s="9">
        <v>29</v>
      </c>
      <c r="Q43" s="9">
        <f t="shared" si="30"/>
        <v>4</v>
      </c>
      <c r="R43" s="9">
        <f t="shared" si="31"/>
        <v>5</v>
      </c>
      <c r="S43" s="14" t="str" cm="1">
        <f t="array" ref="S43">INDEX('Results-ConceptMap-1'!$I$15:$N$86,Q43+1,R43)</f>
        <v>* group[=].element[=].target.equivalence = #equivalent</v>
      </c>
    </row>
    <row r="44" spans="1:19" x14ac:dyDescent="0.75">
      <c r="P44" s="9">
        <v>30</v>
      </c>
      <c r="Q44" s="9">
        <f t="shared" si="30"/>
        <v>4</v>
      </c>
      <c r="R44" s="9">
        <f t="shared" si="31"/>
        <v>6</v>
      </c>
      <c r="S44" s="14" t="str" cm="1">
        <f t="array" ref="S44">INDEX('Results-ConceptMap-1'!$I$15:$N$86,Q44+1,R44)</f>
        <v>* group[=].element[=].target.comment = ##34#text describing the result##34#</v>
      </c>
    </row>
    <row r="45" spans="1:19" x14ac:dyDescent="0.75">
      <c r="P45" s="9">
        <v>31</v>
      </c>
      <c r="Q45" s="9">
        <f t="shared" si="30"/>
        <v>5</v>
      </c>
      <c r="R45" s="9">
        <f t="shared" si="31"/>
        <v>1</v>
      </c>
      <c r="S45" s="14" t="str" cm="1">
        <f t="array" ref="S45">INDEX('Results-ConceptMap-1'!$I$15:$N$86,Q45+1,R45)</f>
        <v>* group[=].element[+].code = #Result.details</v>
      </c>
    </row>
    <row r="46" spans="1:19" x14ac:dyDescent="0.75">
      <c r="P46" s="9">
        <v>32</v>
      </c>
      <c r="Q46" s="9">
        <f t="shared" si="30"/>
        <v>5</v>
      </c>
      <c r="R46" s="9">
        <f t="shared" si="31"/>
        <v>2</v>
      </c>
      <c r="S46" s="14" t="str" cm="1">
        <f t="array" ref="S46">INDEX('Results-ConceptMap-1'!$I$15:$N$86,Q46+1,R46)</f>
        <v>* group[=].element[=].display = ##34#A.2.8.1.4 Observation details##34#</v>
      </c>
    </row>
    <row r="47" spans="1:19" x14ac:dyDescent="0.75">
      <c r="P47" s="9">
        <v>33</v>
      </c>
      <c r="Q47" s="9">
        <f t="shared" si="30"/>
        <v>5</v>
      </c>
      <c r="R47" s="9">
        <f t="shared" si="31"/>
        <v>3</v>
      </c>
      <c r="S47" s="14" t="str" cm="1">
        <f t="array" ref="S47">INDEX('Results-ConceptMap-1'!$I$15:$N$86,Q47+1,R47)</f>
        <v>* group[=].element[=].target.code = #Observation</v>
      </c>
    </row>
    <row r="48" spans="1:19" x14ac:dyDescent="0.75">
      <c r="P48" s="9">
        <v>34</v>
      </c>
      <c r="Q48" s="9">
        <f t="shared" si="30"/>
        <v>5</v>
      </c>
      <c r="R48" s="9">
        <f t="shared" si="31"/>
        <v>4</v>
      </c>
      <c r="S48" s="14" t="str" cm="1">
        <f t="array" ref="S48">INDEX('Results-ConceptMap-1'!$I$15:$N$86,Q48+1,R48)</f>
        <v>* group[=].element[=].target.display = ##34###34#</v>
      </c>
    </row>
    <row r="49" spans="16:19" x14ac:dyDescent="0.75">
      <c r="P49" s="9">
        <v>35</v>
      </c>
      <c r="Q49" s="9">
        <f t="shared" si="30"/>
        <v>5</v>
      </c>
      <c r="R49" s="9">
        <f t="shared" si="31"/>
        <v>5</v>
      </c>
      <c r="S49" s="14" t="str" cm="1">
        <f t="array" ref="S49">INDEX('Results-ConceptMap-1'!$I$15:$N$86,Q49+1,R49)</f>
        <v>* group[=].element[=].target.equivalence = #relatedto</v>
      </c>
    </row>
    <row r="50" spans="16:19" ht="29.5" x14ac:dyDescent="0.75">
      <c r="P50" s="9">
        <v>36</v>
      </c>
      <c r="Q50" s="9">
        <f t="shared" si="30"/>
        <v>5</v>
      </c>
      <c r="R50" s="9">
        <f t="shared" si="31"/>
        <v>6</v>
      </c>
      <c r="S50" s="14" t="str" cm="1">
        <f t="array" ref="S50">INDEX('Results-ConceptMap-1'!$I$15:$N$86,Q50+1,R50)</f>
        <v>* group[=].element[=].target.comment = ##34#details are described by a set of observation elements ##34#</v>
      </c>
    </row>
    <row r="51" spans="16:19" x14ac:dyDescent="0.75">
      <c r="P51" s="9">
        <v>37</v>
      </c>
      <c r="Q51" s="9">
        <f t="shared" si="30"/>
        <v>6</v>
      </c>
      <c r="R51" s="9">
        <f t="shared" si="31"/>
        <v>1</v>
      </c>
      <c r="S51" s="14" t="str" cm="1">
        <f t="array" ref="S51">INDEX('Results-ConceptMap-1'!$I$15:$N$86,Q51+1,R51)</f>
        <v>* group[=].element[+].code = #Result.result</v>
      </c>
    </row>
    <row r="52" spans="16:19" x14ac:dyDescent="0.75">
      <c r="P52" s="9">
        <v>38</v>
      </c>
      <c r="Q52" s="9">
        <f t="shared" si="30"/>
        <v>6</v>
      </c>
      <c r="R52" s="9">
        <f t="shared" si="31"/>
        <v>2</v>
      </c>
      <c r="S52" s="14" t="str" cm="1">
        <f t="array" ref="S52">INDEX('Results-ConceptMap-1'!$I$15:$N$86,Q52+1,R52)</f>
        <v>* group[=].element[=].display = ##34#A.2.8.1.5 Observation results##34#</v>
      </c>
    </row>
    <row r="53" spans="16:19" x14ac:dyDescent="0.75">
      <c r="P53" s="9">
        <v>39</v>
      </c>
      <c r="Q53" s="9">
        <f t="shared" si="30"/>
        <v>6</v>
      </c>
      <c r="R53" s="9">
        <f t="shared" si="31"/>
        <v>3</v>
      </c>
      <c r="S53" s="14" t="str" cm="1">
        <f t="array" ref="S53">INDEX('Results-ConceptMap-1'!$I$15:$N$86,Q53+1,R53)</f>
        <v>* group[=].element[=].target.code = #Observation.value</v>
      </c>
    </row>
    <row r="54" spans="16:19" x14ac:dyDescent="0.75">
      <c r="P54" s="9">
        <v>40</v>
      </c>
      <c r="Q54" s="9">
        <f t="shared" si="30"/>
        <v>6</v>
      </c>
      <c r="R54" s="9">
        <f t="shared" si="31"/>
        <v>4</v>
      </c>
      <c r="S54" s="14" t="str" cm="1">
        <f t="array" ref="S54">INDEX('Results-ConceptMap-1'!$I$15:$N$86,Q54+1,R54)</f>
        <v>* group[=].element[=].target.display = ##34###34#</v>
      </c>
    </row>
    <row r="55" spans="16:19" x14ac:dyDescent="0.75">
      <c r="P55" s="9">
        <v>41</v>
      </c>
      <c r="Q55" s="9">
        <f t="shared" si="30"/>
        <v>6</v>
      </c>
      <c r="R55" s="9">
        <f t="shared" si="31"/>
        <v>5</v>
      </c>
      <c r="S55" s="14" t="str" cm="1">
        <f t="array" ref="S55">INDEX('Results-ConceptMap-1'!$I$15:$N$86,Q55+1,R55)</f>
        <v>* group[=].element[=].target.equivalence = #relatedto</v>
      </c>
    </row>
    <row r="56" spans="16:19" x14ac:dyDescent="0.75">
      <c r="P56" s="9">
        <v>42</v>
      </c>
      <c r="Q56" s="9">
        <f t="shared" si="30"/>
        <v>6</v>
      </c>
      <c r="R56" s="9">
        <f t="shared" si="31"/>
        <v>6</v>
      </c>
      <c r="S56" s="14" t="str" cm="1">
        <f t="array" ref="S56">INDEX('Results-ConceptMap-1'!$I$15:$N$86,Q56+1,R56)</f>
        <v/>
      </c>
    </row>
    <row r="57" spans="16:19" x14ac:dyDescent="0.75">
      <c r="P57" s="9">
        <v>43</v>
      </c>
      <c r="Q57" s="9">
        <f t="shared" si="30"/>
        <v>7</v>
      </c>
      <c r="R57" s="9">
        <f t="shared" si="31"/>
        <v>1</v>
      </c>
      <c r="S57" s="14" t="str" cm="1">
        <f t="array" ref="S57">INDEX('Results-ConceptMap-1'!$I$15:$N$86,Q57+1,R57)</f>
        <v>* group[=].element[+].code = #Result.result</v>
      </c>
    </row>
    <row r="58" spans="16:19" x14ac:dyDescent="0.75">
      <c r="P58" s="9">
        <v>44</v>
      </c>
      <c r="Q58" s="9">
        <f t="shared" si="30"/>
        <v>7</v>
      </c>
      <c r="R58" s="9">
        <f t="shared" si="31"/>
        <v>2</v>
      </c>
      <c r="S58" s="14" t="str" cm="1">
        <f t="array" ref="S58">INDEX('Results-ConceptMap-1'!$I$15:$N$86,Q58+1,R58)</f>
        <v>* group[=].element[=].display = ##34#A.2.8.1.5 Observation results##34#</v>
      </c>
    </row>
    <row r="59" spans="16:19" x14ac:dyDescent="0.75">
      <c r="P59" s="9">
        <v>45</v>
      </c>
      <c r="Q59" s="9">
        <f t="shared" si="30"/>
        <v>7</v>
      </c>
      <c r="R59" s="9">
        <f t="shared" si="31"/>
        <v>3</v>
      </c>
      <c r="S59" s="14" t="str" cm="1">
        <f t="array" ref="S59">INDEX('Results-ConceptMap-1'!$I$15:$N$86,Q59+1,R59)</f>
        <v>* group[=].element[=].target.code = #Observation.hasMember</v>
      </c>
    </row>
    <row r="60" spans="16:19" x14ac:dyDescent="0.75">
      <c r="P60" s="9">
        <v>46</v>
      </c>
      <c r="Q60" s="9">
        <f t="shared" si="30"/>
        <v>7</v>
      </c>
      <c r="R60" s="9">
        <f t="shared" si="31"/>
        <v>4</v>
      </c>
      <c r="S60" s="14" t="str" cm="1">
        <f t="array" ref="S60">INDEX('Results-ConceptMap-1'!$I$15:$N$86,Q60+1,R60)</f>
        <v>* group[=].element[=].target.display = ##34###34#</v>
      </c>
    </row>
    <row r="61" spans="16:19" x14ac:dyDescent="0.75">
      <c r="P61" s="9">
        <v>47</v>
      </c>
      <c r="Q61" s="9">
        <f t="shared" si="30"/>
        <v>7</v>
      </c>
      <c r="R61" s="9">
        <f t="shared" si="31"/>
        <v>5</v>
      </c>
      <c r="S61" s="14" t="str" cm="1">
        <f t="array" ref="S61">INDEX('Results-ConceptMap-1'!$I$15:$N$86,Q61+1,R61)</f>
        <v>* group[=].element[=].target.equivalence = #relatedto</v>
      </c>
    </row>
    <row r="62" spans="16:19" ht="29.5" x14ac:dyDescent="0.75">
      <c r="P62" s="9">
        <v>48</v>
      </c>
      <c r="Q62" s="9">
        <f t="shared" si="30"/>
        <v>7</v>
      </c>
      <c r="R62" s="9">
        <f t="shared" si="31"/>
        <v>6</v>
      </c>
      <c r="S62" s="14" t="str" cm="1">
        <f t="array" ref="S62">INDEX('Results-ConceptMap-1'!$I$15:$N$86,Q62+1,R62)</f>
        <v>* group[=].element[=].target.comment = ##34#when the result is provided in a subordinated observation##34#</v>
      </c>
    </row>
    <row r="63" spans="16:19" x14ac:dyDescent="0.75">
      <c r="P63" s="9">
        <v>49</v>
      </c>
      <c r="Q63" s="9">
        <f t="shared" si="30"/>
        <v>8</v>
      </c>
      <c r="R63" s="9">
        <f t="shared" si="31"/>
        <v>1</v>
      </c>
      <c r="S63" s="14" t="str" cm="1">
        <f t="array" ref="S63">INDEX('Results-ConceptMap-1'!$I$15:$N$86,Q63+1,R63)</f>
        <v>* group[=].element[+].code = #Result.result</v>
      </c>
    </row>
    <row r="64" spans="16:19" x14ac:dyDescent="0.75">
      <c r="P64" s="9">
        <v>50</v>
      </c>
      <c r="Q64" s="9">
        <f t="shared" si="30"/>
        <v>8</v>
      </c>
      <c r="R64" s="9">
        <f t="shared" si="31"/>
        <v>2</v>
      </c>
      <c r="S64" s="14" t="str" cm="1">
        <f t="array" ref="S64">INDEX('Results-ConceptMap-1'!$I$15:$N$86,Q64+1,R64)</f>
        <v>* group[=].element[=].display = ##34#A.2.8.1.5 Observation results##34#</v>
      </c>
    </row>
    <row r="65" spans="16:19" x14ac:dyDescent="0.75">
      <c r="P65" s="9">
        <v>51</v>
      </c>
      <c r="Q65" s="9">
        <f t="shared" si="30"/>
        <v>8</v>
      </c>
      <c r="R65" s="9">
        <f t="shared" si="31"/>
        <v>3</v>
      </c>
      <c r="S65" s="14" t="str" cm="1">
        <f t="array" ref="S65">INDEX('Results-ConceptMap-1'!$I$15:$N$86,Q65+1,R65)</f>
        <v>* group[=].element[=].target.code = #Observation.component.value</v>
      </c>
    </row>
    <row r="66" spans="16:19" x14ac:dyDescent="0.75">
      <c r="P66" s="9">
        <v>52</v>
      </c>
      <c r="Q66" s="9">
        <f t="shared" si="30"/>
        <v>8</v>
      </c>
      <c r="R66" s="9">
        <f t="shared" si="31"/>
        <v>4</v>
      </c>
      <c r="S66" s="14" t="str" cm="1">
        <f t="array" ref="S66">INDEX('Results-ConceptMap-1'!$I$15:$N$86,Q66+1,R66)</f>
        <v>* group[=].element[=].target.display = ##34###34#</v>
      </c>
    </row>
    <row r="67" spans="16:19" x14ac:dyDescent="0.75">
      <c r="P67" s="9">
        <v>53</v>
      </c>
      <c r="Q67" s="9">
        <f t="shared" si="30"/>
        <v>8</v>
      </c>
      <c r="R67" s="9">
        <f t="shared" si="31"/>
        <v>5</v>
      </c>
      <c r="S67" s="14" t="str" cm="1">
        <f t="array" ref="S67">INDEX('Results-ConceptMap-1'!$I$15:$N$86,Q67+1,R67)</f>
        <v>* group[=].element[=].target.equivalence = #relatedto</v>
      </c>
    </row>
    <row r="68" spans="16:19" ht="29.5" x14ac:dyDescent="0.75">
      <c r="P68" s="9">
        <v>54</v>
      </c>
      <c r="Q68" s="9">
        <f t="shared" si="30"/>
        <v>8</v>
      </c>
      <c r="R68" s="9">
        <f t="shared" si="31"/>
        <v>6</v>
      </c>
      <c r="S68" s="14" t="str" cm="1">
        <f t="array" ref="S68">INDEX('Results-ConceptMap-1'!$I$15:$N$86,Q68+1,R68)</f>
        <v>* group[=].element[=].target.comment = ##34#when it refers to a component result##34#</v>
      </c>
    </row>
    <row r="69" spans="16:19" x14ac:dyDescent="0.75">
      <c r="P69" s="9">
        <v>55</v>
      </c>
      <c r="Q69" s="9">
        <f t="shared" si="30"/>
        <v>9</v>
      </c>
      <c r="R69" s="9">
        <f t="shared" si="31"/>
        <v>1</v>
      </c>
      <c r="S69" s="14" t="str" cm="1">
        <f t="array" ref="S69">INDEX('Results-ConceptMap-1'!$I$15:$N$86,Q69+1,R69)</f>
        <v>* group[=].element[+].code = #Result.performer</v>
      </c>
    </row>
    <row r="70" spans="16:19" x14ac:dyDescent="0.75">
      <c r="P70" s="9">
        <v>56</v>
      </c>
      <c r="Q70" s="9">
        <f t="shared" si="30"/>
        <v>9</v>
      </c>
      <c r="R70" s="9">
        <f t="shared" si="31"/>
        <v>2</v>
      </c>
      <c r="S70" s="14" t="str" cm="1">
        <f t="array" ref="S70">INDEX('Results-ConceptMap-1'!$I$15:$N$86,Q70+1,R70)</f>
        <v>* group[=].element[=].display = ##34#A.2.8.1.6 Performer##34#</v>
      </c>
    </row>
    <row r="71" spans="16:19" x14ac:dyDescent="0.75">
      <c r="P71" s="9">
        <v>57</v>
      </c>
      <c r="Q71" s="9">
        <f t="shared" si="30"/>
        <v>9</v>
      </c>
      <c r="R71" s="9">
        <f t="shared" si="31"/>
        <v>3</v>
      </c>
      <c r="S71" s="14" t="str" cm="1">
        <f t="array" ref="S71">INDEX('Results-ConceptMap-1'!$I$15:$N$86,Q71+1,R71)</f>
        <v>* group[=].element[=].target.code = #Observation.performer</v>
      </c>
    </row>
    <row r="72" spans="16:19" x14ac:dyDescent="0.75">
      <c r="P72" s="9">
        <v>58</v>
      </c>
      <c r="Q72" s="9">
        <f t="shared" si="30"/>
        <v>9</v>
      </c>
      <c r="R72" s="9">
        <f t="shared" si="31"/>
        <v>4</v>
      </c>
      <c r="S72" s="14" t="str" cm="1">
        <f t="array" ref="S72">INDEX('Results-ConceptMap-1'!$I$15:$N$86,Q72+1,R72)</f>
        <v>* group[=].element[=].target.display = ##34###34#</v>
      </c>
    </row>
    <row r="73" spans="16:19" x14ac:dyDescent="0.75">
      <c r="P73" s="9">
        <v>59</v>
      </c>
      <c r="Q73" s="9">
        <f t="shared" si="30"/>
        <v>9</v>
      </c>
      <c r="R73" s="9">
        <f t="shared" si="31"/>
        <v>5</v>
      </c>
      <c r="S73" s="14" t="str" cm="1">
        <f t="array" ref="S73">INDEX('Results-ConceptMap-1'!$I$15:$N$86,Q73+1,R73)</f>
        <v>* group[=].element[=].target.equivalence = #equivalent</v>
      </c>
    </row>
    <row r="74" spans="16:19" x14ac:dyDescent="0.75">
      <c r="P74" s="9">
        <v>60</v>
      </c>
      <c r="Q74" s="9">
        <f t="shared" si="30"/>
        <v>9</v>
      </c>
      <c r="R74" s="9">
        <f t="shared" si="31"/>
        <v>6</v>
      </c>
      <c r="S74" s="14" t="str" cm="1">
        <f t="array" ref="S74">INDEX('Results-ConceptMap-1'!$I$15:$N$86,Q74+1,R74)</f>
        <v/>
      </c>
    </row>
    <row r="75" spans="16:19" x14ac:dyDescent="0.75">
      <c r="P75" s="9">
        <v>61</v>
      </c>
      <c r="Q75" s="9">
        <f t="shared" si="30"/>
        <v>10</v>
      </c>
      <c r="R75" s="9">
        <f t="shared" si="31"/>
        <v>1</v>
      </c>
      <c r="S75" s="14" t="str" cm="1">
        <f t="array" ref="S75">INDEX('Results-ConceptMap-1'!$I$15:$N$86,Q75+1,R75)</f>
        <v>* group[=].element[+].code = #Result.reporter</v>
      </c>
    </row>
    <row r="76" spans="16:19" x14ac:dyDescent="0.75">
      <c r="P76" s="9">
        <v>62</v>
      </c>
      <c r="Q76" s="9">
        <f t="shared" si="30"/>
        <v>10</v>
      </c>
      <c r="R76" s="9">
        <f t="shared" si="31"/>
        <v>2</v>
      </c>
      <c r="S76" s="14" t="str" cm="1">
        <f t="array" ref="S76">INDEX('Results-ConceptMap-1'!$I$15:$N$86,Q76+1,R76)</f>
        <v>* group[=].element[=].display = ##34#A.2.8.1.7 Reporter##34#</v>
      </c>
    </row>
    <row r="77" spans="16:19" x14ac:dyDescent="0.75">
      <c r="P77" s="9">
        <v>63</v>
      </c>
      <c r="Q77" s="9">
        <f t="shared" si="30"/>
        <v>10</v>
      </c>
      <c r="R77" s="9">
        <f t="shared" si="31"/>
        <v>3</v>
      </c>
      <c r="S77" s="14" t="str" cm="1">
        <f t="array" ref="S77">INDEX('Results-ConceptMap-1'!$I$15:$N$86,Q77+1,R77)</f>
        <v>* group[=].element[=].target.code = #Observation.performer</v>
      </c>
    </row>
    <row r="78" spans="16:19" x14ac:dyDescent="0.75">
      <c r="P78" s="9">
        <v>64</v>
      </c>
      <c r="Q78" s="9">
        <f t="shared" si="30"/>
        <v>10</v>
      </c>
      <c r="R78" s="9">
        <f t="shared" si="31"/>
        <v>4</v>
      </c>
      <c r="S78" s="14" t="str" cm="1">
        <f t="array" ref="S78">INDEX('Results-ConceptMap-1'!$I$15:$N$86,Q78+1,R78)</f>
        <v>* group[=].element[=].target.display = ##34###34#</v>
      </c>
    </row>
    <row r="79" spans="16:19" x14ac:dyDescent="0.75">
      <c r="P79" s="9">
        <v>65</v>
      </c>
      <c r="Q79" s="9">
        <f t="shared" si="30"/>
        <v>10</v>
      </c>
      <c r="R79" s="9">
        <f t="shared" si="31"/>
        <v>5</v>
      </c>
      <c r="S79" s="14" t="str" cm="1">
        <f t="array" ref="S79">INDEX('Results-ConceptMap-1'!$I$15:$N$86,Q79+1,R79)</f>
        <v>* group[=].element[=].target.equivalence = #relatedto</v>
      </c>
    </row>
    <row r="80" spans="16:19" ht="59" x14ac:dyDescent="0.75">
      <c r="P80" s="9">
        <v>66</v>
      </c>
      <c r="Q80" s="9">
        <f t="shared" si="30"/>
        <v>10</v>
      </c>
      <c r="R80" s="9">
        <f t="shared" si="31"/>
        <v>6</v>
      </c>
      <c r="S80" s="14" t="str" cm="1">
        <f t="array" ref="S80">INDEX('Results-ConceptMap-1'!$I$15:$N$86,Q80+1,R80)</f>
        <v>* group[=].element[=].target.comment = ##34#For interpreter: performer.extension:performerFunction = AUT (author)
If the person responsible for validation:  performer.extension:performerFunction = AUTHEN or LA##34#</v>
      </c>
    </row>
    <row r="81" spans="16:19" x14ac:dyDescent="0.75">
      <c r="P81" s="9">
        <v>67</v>
      </c>
      <c r="Q81" s="9">
        <f t="shared" si="30"/>
        <v>11</v>
      </c>
      <c r="R81" s="9">
        <f t="shared" si="31"/>
        <v>1</v>
      </c>
      <c r="S81" s="14" cm="1">
        <f t="array" ref="S81">INDEX('Results-ConceptMap-1'!$I$15:$N$86,Q81+1,R81)</f>
        <v>0</v>
      </c>
    </row>
    <row r="82" spans="16:19" x14ac:dyDescent="0.75">
      <c r="P82" s="9">
        <v>68</v>
      </c>
      <c r="Q82" s="9">
        <f t="shared" si="30"/>
        <v>11</v>
      </c>
      <c r="R82" s="9">
        <f t="shared" si="31"/>
        <v>2</v>
      </c>
      <c r="S82" s="14" cm="1">
        <f t="array" ref="S82">INDEX('Results-ConceptMap-1'!$I$15:$N$86,Q82+1,R82)</f>
        <v>0</v>
      </c>
    </row>
    <row r="83" spans="16:19" x14ac:dyDescent="0.75">
      <c r="P83" s="9">
        <v>69</v>
      </c>
      <c r="Q83" s="9">
        <f t="shared" si="30"/>
        <v>11</v>
      </c>
      <c r="R83" s="9">
        <f t="shared" si="31"/>
        <v>3</v>
      </c>
      <c r="S83" s="14" cm="1">
        <f t="array" ref="S83">INDEX('Results-ConceptMap-1'!$I$15:$N$86,Q83+1,R83)</f>
        <v>0</v>
      </c>
    </row>
    <row r="84" spans="16:19" x14ac:dyDescent="0.75">
      <c r="P84" s="9">
        <v>70</v>
      </c>
      <c r="Q84" s="9">
        <f t="shared" si="30"/>
        <v>11</v>
      </c>
      <c r="R84" s="9">
        <f t="shared" si="31"/>
        <v>4</v>
      </c>
      <c r="S84" s="14" cm="1">
        <f t="array" ref="S84">INDEX('Results-ConceptMap-1'!$I$15:$N$86,Q84+1,R84)</f>
        <v>0</v>
      </c>
    </row>
    <row r="85" spans="16:19" x14ac:dyDescent="0.75">
      <c r="P85" s="9">
        <v>71</v>
      </c>
      <c r="Q85" s="9">
        <f t="shared" si="30"/>
        <v>11</v>
      </c>
      <c r="R85" s="9">
        <f t="shared" si="31"/>
        <v>5</v>
      </c>
      <c r="S85" s="14" cm="1">
        <f t="array" ref="S85">INDEX('Results-ConceptMap-1'!$I$15:$N$86,Q85+1,R85)</f>
        <v>0</v>
      </c>
    </row>
    <row r="86" spans="16:19" x14ac:dyDescent="0.75">
      <c r="P86" s="9">
        <v>72</v>
      </c>
      <c r="Q86" s="9">
        <f t="shared" si="30"/>
        <v>11</v>
      </c>
      <c r="R86" s="9">
        <f t="shared" si="31"/>
        <v>6</v>
      </c>
      <c r="S86" s="14" cm="1">
        <f t="array" ref="S86">INDEX('Results-ConceptMap-1'!$I$15:$N$86,Q86+1,R86)</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4" r:id="rId3" xr:uid="{96AAF509-373B-4E3A-AD2D-50B3EE48A6DC}"/>
    <hyperlink ref="E7" r:id="rId4" xr:uid="{00520CAD-11E0-4AA4-A1B0-AECB8ECF233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94"/>
  <sheetViews>
    <sheetView workbookViewId="0">
      <selection activeCell="E8" sqref="E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248</v>
      </c>
    </row>
    <row r="3" spans="2:7" x14ac:dyDescent="0.75">
      <c r="B3" s="32" t="s">
        <v>37</v>
      </c>
    </row>
    <row r="4" spans="2:7" x14ac:dyDescent="0.75">
      <c r="B4" s="65" t="str">
        <f>"Instance: "&amp;'Results-ConceptMap-1'!C4</f>
        <v>Instance: result2FHIR-eu-ps</v>
      </c>
    </row>
    <row r="5" spans="2:7" x14ac:dyDescent="0.75">
      <c r="B5" s="65" t="s">
        <v>196</v>
      </c>
    </row>
    <row r="6" spans="2:7" x14ac:dyDescent="0.75">
      <c r="B6" s="65" t="s">
        <v>197</v>
      </c>
    </row>
    <row r="7" spans="2:7" x14ac:dyDescent="0.75">
      <c r="B7" s="65" t="s">
        <v>203</v>
      </c>
    </row>
    <row r="8" spans="2:7" x14ac:dyDescent="0.75">
      <c r="B8" s="65" t="str">
        <f>"* name = ##34#"&amp;'Results-ConceptMap-1'!C3&amp;"##34#"</f>
        <v>* name = ##34#PatientSummaryResult2FHIR##34#</v>
      </c>
    </row>
    <row r="9" spans="2:7" x14ac:dyDescent="0.75">
      <c r="B9" s="65" t="str">
        <f>"* title = ##34#"&amp;'Results-ConceptMap-1'!C5&amp;"##34#"</f>
        <v>* title = ##34#eHN Result to this guide Map##34#</v>
      </c>
    </row>
    <row r="10" spans="2:7" x14ac:dyDescent="0.75">
      <c r="B10" s="65" t="s">
        <v>198</v>
      </c>
    </row>
    <row r="11" spans="2:7" x14ac:dyDescent="0.75">
      <c r="B11" s="65" t="s">
        <v>199</v>
      </c>
    </row>
    <row r="12" spans="2:7" x14ac:dyDescent="0.75">
      <c r="B12" s="65" t="str">
        <f>"* description = ##34#"&amp;'Results-ConceptMap-1'!C8&amp;"##34#"</f>
        <v>* description = ##34#eHN Result Model to this guide Map##34#</v>
      </c>
    </row>
    <row r="13" spans="2:7" x14ac:dyDescent="0.75">
      <c r="B13" s="65" t="str">
        <f>"* purpose = ##34#"&amp;'Results-ConceptMap-1'!C9&amp;"##34#"</f>
        <v>* purpose = ##34#It shows how the Result data set defined by the EU eHN guidelines is mapped into this guide##34#</v>
      </c>
    </row>
    <row r="14" spans="2:7" x14ac:dyDescent="0.75">
      <c r="B14" s="66" t="str">
        <f>"* sourceUri = ##34#"&amp;'Results-ConceptMap-1'!E3&amp;"##34#"</f>
        <v>* sourceUri = ##34#http://hl7.eu/fhir/ig/xpandh/ps/StructureDefinition/Result##34#</v>
      </c>
    </row>
    <row r="15" spans="2:7" x14ac:dyDescent="0.75">
      <c r="B15" s="66" t="str">
        <f>"* targetUri = ##34#"&amp;'Results-ConceptMap-1'!E4&amp;"##34#"</f>
        <v>* targetUri = ##34#http://hl7.eu/fhir/ig/xpandh/ps/StructureDefinition/Observation-results-xpandh##34#</v>
      </c>
    </row>
    <row r="16" spans="2:7" x14ac:dyDescent="0.75">
      <c r="B16" s="65"/>
    </row>
    <row r="17" spans="2:7" x14ac:dyDescent="0.75">
      <c r="B17" s="65"/>
    </row>
    <row r="18" spans="2:7" x14ac:dyDescent="0.75">
      <c r="B18" s="1"/>
    </row>
    <row r="19" spans="2:7" x14ac:dyDescent="0.75">
      <c r="B19" s="67" t="str">
        <f>"* group[+].source = ##34#"&amp;'Results-ConceptMap-1'!E6&amp;"##34#"</f>
        <v>* group[+].source = ##34#http://hl7.eu/fhir/ig/xpandh/ps/StructureDefinition/Result##34#</v>
      </c>
    </row>
    <row r="20" spans="2:7" x14ac:dyDescent="0.75">
      <c r="B20" s="67" t="str">
        <f>"* group[=].target = ##34#"&amp;'Results-ConceptMap-1'!E7&amp;"##34#"</f>
        <v>* group[=].target = ##34#http://hl7.eu/fhir/ig/xpandh/ps/StructureDefinition/Observation-results-xpandh##34#</v>
      </c>
    </row>
    <row r="21" spans="2:7" x14ac:dyDescent="0.75">
      <c r="B21" s="69"/>
    </row>
    <row r="22" spans="2:7" x14ac:dyDescent="0.75">
      <c r="B22" s="14" t="str">
        <f>IF('Results-ConceptMap-1'!S15=0,"//---END",'Results-ConceptMap-1'!S15)</f>
        <v>* group[=].element[+].code = #Result.observation</v>
      </c>
    </row>
    <row r="23" spans="2:7" x14ac:dyDescent="0.75">
      <c r="B23" s="14" t="str">
        <f>IF('Results-ConceptMap-1'!S16=0,"//---END",'Results-ConceptMap-1'!S16)</f>
        <v>* group[=].element[=].display = ##34#A.2.8.1 Result observations##34#</v>
      </c>
    </row>
    <row r="24" spans="2:7" x14ac:dyDescent="0.75">
      <c r="B24" s="14" t="str">
        <f>IF('Results-ConceptMap-1'!S17=0,"//---END",'Results-ConceptMap-1'!S17)</f>
        <v>* group[=].element[=].target.code = #Observation</v>
      </c>
    </row>
    <row r="25" spans="2:7" x14ac:dyDescent="0.75">
      <c r="B25" s="14" t="str">
        <f>IF('Results-ConceptMap-1'!S18=0,"//---END",'Results-ConceptMap-1'!S18)</f>
        <v>* group[=].element[=].target.display = ##34###34#</v>
      </c>
    </row>
    <row r="26" spans="2:7" x14ac:dyDescent="0.75">
      <c r="B26" s="14" t="str">
        <f>IF('Results-ConceptMap-1'!S19=0,"//---END",'Results-ConceptMap-1'!S19)</f>
        <v>* group[=].element[=].target.equivalence = #relatedto</v>
      </c>
    </row>
    <row r="27" spans="2:7" x14ac:dyDescent="0.75">
      <c r="B27" s="14" t="str">
        <f>IF('Results-ConceptMap-1'!S20=0,"//---END",'Results-ConceptMap-1'!S20)</f>
        <v/>
      </c>
      <c r="G27" s="10"/>
    </row>
    <row r="28" spans="2:7" x14ac:dyDescent="0.75">
      <c r="B28" s="14" t="str">
        <f>IF('Results-ConceptMap-1'!S21=0,"//---END",'Results-ConceptMap-1'!S21)</f>
        <v>* group[=].element[+].code = #Result.date</v>
      </c>
    </row>
    <row r="29" spans="2:7" x14ac:dyDescent="0.75">
      <c r="B29" s="14" t="str">
        <f>IF('Results-ConceptMap-1'!S22=0,"//---END",'Results-ConceptMap-1'!S22)</f>
        <v>* group[=].element[=].display = ##34#A.2.8.1.1 Date##34#</v>
      </c>
    </row>
    <row r="30" spans="2:7" x14ac:dyDescent="0.75">
      <c r="B30" s="14" t="str">
        <f>IF('Results-ConceptMap-1'!S23=0,"//---END",'Results-ConceptMap-1'!S23)</f>
        <v>* group[=].element[=].target.code = #Observation.effectiveDateTime</v>
      </c>
    </row>
    <row r="31" spans="2:7" x14ac:dyDescent="0.75">
      <c r="B31" s="14" t="str">
        <f>IF('Results-ConceptMap-1'!S24=0,"//---END",'Results-ConceptMap-1'!S24)</f>
        <v>* group[=].element[=].target.display = ##34###34#</v>
      </c>
    </row>
    <row r="32" spans="2:7" x14ac:dyDescent="0.75">
      <c r="B32" s="14" t="str">
        <f>IF('Results-ConceptMap-1'!S25=0,"//---END",'Results-ConceptMap-1'!S25)</f>
        <v>* group[=].element[=].target.equivalence = #relatedto</v>
      </c>
    </row>
    <row r="33" spans="2:2" x14ac:dyDescent="0.75">
      <c r="B33" s="14" t="str">
        <f>IF('Results-ConceptMap-1'!S26=0,"//---END",'Results-ConceptMap-1'!S26)</f>
        <v>* group[=].element[=].target.comment = ##34#Whe it represents the date clincally relevant time (e.g. the time of specimen collection for Lab results##34#</v>
      </c>
    </row>
    <row r="34" spans="2:2" x14ac:dyDescent="0.75">
      <c r="B34" s="14" t="str">
        <f>IF('Results-ConceptMap-1'!S27=0,"//---END",'Results-ConceptMap-1'!S27)</f>
        <v>* group[=].element[+].code = #Result.date</v>
      </c>
    </row>
    <row r="35" spans="2:2" x14ac:dyDescent="0.75">
      <c r="B35" s="14" t="str">
        <f>IF('Results-ConceptMap-1'!S28=0,"//---END",'Results-ConceptMap-1'!S28)</f>
        <v>* group[=].element[=].display = ##34#A.2.8.1.1 Date##34#</v>
      </c>
    </row>
    <row r="36" spans="2:2" x14ac:dyDescent="0.75">
      <c r="B36" s="14" t="str">
        <f>IF('Results-ConceptMap-1'!S29=0,"//---END",'Results-ConceptMap-1'!S29)</f>
        <v>* group[=].element[=].target.code = #Observation.issued</v>
      </c>
    </row>
    <row r="37" spans="2:2" x14ac:dyDescent="0.75">
      <c r="B37" s="14" t="str">
        <f>IF('Results-ConceptMap-1'!S30=0,"//---END",'Results-ConceptMap-1'!S30)</f>
        <v>* group[=].element[=].target.display = ##34###34#</v>
      </c>
    </row>
    <row r="38" spans="2:2" x14ac:dyDescent="0.75">
      <c r="B38" s="14" t="str">
        <f>IF('Results-ConceptMap-1'!S31=0,"//---END",'Results-ConceptMap-1'!S31)</f>
        <v>* group[=].element[=].target.equivalence = #relatedto</v>
      </c>
    </row>
    <row r="39" spans="2:2" x14ac:dyDescent="0.75">
      <c r="B39" s="14" t="str">
        <f>IF('Results-ConceptMap-1'!S32=0,"//---END",'Results-ConceptMap-1'!S32)</f>
        <v>* group[=].element[=].target.comment = ##34#When is the time when this result has been made available##34#</v>
      </c>
    </row>
    <row r="40" spans="2:2" x14ac:dyDescent="0.75">
      <c r="B40" s="14" t="str">
        <f>IF('Results-ConceptMap-1'!S33=0,"//---END",'Results-ConceptMap-1'!S33)</f>
        <v>* group[=].element[+].code = #Result.type</v>
      </c>
    </row>
    <row r="41" spans="2:2" x14ac:dyDescent="0.75">
      <c r="B41" s="14" t="str">
        <f>IF('Results-ConceptMap-1'!S34=0,"//---END",'Results-ConceptMap-1'!S34)</f>
        <v>* group[=].element[=].display = ##34#A.2.8.1.2 Observation type##34#</v>
      </c>
    </row>
    <row r="42" spans="2:2" x14ac:dyDescent="0.75">
      <c r="B42" s="14" t="str">
        <f>IF('Results-ConceptMap-1'!S35=0,"//---END",'Results-ConceptMap-1'!S35)</f>
        <v>* group[=].element[=].target.code = #Observation.code</v>
      </c>
    </row>
    <row r="43" spans="2:2" x14ac:dyDescent="0.75">
      <c r="B43" s="14" t="str">
        <f>IF('Results-ConceptMap-1'!S36=0,"//---END",'Results-ConceptMap-1'!S36)</f>
        <v>* group[=].element[=].target.display = ##34###34#</v>
      </c>
    </row>
    <row r="44" spans="2:2" x14ac:dyDescent="0.75">
      <c r="B44" s="14" t="str">
        <f>IF('Results-ConceptMap-1'!S37=0,"//---END",'Results-ConceptMap-1'!S37)</f>
        <v>* group[=].element[=].target.equivalence = #equivalent</v>
      </c>
    </row>
    <row r="45" spans="2:2" x14ac:dyDescent="0.75">
      <c r="B45" s="14" t="str">
        <f>IF('Results-ConceptMap-1'!S38=0,"//---END",'Results-ConceptMap-1'!S38)</f>
        <v/>
      </c>
    </row>
    <row r="46" spans="2:2" x14ac:dyDescent="0.75">
      <c r="B46" s="14" t="str">
        <f>IF('Results-ConceptMap-1'!S39=0,"//---END",'Results-ConceptMap-1'!S39)</f>
        <v>* group[=].element[+].code = #Result.description</v>
      </c>
    </row>
    <row r="47" spans="2:2" x14ac:dyDescent="0.75">
      <c r="B47" s="14" t="str">
        <f>IF('Results-ConceptMap-1'!S40=0,"//---END",'Results-ConceptMap-1'!S40)</f>
        <v>* group[=].element[=].display = ##34#A.2.8.1.3 Result description##34#</v>
      </c>
    </row>
    <row r="48" spans="2:2" x14ac:dyDescent="0.75">
      <c r="B48" s="14" t="str">
        <f>IF('Results-ConceptMap-1'!S41=0,"//---END",'Results-ConceptMap-1'!S41)</f>
        <v>* group[=].element[=].target.code = #Observation.text</v>
      </c>
    </row>
    <row r="49" spans="2:2" x14ac:dyDescent="0.75">
      <c r="B49" s="14" t="str">
        <f>IF('Results-ConceptMap-1'!S42=0,"//---END",'Results-ConceptMap-1'!S42)</f>
        <v>* group[=].element[=].target.display = ##34###34#</v>
      </c>
    </row>
    <row r="50" spans="2:2" x14ac:dyDescent="0.75">
      <c r="B50" s="14" t="str">
        <f>IF('Results-ConceptMap-1'!S43=0,"//---END",'Results-ConceptMap-1'!S43)</f>
        <v>* group[=].element[=].target.equivalence = #equivalent</v>
      </c>
    </row>
    <row r="51" spans="2:2" x14ac:dyDescent="0.75">
      <c r="B51" s="14" t="str">
        <f>IF('Results-ConceptMap-1'!S44=0,"//---END",'Results-ConceptMap-1'!S44)</f>
        <v>* group[=].element[=].target.comment = ##34#text describing the result##34#</v>
      </c>
    </row>
    <row r="52" spans="2:2" x14ac:dyDescent="0.75">
      <c r="B52" s="14" t="str">
        <f>IF('Results-ConceptMap-1'!S45=0,"//---END",'Results-ConceptMap-1'!S45)</f>
        <v>* group[=].element[+].code = #Result.details</v>
      </c>
    </row>
    <row r="53" spans="2:2" x14ac:dyDescent="0.75">
      <c r="B53" s="14" t="str">
        <f>IF('Results-ConceptMap-1'!S46=0,"//---END",'Results-ConceptMap-1'!S46)</f>
        <v>* group[=].element[=].display = ##34#A.2.8.1.4 Observation details##34#</v>
      </c>
    </row>
    <row r="54" spans="2:2" x14ac:dyDescent="0.75">
      <c r="B54" s="14" t="str">
        <f>IF('Results-ConceptMap-1'!S47=0,"//---END",'Results-ConceptMap-1'!S47)</f>
        <v>* group[=].element[=].target.code = #Observation</v>
      </c>
    </row>
    <row r="55" spans="2:2" x14ac:dyDescent="0.75">
      <c r="B55" s="14" t="str">
        <f>IF('Results-ConceptMap-1'!S48=0,"//---END",'Results-ConceptMap-1'!S48)</f>
        <v>* group[=].element[=].target.display = ##34###34#</v>
      </c>
    </row>
    <row r="56" spans="2:2" x14ac:dyDescent="0.75">
      <c r="B56" s="14" t="str">
        <f>IF('Results-ConceptMap-1'!S49=0,"//---END",'Results-ConceptMap-1'!S49)</f>
        <v>* group[=].element[=].target.equivalence = #relatedto</v>
      </c>
    </row>
    <row r="57" spans="2:2" x14ac:dyDescent="0.75">
      <c r="B57" s="14" t="str">
        <f>IF('Results-ConceptMap-1'!S50=0,"//---END",'Results-ConceptMap-1'!S50)</f>
        <v>* group[=].element[=].target.comment = ##34#details are described by a set of observation elements ##34#</v>
      </c>
    </row>
    <row r="58" spans="2:2" x14ac:dyDescent="0.75">
      <c r="B58" s="14" t="str">
        <f>IF('Results-ConceptMap-1'!S51=0,"//---END",'Results-ConceptMap-1'!S51)</f>
        <v>* group[=].element[+].code = #Result.result</v>
      </c>
    </row>
    <row r="59" spans="2:2" x14ac:dyDescent="0.75">
      <c r="B59" s="14" t="str">
        <f>IF('Results-ConceptMap-1'!S52=0,"//---END",'Results-ConceptMap-1'!S52)</f>
        <v>* group[=].element[=].display = ##34#A.2.8.1.5 Observation results##34#</v>
      </c>
    </row>
    <row r="60" spans="2:2" x14ac:dyDescent="0.75">
      <c r="B60" s="14" t="str">
        <f>IF('Results-ConceptMap-1'!S53=0,"//---END",'Results-ConceptMap-1'!S53)</f>
        <v>* group[=].element[=].target.code = #Observation.value</v>
      </c>
    </row>
    <row r="61" spans="2:2" x14ac:dyDescent="0.75">
      <c r="B61" s="14" t="str">
        <f>IF('Results-ConceptMap-1'!S54=0,"//---END",'Results-ConceptMap-1'!S54)</f>
        <v>* group[=].element[=].target.display = ##34###34#</v>
      </c>
    </row>
    <row r="62" spans="2:2" x14ac:dyDescent="0.75">
      <c r="B62" s="14" t="str">
        <f>IF('Results-ConceptMap-1'!S55=0,"//---END",'Results-ConceptMap-1'!S55)</f>
        <v>* group[=].element[=].target.equivalence = #relatedto</v>
      </c>
    </row>
    <row r="63" spans="2:2" x14ac:dyDescent="0.75">
      <c r="B63" s="14" t="str">
        <f>IF('Results-ConceptMap-1'!S56=0,"//---END",'Results-ConceptMap-1'!S56)</f>
        <v/>
      </c>
    </row>
    <row r="64" spans="2:2" x14ac:dyDescent="0.75">
      <c r="B64" s="14" t="str">
        <f>IF('Results-ConceptMap-1'!S57=0,"//---END",'Results-ConceptMap-1'!S57)</f>
        <v>* group[=].element[+].code = #Result.result</v>
      </c>
    </row>
    <row r="65" spans="2:2" x14ac:dyDescent="0.75">
      <c r="B65" s="14" t="str">
        <f>IF('Results-ConceptMap-1'!S58=0,"//---END",'Results-ConceptMap-1'!S58)</f>
        <v>* group[=].element[=].display = ##34#A.2.8.1.5 Observation results##34#</v>
      </c>
    </row>
    <row r="66" spans="2:2" x14ac:dyDescent="0.75">
      <c r="B66" s="14" t="str">
        <f>IF('Results-ConceptMap-1'!S59=0,"//---END",'Results-ConceptMap-1'!S59)</f>
        <v>* group[=].element[=].target.code = #Observation.hasMember</v>
      </c>
    </row>
    <row r="67" spans="2:2" x14ac:dyDescent="0.75">
      <c r="B67" s="14" t="str">
        <f>IF('Results-ConceptMap-1'!S60=0,"//---END",'Results-ConceptMap-1'!S60)</f>
        <v>* group[=].element[=].target.display = ##34###34#</v>
      </c>
    </row>
    <row r="68" spans="2:2" x14ac:dyDescent="0.75">
      <c r="B68" s="14" t="str">
        <f>IF('Results-ConceptMap-1'!S61=0,"//---END",'Results-ConceptMap-1'!S61)</f>
        <v>* group[=].element[=].target.equivalence = #relatedto</v>
      </c>
    </row>
    <row r="69" spans="2:2" x14ac:dyDescent="0.75">
      <c r="B69" s="14" t="str">
        <f>IF('Results-ConceptMap-1'!S62=0,"//---END",'Results-ConceptMap-1'!S62)</f>
        <v>* group[=].element[=].target.comment = ##34#when the result is provided in a subordinated observation##34#</v>
      </c>
    </row>
    <row r="70" spans="2:2" x14ac:dyDescent="0.75">
      <c r="B70" s="14" t="str">
        <f>IF('Results-ConceptMap-1'!S63=0,"//---END",'Results-ConceptMap-1'!S63)</f>
        <v>* group[=].element[+].code = #Result.result</v>
      </c>
    </row>
    <row r="71" spans="2:2" x14ac:dyDescent="0.75">
      <c r="B71" s="14" t="str">
        <f>IF('Results-ConceptMap-1'!S64=0,"//---END",'Results-ConceptMap-1'!S64)</f>
        <v>* group[=].element[=].display = ##34#A.2.8.1.5 Observation results##34#</v>
      </c>
    </row>
    <row r="72" spans="2:2" x14ac:dyDescent="0.75">
      <c r="B72" s="14" t="str">
        <f>IF('Results-ConceptMap-1'!S65=0,"//---END",'Results-ConceptMap-1'!S65)</f>
        <v>* group[=].element[=].target.code = #Observation.component.value</v>
      </c>
    </row>
    <row r="73" spans="2:2" x14ac:dyDescent="0.75">
      <c r="B73" s="14" t="str">
        <f>IF('Results-ConceptMap-1'!S66=0,"//---END",'Results-ConceptMap-1'!S66)</f>
        <v>* group[=].element[=].target.display = ##34###34#</v>
      </c>
    </row>
    <row r="74" spans="2:2" x14ac:dyDescent="0.75">
      <c r="B74" s="14" t="str">
        <f>IF('Results-ConceptMap-1'!S67=0,"//---END",'Results-ConceptMap-1'!S67)</f>
        <v>* group[=].element[=].target.equivalence = #relatedto</v>
      </c>
    </row>
    <row r="75" spans="2:2" x14ac:dyDescent="0.75">
      <c r="B75" s="14" t="str">
        <f>IF('Results-ConceptMap-1'!S68=0,"//---END",'Results-ConceptMap-1'!S68)</f>
        <v>* group[=].element[=].target.comment = ##34#when it refers to a component result##34#</v>
      </c>
    </row>
    <row r="76" spans="2:2" x14ac:dyDescent="0.75">
      <c r="B76" s="14" t="str">
        <f>IF('Results-ConceptMap-1'!S69=0,"//---END",'Results-ConceptMap-1'!S69)</f>
        <v>* group[=].element[+].code = #Result.performer</v>
      </c>
    </row>
    <row r="77" spans="2:2" x14ac:dyDescent="0.75">
      <c r="B77" s="14" t="str">
        <f>IF('Results-ConceptMap-1'!S70=0,"//---END",'Results-ConceptMap-1'!S70)</f>
        <v>* group[=].element[=].display = ##34#A.2.8.1.6 Performer##34#</v>
      </c>
    </row>
    <row r="78" spans="2:2" x14ac:dyDescent="0.75">
      <c r="B78" s="14" t="str">
        <f>IF('Results-ConceptMap-1'!S71=0,"//---END",'Results-ConceptMap-1'!S71)</f>
        <v>* group[=].element[=].target.code = #Observation.performer</v>
      </c>
    </row>
    <row r="79" spans="2:2" x14ac:dyDescent="0.75">
      <c r="B79" s="14" t="str">
        <f>IF('Results-ConceptMap-1'!S72=0,"//---END",'Results-ConceptMap-1'!S72)</f>
        <v>* group[=].element[=].target.display = ##34###34#</v>
      </c>
    </row>
    <row r="80" spans="2:2" x14ac:dyDescent="0.75">
      <c r="B80" s="14" t="str">
        <f>IF('Results-ConceptMap-1'!S73=0,"//---END",'Results-ConceptMap-1'!S73)</f>
        <v>* group[=].element[=].target.equivalence = #equivalent</v>
      </c>
    </row>
    <row r="81" spans="2:2" x14ac:dyDescent="0.75">
      <c r="B81" s="14" t="str">
        <f>IF('Results-ConceptMap-1'!S74=0,"//---END",'Results-ConceptMap-1'!S74)</f>
        <v/>
      </c>
    </row>
    <row r="82" spans="2:2" x14ac:dyDescent="0.75">
      <c r="B82" s="14" t="str">
        <f>IF('Results-ConceptMap-1'!S75=0,"//---END",'Results-ConceptMap-1'!S75)</f>
        <v>* group[=].element[+].code = #Result.reporter</v>
      </c>
    </row>
    <row r="83" spans="2:2" x14ac:dyDescent="0.75">
      <c r="B83" s="14" t="str">
        <f>IF('Results-ConceptMap-1'!S76=0,"//---END",'Results-ConceptMap-1'!S76)</f>
        <v>* group[=].element[=].display = ##34#A.2.8.1.7 Reporter##34#</v>
      </c>
    </row>
    <row r="84" spans="2:2" x14ac:dyDescent="0.75">
      <c r="B84" s="14" t="str">
        <f>IF('Results-ConceptMap-1'!S77=0,"//---END",'Results-ConceptMap-1'!S77)</f>
        <v>* group[=].element[=].target.code = #Observation.performer</v>
      </c>
    </row>
    <row r="85" spans="2:2" x14ac:dyDescent="0.75">
      <c r="B85" s="14" t="str">
        <f>IF('Results-ConceptMap-1'!S78=0,"//---END",'Results-ConceptMap-1'!S78)</f>
        <v>* group[=].element[=].target.display = ##34###34#</v>
      </c>
    </row>
    <row r="86" spans="2:2" x14ac:dyDescent="0.75">
      <c r="B86" s="14" t="str">
        <f>IF('Results-ConceptMap-1'!S79=0,"//---END",'Results-ConceptMap-1'!S79)</f>
        <v>* group[=].element[=].target.equivalence = #relatedto</v>
      </c>
    </row>
    <row r="87" spans="2:2" ht="29.5" x14ac:dyDescent="0.75">
      <c r="B87" s="14" t="str">
        <f>IF('Results-ConceptMap-1'!S80=0,"//---END",'Results-ConceptMap-1'!S80)</f>
        <v>* group[=].element[=].target.comment = ##34#For interpreter: performer.extension:performerFunction = AUT (author)
If the person responsible for validation:  performer.extension:performerFunction = AUTHEN or LA##34#</v>
      </c>
    </row>
    <row r="88" spans="2:2" x14ac:dyDescent="0.75">
      <c r="B88" s="14" t="str">
        <f>IF('Results-ConceptMap-1'!S81=0,"//---END",'Results-ConceptMap-1'!S81)</f>
        <v>//---END</v>
      </c>
    </row>
    <row r="89" spans="2:2" x14ac:dyDescent="0.75">
      <c r="B89" s="14" t="str">
        <f>IF('Results-ConceptMap-1'!S82=0,"//---END",'Results-ConceptMap-1'!S82)</f>
        <v>//---END</v>
      </c>
    </row>
    <row r="90" spans="2:2" x14ac:dyDescent="0.75">
      <c r="B90" s="14" t="str">
        <f>IF('Results-ConceptMap-1'!S83=0,"//---END",'Results-ConceptMap-1'!S83)</f>
        <v>//---END</v>
      </c>
    </row>
    <row r="91" spans="2:2" x14ac:dyDescent="0.75">
      <c r="B91" s="14" t="str">
        <f>IF('Results-ConceptMap-1'!S84=0,"//---END",'Results-ConceptMap-1'!S84)</f>
        <v>//---END</v>
      </c>
    </row>
    <row r="92" spans="2:2" x14ac:dyDescent="0.75">
      <c r="B92" s="14" t="str">
        <f>IF('Results-ConceptMap-1'!S85=0,"//---END",'Results-ConceptMap-1'!S85)</f>
        <v>//---END</v>
      </c>
    </row>
    <row r="93" spans="2:2" x14ac:dyDescent="0.75">
      <c r="B93" s="14" t="str">
        <f>IF('Results-ConceptMap-1'!S86=0,"//---END",'Results-ConceptMap-1'!S86)</f>
        <v>//---END</v>
      </c>
    </row>
    <row r="94" spans="2:2" x14ac:dyDescent="0.75">
      <c r="B94" s="14" t="str">
        <f>IF('Results-ConceptMap-1'!S87=0,"//---END",'Results-ConceptMap-1'!S87)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1053</v>
      </c>
      <c r="I4" s="24" t="str">
        <f>CONCATENATE("Logical: ",B4)</f>
        <v>Logical: MedicinePsEhn</v>
      </c>
    </row>
    <row r="5" spans="1:9" x14ac:dyDescent="0.75">
      <c r="A5" s="17" t="s">
        <v>19</v>
      </c>
      <c r="B5" s="33" t="s">
        <v>1052</v>
      </c>
      <c r="I5" s="24" t="str">
        <f>CONCATENATE("Id: ",B5)</f>
        <v>Id: Medicine</v>
      </c>
    </row>
    <row r="6" spans="1:9" x14ac:dyDescent="0.75">
      <c r="A6" s="17" t="s">
        <v>13</v>
      </c>
      <c r="B6" s="18" t="s">
        <v>1025</v>
      </c>
      <c r="I6" s="25" t="str">
        <f>CONCATENATE("Title: ##34#",B6,"##34#")</f>
        <v>Title: ##34#A.2.4.1 Current and relevant past medicines##34#</v>
      </c>
    </row>
    <row r="7" spans="1:9" ht="73.75" x14ac:dyDescent="0.75">
      <c r="A7" s="43" t="s">
        <v>5</v>
      </c>
      <c r="B7" s="50" t="s">
        <v>1054</v>
      </c>
      <c r="C7" s="12"/>
      <c r="D7" s="2"/>
      <c r="E7" s="49"/>
      <c r="F7" s="3" t="s">
        <v>9</v>
      </c>
      <c r="G7" s="3" t="s">
        <v>10</v>
      </c>
      <c r="I7" s="108"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1043</v>
      </c>
      <c r="C8" s="9" t="s">
        <v>1026</v>
      </c>
      <c r="D8" s="104" t="s">
        <v>1035</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52.75" customHeight="1" x14ac:dyDescent="0.75">
      <c r="A9" s="9">
        <v>2</v>
      </c>
      <c r="B9" s="9" t="s">
        <v>1044</v>
      </c>
      <c r="C9" s="9" t="s">
        <v>1027</v>
      </c>
      <c r="D9" s="104" t="s">
        <v>684</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984</v>
      </c>
      <c r="C10" s="9" t="s">
        <v>1028</v>
      </c>
      <c r="D10" s="104" t="s">
        <v>686</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1045</v>
      </c>
      <c r="C11" s="9" t="s">
        <v>1029</v>
      </c>
      <c r="D11" s="104" t="s">
        <v>688</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1046</v>
      </c>
      <c r="C12" s="9" t="s">
        <v>1030</v>
      </c>
      <c r="D12" s="104" t="s">
        <v>1041</v>
      </c>
      <c r="E12" s="9">
        <v>3</v>
      </c>
      <c r="F12" s="9" t="s">
        <v>11</v>
      </c>
      <c r="G12" s="9" t="s">
        <v>1042</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1047</v>
      </c>
      <c r="C13" s="9" t="s">
        <v>1031</v>
      </c>
      <c r="D13" s="104" t="s">
        <v>1040</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1048</v>
      </c>
      <c r="C14" s="9" t="s">
        <v>1032</v>
      </c>
      <c r="D14" s="104" t="s">
        <v>694</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1049</v>
      </c>
      <c r="C15" s="9" t="s">
        <v>1033</v>
      </c>
      <c r="D15" s="104" t="s">
        <v>1039</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890</v>
      </c>
      <c r="C16" s="9" t="s">
        <v>1034</v>
      </c>
      <c r="D16" s="104" t="s">
        <v>1036</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1"/>
      <c r="B20" s="51"/>
      <c r="D20" s="52"/>
      <c r="E20" s="51"/>
      <c r="F20" s="51"/>
      <c r="G20" s="51"/>
      <c r="H20" s="109"/>
      <c r="I20" s="14" t="str">
        <f t="shared" si="0"/>
        <v>*  ..  ##34###34# ##334###334#</v>
      </c>
    </row>
    <row r="21" spans="1:11" ht="30.25" customHeight="1" x14ac:dyDescent="0.75">
      <c r="A21" s="51"/>
      <c r="B21" s="51"/>
      <c r="D21" s="52"/>
      <c r="E21" s="51"/>
      <c r="F21" s="51"/>
      <c r="G21" s="51"/>
      <c r="H21" s="22"/>
      <c r="I21" s="14"/>
    </row>
    <row r="22" spans="1:11" ht="30.25" customHeight="1" x14ac:dyDescent="0.75">
      <c r="A22" s="51"/>
      <c r="B22" s="51"/>
      <c r="D22" s="52"/>
      <c r="E22" s="51"/>
      <c r="F22" s="51"/>
      <c r="G22" s="51"/>
      <c r="H22" s="22"/>
      <c r="I22" s="14"/>
    </row>
    <row r="23" spans="1:11" ht="45" customHeight="1" x14ac:dyDescent="0.75">
      <c r="A23" s="51"/>
      <c r="B23" s="51"/>
      <c r="D23" s="52"/>
      <c r="E23" s="51"/>
      <c r="F23" s="51"/>
      <c r="G23" s="51"/>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5"/>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6"/>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70" t="s">
        <v>1051</v>
      </c>
      <c r="D38" s="152"/>
      <c r="E38" s="152"/>
      <c r="F38" s="153"/>
    </row>
    <row r="39" spans="2:9" ht="369.5" thickBot="1" x14ac:dyDescent="0.9">
      <c r="B39" t="str">
        <f t="shared" ref="B39:B48" si="2">CONCATENATE(C39," ",D39)</f>
        <v>A.2.4.1 Current and relevant past medicines</v>
      </c>
      <c r="C39" s="93" t="s">
        <v>743</v>
      </c>
      <c r="D39" s="94" t="s">
        <v>679</v>
      </c>
      <c r="E39" s="94" t="s">
        <v>680</v>
      </c>
      <c r="F39" s="94"/>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93" t="s">
        <v>744</v>
      </c>
      <c r="D40" s="94" t="s">
        <v>681</v>
      </c>
      <c r="E40" s="94" t="s">
        <v>682</v>
      </c>
      <c r="F40" s="94" t="s">
        <v>650</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93" t="s">
        <v>745</v>
      </c>
      <c r="D41" s="94" t="s">
        <v>683</v>
      </c>
      <c r="E41" s="94" t="s">
        <v>684</v>
      </c>
      <c r="F41" s="94"/>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93" t="s">
        <v>746</v>
      </c>
      <c r="D42" s="94" t="s">
        <v>685</v>
      </c>
      <c r="E42" s="94" t="s">
        <v>686</v>
      </c>
      <c r="F42" s="94"/>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93" t="s">
        <v>747</v>
      </c>
      <c r="D43" s="94" t="s">
        <v>687</v>
      </c>
      <c r="E43" s="94" t="s">
        <v>688</v>
      </c>
      <c r="F43" s="94"/>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93" t="s">
        <v>748</v>
      </c>
      <c r="D44" s="94" t="s">
        <v>689</v>
      </c>
      <c r="E44" s="94" t="s">
        <v>690</v>
      </c>
      <c r="F44" s="94"/>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93" t="s">
        <v>749</v>
      </c>
      <c r="D45" s="94" t="s">
        <v>691</v>
      </c>
      <c r="E45" s="94" t="s">
        <v>692</v>
      </c>
      <c r="F45" s="94"/>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93" t="s">
        <v>750</v>
      </c>
      <c r="D46" s="94" t="s">
        <v>693</v>
      </c>
      <c r="E46" s="94" t="s">
        <v>694</v>
      </c>
      <c r="F46" s="94" t="s">
        <v>695</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93" t="s">
        <v>751</v>
      </c>
      <c r="D47" s="94" t="s">
        <v>696</v>
      </c>
      <c r="E47" s="94" t="s">
        <v>1037</v>
      </c>
      <c r="F47" s="94" t="s">
        <v>1038</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93" t="s">
        <v>752</v>
      </c>
      <c r="D48" s="94" t="s">
        <v>698</v>
      </c>
      <c r="E48" s="94" t="s">
        <v>699</v>
      </c>
      <c r="F48" s="94"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48" t="s">
        <v>1055</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ht="59"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59"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29.5"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29.5" x14ac:dyDescent="0.75">
      <c r="C10" s="14" t="str">
        <f>IF('A.2.4.1  Medicine'!I10="*  ..  ##34###34# ##334###334#","//--- END",'A.2.4.1  Medicine'!I10)</f>
        <v>* productName 1..* string ##34#A.2.4.1.3 Brand name##34# ##334#Brand name if biological medicinal product or when justified by the health professional (ref. Commission Directive 2012/52/EU)##334#</v>
      </c>
      <c r="E10" t="s">
        <v>116</v>
      </c>
    </row>
    <row r="11" spans="3:7" ht="44.25"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44.25"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29.5"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29.5"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29.5"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29.5" x14ac:dyDescent="0.75">
      <c r="C16" s="14" t="str">
        <f>IF('A.2.4.1  Medicine'!I16="*  ..  ##34###34# ##334###334#","//--- END",'A.2.4.1  Medicine'!I16)</f>
        <v>* onsetDate 7..* dateTime ##34#A.2.4.1.9 Date of onset of treatment##34# ##334#Date when patient needs to start taking the medicine prescribed - Preferred system(s): ISO 8601##334#</v>
      </c>
    </row>
    <row r="17" spans="3:3" x14ac:dyDescent="0.75">
      <c r="C17" s="14" t="str">
        <f>IF('A.2.4.1  Medicine'!I17="*  ..  ##34###34# ##334###334#","//--- END",'A.2.4.1  Medicine'!I17)</f>
        <v>//--- END</v>
      </c>
    </row>
    <row r="18" spans="3:3" x14ac:dyDescent="0.75">
      <c r="C18" s="14" t="str">
        <f>IF('A.2.4.1  Medicine'!I18="*  ..  ##34###34# ##334###334#","//--- END",'A.2.4.1  Medicine'!I18)</f>
        <v>//--- END</v>
      </c>
    </row>
    <row r="19" spans="3:3"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82"/>
  <sheetViews>
    <sheetView topLeftCell="C18" zoomScale="85" zoomScaleNormal="85"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1058</v>
      </c>
      <c r="D3" s="61" t="s">
        <v>208</v>
      </c>
      <c r="E3" s="165" t="str">
        <f>"http://hl7.eu/fhir/ig/xpandh/ps/StructureDefinition/"&amp;'A.2.4.1  Medicine'!B5</f>
        <v>http://hl7.eu/fhir/ig/xpandh/ps/StructureDefinition/Medicine</v>
      </c>
      <c r="F3" s="164"/>
      <c r="G3" s="164"/>
    </row>
    <row r="4" spans="1:19" x14ac:dyDescent="0.75">
      <c r="B4" s="61" t="s">
        <v>19</v>
      </c>
      <c r="C4" s="47" t="s">
        <v>1162</v>
      </c>
      <c r="D4" s="61" t="s">
        <v>209</v>
      </c>
      <c r="E4" s="165" t="s">
        <v>1309</v>
      </c>
      <c r="F4" s="164"/>
      <c r="G4" s="164"/>
    </row>
    <row r="5" spans="1:19" x14ac:dyDescent="0.75">
      <c r="B5" s="61" t="s">
        <v>13</v>
      </c>
      <c r="C5" s="10" t="s">
        <v>1059</v>
      </c>
      <c r="D5" s="61"/>
      <c r="E5" s="10"/>
    </row>
    <row r="6" spans="1:19" x14ac:dyDescent="0.75">
      <c r="B6" s="61" t="s">
        <v>35</v>
      </c>
      <c r="C6" s="60"/>
      <c r="D6" s="61" t="s">
        <v>206</v>
      </c>
      <c r="E6" s="165" t="str">
        <f>E3</f>
        <v>http://hl7.eu/fhir/ig/xpandh/ps/StructureDefinition/Medicine</v>
      </c>
      <c r="F6" s="164"/>
      <c r="G6" s="164"/>
    </row>
    <row r="7" spans="1:19" x14ac:dyDescent="0.75">
      <c r="B7" s="61" t="s">
        <v>18</v>
      </c>
      <c r="C7" s="68"/>
      <c r="D7" s="61" t="s">
        <v>207</v>
      </c>
      <c r="E7" s="165" t="str">
        <f>E4</f>
        <v>http://hl7.eu/fhir/ig/xpandh/ps/StructureDefinition/MedicationStatement-ps-xpandh</v>
      </c>
      <c r="F7" s="164"/>
      <c r="G7" s="164"/>
    </row>
    <row r="8" spans="1:19" ht="44.25" x14ac:dyDescent="0.75">
      <c r="B8" s="61" t="s">
        <v>204</v>
      </c>
      <c r="C8" s="10" t="s">
        <v>1060</v>
      </c>
      <c r="D8" s="61"/>
      <c r="E8"/>
      <c r="I8" s="14" t="s">
        <v>181</v>
      </c>
      <c r="J8" s="14" t="s">
        <v>182</v>
      </c>
      <c r="K8" s="14" t="s">
        <v>183</v>
      </c>
      <c r="L8" s="14" t="s">
        <v>184</v>
      </c>
      <c r="M8" s="9" t="s">
        <v>185</v>
      </c>
      <c r="P8" s="57" t="s">
        <v>186</v>
      </c>
      <c r="Q8" s="57">
        <v>6</v>
      </c>
    </row>
    <row r="9" spans="1:19" ht="29.5" x14ac:dyDescent="0.75">
      <c r="B9" s="61" t="s">
        <v>205</v>
      </c>
      <c r="C9" s="1" t="s">
        <v>1061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1062</v>
      </c>
      <c r="E14" s="110"/>
      <c r="F14" s="3"/>
      <c r="I14" s="14"/>
      <c r="J14" s="9"/>
      <c r="K14" s="9"/>
      <c r="L14" s="9"/>
      <c r="M14" s="59"/>
      <c r="N14" s="62"/>
    </row>
    <row r="15" spans="1:19" ht="73.75" x14ac:dyDescent="0.75">
      <c r="A15" s="22"/>
      <c r="B15" s="9" t="str">
        <f>'A.2.4.1  Medicine'!B8</f>
        <v>reason</v>
      </c>
      <c r="C15" s="9" t="str">
        <f>'A.2.4.1  Medicine'!C8</f>
        <v>A.2.4.1.1 Medication reason</v>
      </c>
      <c r="D15" s="14" t="s">
        <v>1063</v>
      </c>
      <c r="E15" s="14"/>
      <c r="F15" s="63" t="s">
        <v>192</v>
      </c>
      <c r="G15" s="9" t="s">
        <v>1066</v>
      </c>
      <c r="H15" s="64"/>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#MedicationStatement.reasonCode</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##34#if only a code is provided##34#</v>
      </c>
      <c r="P15" s="9">
        <v>1</v>
      </c>
      <c r="Q15" s="9">
        <f>IF(MOD(P15,$Q$8)=0,P15/$Q$8-1,INT(P15/$Q$8))</f>
        <v>0</v>
      </c>
      <c r="R15" s="9">
        <f>IF(MOD(P15,$Q$8)=0,$Q$8,MOD(P15,$Q$8))</f>
        <v>1</v>
      </c>
      <c r="S15" s="14" t="str" cm="1">
        <f t="array" ref="S15">INDEX('Medicine-ConceptMap-1'!$I$15:$N$99,Q15+1,R15)</f>
        <v>* group[=].element[+].code = #Medicine.reason</v>
      </c>
    </row>
    <row r="16" spans="1:19" ht="73.75" x14ac:dyDescent="0.75">
      <c r="A16" s="22"/>
      <c r="B16" s="111" t="str">
        <f>'A.2.4.1  Medicine'!B8</f>
        <v>reason</v>
      </c>
      <c r="C16" s="111" t="str">
        <f>'A.2.4.1  Medicine'!C8</f>
        <v>A.2.4.1.1 Medication reason</v>
      </c>
      <c r="D16" s="14" t="s">
        <v>1064</v>
      </c>
      <c r="E16" s="14"/>
      <c r="F16" s="63" t="s">
        <v>192</v>
      </c>
      <c r="G16" s="9" t="s">
        <v>1065</v>
      </c>
      <c r="H16" s="64"/>
      <c r="I16" s="14" t="str">
        <f t="shared" ref="I16:I24" si="5">"* group[=].element[+].code = #"&amp;$B$14&amp;"."&amp;B16</f>
        <v>* group[=].element[+].code = #Medicine.reason</v>
      </c>
      <c r="J16" s="14" t="str">
        <f t="shared" ref="J16:J24" si="6">"* group[=].element[=].display = ##34#"&amp;C16&amp;"##34#"</f>
        <v>* group[=].element[=].display = ##34#A.2.4.1.1 Medication reason##34#</v>
      </c>
      <c r="K16" s="14" t="str">
        <f t="shared" ref="K16:K24" si="7">IF(F16="unmatched","//-- unmatched","* group[=].element[=].target.code = #"&amp;$D$14&amp;"."&amp;D16)</f>
        <v>* group[=].element[=].target.code = #MedicationStatement.reasonReference</v>
      </c>
      <c r="L16" s="14" t="str">
        <f t="shared" ref="L16:L24" si="8">IF(F16="unmatched","//-- unmatched","* group[=].element[=].target.display = ##34#"&amp;E16&amp;"##34#")</f>
        <v>* group[=].element[=].target.display = ##34###34#</v>
      </c>
      <c r="M16" s="14" t="str">
        <f t="shared" ref="M16:M24" si="9">"* group[=].element[=].target.equivalence = #"&amp;F16</f>
        <v>* group[=].element[=].target.equivalence = #equivalent</v>
      </c>
      <c r="N16" s="4" t="str">
        <f t="shared" ref="N16:N24" si="10">IF(G16&lt;&gt;"",CONCATENATE("* group[=].element[=].target.comment = ","##34#",G16,"##34#"),"")</f>
        <v>* group[=].element[=].target.comment = ##34#if provided as a reference to a Condition##34#</v>
      </c>
      <c r="P16" s="9">
        <v>2</v>
      </c>
      <c r="Q16" s="9">
        <f t="shared" ref="Q16:Q82" si="11">IF(MOD(P16,$Q$8)=0,P16/$Q$8-1,INT(P16/$Q$8))</f>
        <v>0</v>
      </c>
      <c r="R16" s="9">
        <f t="shared" ref="R16:R18" si="12">IF(MOD(P16,$Q$8)=0,$Q$8,MOD(P16,$Q$8))</f>
        <v>2</v>
      </c>
      <c r="S16" s="14" t="str" cm="1">
        <f t="array" ref="S16">INDEX('Medicine-ConceptMap-1'!$I$15:$N$99,Q16+1,R16)</f>
        <v>* group[=].element[=].display = ##34#A.2.4.1.1 Medication reason##34#</v>
      </c>
    </row>
    <row r="17" spans="1:19" ht="59" x14ac:dyDescent="0.75">
      <c r="A17" s="22"/>
      <c r="B17" s="46" t="str">
        <f>'A.2.4.1  Medicine'!B9</f>
        <v>intendedUse</v>
      </c>
      <c r="C17" s="9" t="str">
        <f>'A.2.4.1  Medicine'!C9</f>
        <v>A.2.4.1.2 Intended use</v>
      </c>
      <c r="D17" s="14" t="s">
        <v>1315</v>
      </c>
      <c r="E17" s="14"/>
      <c r="F17" s="63" t="s">
        <v>193</v>
      </c>
      <c r="G17" s="4" t="s">
        <v>1323</v>
      </c>
      <c r="H17" s="64"/>
      <c r="I17" s="14" t="str">
        <f t="shared" si="5"/>
        <v>* group[=].element[+].code = #Medicine.intendedUse</v>
      </c>
      <c r="J17" s="14" t="str">
        <f t="shared" si="6"/>
        <v>* group[=].element[=].display = ##34#A.2.4.1.2 Intended use##34#</v>
      </c>
      <c r="K17" s="14" t="str">
        <f t="shared" si="7"/>
        <v>* group[=].element[=].target.code = #MedicationStatement.category</v>
      </c>
      <c r="L17" s="14" t="str">
        <f t="shared" si="8"/>
        <v>* group[=].element[=].target.display = ##34###34#</v>
      </c>
      <c r="M17" s="14" t="str">
        <f t="shared" si="9"/>
        <v>* group[=].element[=].target.equivalence = #relatedto</v>
      </c>
      <c r="N17" s="14" t="str">
        <f t="shared" si="10"/>
        <v>* group[=].element[=].target.comment = ##34#this map adopts  the definition given in R5##34#</v>
      </c>
      <c r="P17" s="9">
        <v>3</v>
      </c>
      <c r="Q17" s="9">
        <f t="shared" si="11"/>
        <v>0</v>
      </c>
      <c r="R17" s="9">
        <f t="shared" si="12"/>
        <v>3</v>
      </c>
      <c r="S17" s="14" t="str" cm="1">
        <f t="array" ref="S17">INDEX('Medicine-ConceptMap-1'!$I$15:$N$99,Q17+1,R17)</f>
        <v>* group[=].element[=].target.code = #MedicationStatement.reasonCode</v>
      </c>
    </row>
    <row r="18" spans="1:19" ht="44.25" customHeight="1" x14ac:dyDescent="0.75">
      <c r="A18" s="22"/>
      <c r="B18" s="9" t="str">
        <f>'A.2.4.1  Medicine'!B10</f>
        <v>productName</v>
      </c>
      <c r="C18" s="9" t="str">
        <f>'A.2.4.1  Medicine'!C10</f>
        <v>A.2.4.1.3 Brand name</v>
      </c>
      <c r="D18" s="14" t="s">
        <v>1068</v>
      </c>
      <c r="E18" s="14"/>
      <c r="F18" s="63" t="s">
        <v>192</v>
      </c>
      <c r="G18" s="112" t="s">
        <v>1069</v>
      </c>
      <c r="H18" s="64"/>
      <c r="I18" s="14" t="str">
        <f t="shared" si="5"/>
        <v>* group[=].element[+].code = #Medicine.productName</v>
      </c>
      <c r="J18" s="14" t="str">
        <f t="shared" si="6"/>
        <v>* group[=].element[=].display = ##34#A.2.4.1.3 Brand name##34#</v>
      </c>
      <c r="K18" s="14" t="str">
        <f t="shared" si="7"/>
        <v>* group[=].element[=].target.code = #MedicationStatement.medication[x]</v>
      </c>
      <c r="L18" s="14" t="str">
        <f t="shared" si="8"/>
        <v>* group[=].element[=].target.display = ##34###34#</v>
      </c>
      <c r="M18" s="14" t="str">
        <f t="shared" si="9"/>
        <v>* group[=].element[=].target.equivalence = #equivalent</v>
      </c>
      <c r="N18" s="14" t="str">
        <f t="shared" si="10"/>
        <v>* group[=].element[=].target.comment = ##34#see group 2##34#</v>
      </c>
      <c r="P18" s="9">
        <v>4</v>
      </c>
      <c r="Q18" s="9">
        <f t="shared" si="11"/>
        <v>0</v>
      </c>
      <c r="R18" s="9">
        <f t="shared" si="12"/>
        <v>4</v>
      </c>
      <c r="S18" s="14" t="str" cm="1">
        <f t="array" ref="S18">INDEX('Medicine-ConceptMap-1'!$I$15:$N$99,Q18+1,R18)</f>
        <v>* group[=].element[=].target.display = ##34###34#</v>
      </c>
    </row>
    <row r="19" spans="1:19" ht="73.75" x14ac:dyDescent="0.75">
      <c r="A19" s="22"/>
      <c r="B19" s="9" t="str">
        <f>'A.2.4.1  Medicine'!B11</f>
        <v>activeIngredient</v>
      </c>
      <c r="C19" s="9" t="str">
        <f>'A.2.4.1  Medicine'!C11</f>
        <v>A.2.4.1.4 Active ingredient lists</v>
      </c>
      <c r="D19" s="14" t="s">
        <v>1068</v>
      </c>
      <c r="E19" s="14"/>
      <c r="F19" s="63" t="s">
        <v>192</v>
      </c>
      <c r="G19" s="112" t="s">
        <v>1069</v>
      </c>
      <c r="H19" s="64"/>
      <c r="I19" s="14" t="str">
        <f t="shared" si="5"/>
        <v>* group[=].element[+].code = #Medicine.activeIngredient</v>
      </c>
      <c r="J19" s="14" t="str">
        <f t="shared" si="6"/>
        <v>* group[=].element[=].display = ##34#A.2.4.1.4 Active ingredient lists##34#</v>
      </c>
      <c r="K19" s="14" t="str">
        <f t="shared" si="7"/>
        <v>* group[=].element[=].target.code = #MedicationStatement.medication[x]</v>
      </c>
      <c r="L19" s="14" t="str">
        <f t="shared" si="8"/>
        <v>* group[=].element[=].target.display = ##34###34#</v>
      </c>
      <c r="M19" s="14" t="str">
        <f t="shared" si="9"/>
        <v>* group[=].element[=].target.equivalence = #equivalent</v>
      </c>
      <c r="N19" s="14" t="str">
        <f t="shared" si="10"/>
        <v>* group[=].element[=].target.comment = ##34#see group 2##34#</v>
      </c>
      <c r="P19" s="9">
        <v>5</v>
      </c>
      <c r="Q19" s="9">
        <f t="shared" si="11"/>
        <v>0</v>
      </c>
      <c r="R19" s="9">
        <f t="shared" ref="R19:R47" si="13">IF(MOD(P19,$Q$8)=0,$Q$8,MOD(P19,$Q$8))</f>
        <v>5</v>
      </c>
      <c r="S19" s="14" t="str" cm="1">
        <f t="array" ref="S19">INDEX('Medicine-ConceptMap-1'!$I$15:$N$99,Q19+1,R19)</f>
        <v>* group[=].element[=].target.equivalence = #equivalent</v>
      </c>
    </row>
    <row r="20" spans="1:19" ht="73.75" x14ac:dyDescent="0.75">
      <c r="A20" s="22"/>
      <c r="B20" s="9" t="str">
        <f>'A.2.4.1  Medicine'!B12</f>
        <v>strength</v>
      </c>
      <c r="C20" s="9" t="str">
        <f>'A.2.4.1  Medicine'!C12</f>
        <v>A.2.4.1.5 Strength</v>
      </c>
      <c r="D20" s="14" t="s">
        <v>1068</v>
      </c>
      <c r="E20" s="9"/>
      <c r="F20" s="63" t="s">
        <v>192</v>
      </c>
      <c r="G20" s="112" t="s">
        <v>1069</v>
      </c>
      <c r="H20" s="64"/>
      <c r="I20" s="14" t="str">
        <f t="shared" si="5"/>
        <v>* group[=].element[+].code = #Medicine.strength</v>
      </c>
      <c r="J20" s="14" t="str">
        <f t="shared" si="6"/>
        <v>* group[=].element[=].display = ##34#A.2.4.1.5 Strength##34#</v>
      </c>
      <c r="K20" s="14" t="str">
        <f t="shared" si="7"/>
        <v>* group[=].element[=].target.code = #MedicationStatement.medication[x]</v>
      </c>
      <c r="L20" s="14" t="str">
        <f t="shared" si="8"/>
        <v>* group[=].element[=].target.display = ##34###34#</v>
      </c>
      <c r="M20" s="14" t="str">
        <f t="shared" si="9"/>
        <v>* group[=].element[=].target.equivalence = #equivalent</v>
      </c>
      <c r="N20" s="14" t="str">
        <f t="shared" si="10"/>
        <v>* group[=].element[=].target.comment = ##34#see group 2##34#</v>
      </c>
      <c r="P20" s="9">
        <v>6</v>
      </c>
      <c r="Q20" s="9">
        <f t="shared" si="11"/>
        <v>0</v>
      </c>
      <c r="R20" s="9">
        <f t="shared" si="13"/>
        <v>6</v>
      </c>
      <c r="S20" s="14" t="str" cm="1">
        <f t="array" ref="S20">INDEX('Medicine-ConceptMap-1'!$I$15:$N$99,Q20+1,R20)</f>
        <v>* group[=].element[=].target.comment = ##34#if only a code is provided##34#</v>
      </c>
    </row>
    <row r="21" spans="1:19" ht="73.75" x14ac:dyDescent="0.75">
      <c r="A21" s="22"/>
      <c r="B21" s="9" t="str">
        <f>'A.2.4.1  Medicine'!B13</f>
        <v>doseForm</v>
      </c>
      <c r="C21" s="9" t="str">
        <f>'A.2.4.1  Medicine'!C13</f>
        <v>A.2.4.1.6 Pharmaceutical dose form</v>
      </c>
      <c r="D21" s="14" t="s">
        <v>1068</v>
      </c>
      <c r="E21" s="9"/>
      <c r="F21" s="63" t="s">
        <v>192</v>
      </c>
      <c r="G21" s="112" t="s">
        <v>1069</v>
      </c>
      <c r="H21" s="64"/>
      <c r="I21" s="14" t="str">
        <f t="shared" si="5"/>
        <v>* group[=].element[+].code = #Medicine.doseForm</v>
      </c>
      <c r="J21" s="14" t="str">
        <f t="shared" si="6"/>
        <v>* group[=].element[=].display = ##34#A.2.4.1.6 Pharmaceutical dose form##34#</v>
      </c>
      <c r="K21" s="14" t="str">
        <f t="shared" si="7"/>
        <v>* group[=].element[=].target.code = #MedicationStatement.medication[x]</v>
      </c>
      <c r="L21" s="14" t="str">
        <f t="shared" si="8"/>
        <v>* group[=].element[=].target.display = ##34###34#</v>
      </c>
      <c r="M21" s="14" t="str">
        <f t="shared" si="9"/>
        <v>* group[=].element[=].target.equivalence = #equivalent</v>
      </c>
      <c r="N21" s="14" t="str">
        <f t="shared" si="10"/>
        <v>* group[=].element[=].target.comment = ##34#see group 2##34#</v>
      </c>
      <c r="P21" s="9">
        <v>7</v>
      </c>
      <c r="Q21" s="9">
        <f t="shared" si="11"/>
        <v>1</v>
      </c>
      <c r="R21" s="9">
        <f t="shared" si="13"/>
        <v>1</v>
      </c>
      <c r="S21" s="14" t="str" cm="1">
        <f t="array" ref="S21">INDEX('Medicine-ConceptMap-1'!$I$15:$N$99,Q21+1,R21)</f>
        <v>* group[=].element[+].code = #Medicine.reason</v>
      </c>
    </row>
    <row r="22" spans="1:19" ht="44.25" x14ac:dyDescent="0.75">
      <c r="B22" s="9" t="str">
        <f>'A.2.4.1  Medicine'!B14</f>
        <v>dosageRegimen</v>
      </c>
      <c r="C22" s="9" t="str">
        <f>'A.2.4.1  Medicine'!C14</f>
        <v>A.2.4.1.7 Dosage Regimen</v>
      </c>
      <c r="D22" s="14" t="s">
        <v>1070</v>
      </c>
      <c r="E22" s="14"/>
      <c r="F22" s="63" t="s">
        <v>193</v>
      </c>
      <c r="G22" s="9"/>
      <c r="I22" s="14" t="str">
        <f t="shared" si="5"/>
        <v>* group[=].element[+].code = #Medicine.dosageRegimen</v>
      </c>
      <c r="J22" s="14" t="str">
        <f t="shared" si="6"/>
        <v>* group[=].element[=].display = ##34#A.2.4.1.7 Dosage Regimen##34#</v>
      </c>
      <c r="K22" s="14" t="str">
        <f t="shared" si="7"/>
        <v>* group[=].element[=].target.code = #MedicationStatement.dosage</v>
      </c>
      <c r="L22" s="14" t="str">
        <f t="shared" si="8"/>
        <v>* group[=].element[=].target.display = ##34###34#</v>
      </c>
      <c r="M22" s="14" t="str">
        <f t="shared" si="9"/>
        <v>* group[=].element[=].target.equivalence = #relatedto</v>
      </c>
      <c r="N22" s="14" t="str">
        <f t="shared" si="10"/>
        <v/>
      </c>
      <c r="P22" s="9">
        <v>8</v>
      </c>
      <c r="Q22" s="9">
        <f t="shared" si="11"/>
        <v>1</v>
      </c>
      <c r="R22" s="9">
        <f t="shared" si="13"/>
        <v>2</v>
      </c>
      <c r="S22" s="14" t="str" cm="1">
        <f t="array" ref="S22">INDEX('Medicine-ConceptMap-1'!$I$15:$N$99,Q22+1,R22)</f>
        <v>* group[=].element[=].display = ##34#A.2.4.1.1 Medication reason##34#</v>
      </c>
    </row>
    <row r="23" spans="1:19" ht="73.75" x14ac:dyDescent="0.75">
      <c r="B23" s="9" t="str">
        <f>'A.2.4.1  Medicine'!B15</f>
        <v>route</v>
      </c>
      <c r="C23" s="9" t="str">
        <f>'A.2.4.1  Medicine'!C15</f>
        <v>A.2.4.1.8 Route of administration</v>
      </c>
      <c r="D23" s="14" t="s">
        <v>1322</v>
      </c>
      <c r="E23" s="14"/>
      <c r="F23" s="63" t="s">
        <v>193</v>
      </c>
      <c r="G23" s="4"/>
      <c r="I23" s="14" t="str">
        <f t="shared" si="5"/>
        <v>* group[=].element[+].code = #Medicine.route</v>
      </c>
      <c r="J23" s="14" t="str">
        <f t="shared" si="6"/>
        <v>* group[=].element[=].display = ##34#A.2.4.1.8 Route of administration##34#</v>
      </c>
      <c r="K23" s="14" t="str">
        <f t="shared" si="7"/>
        <v>* group[=].element[=].target.code = #MedicationStatement.dosage.route</v>
      </c>
      <c r="L23" s="14" t="str">
        <f t="shared" si="8"/>
        <v>* group[=].element[=].target.display = ##34###34#</v>
      </c>
      <c r="M23" s="14" t="str">
        <f t="shared" si="9"/>
        <v>* group[=].element[=].target.equivalence = #relatedto</v>
      </c>
      <c r="N23" s="14" t="str">
        <f t="shared" si="10"/>
        <v/>
      </c>
      <c r="P23" s="9">
        <v>9</v>
      </c>
      <c r="Q23" s="9">
        <f t="shared" si="11"/>
        <v>1</v>
      </c>
      <c r="R23" s="9">
        <f t="shared" si="13"/>
        <v>3</v>
      </c>
      <c r="S23" s="14" t="str" cm="1">
        <f t="array" ref="S23">INDEX('Medicine-ConceptMap-1'!$I$15:$N$99,Q23+1,R23)</f>
        <v>* group[=].element[=].target.code = #MedicationStatement.reasonReference</v>
      </c>
    </row>
    <row r="24" spans="1:19" ht="73.75" x14ac:dyDescent="0.75">
      <c r="B24" s="9" t="str">
        <f>'A.2.4.1  Medicine'!B16</f>
        <v>onsetDate</v>
      </c>
      <c r="C24" s="9" t="str">
        <f>'A.2.4.1  Medicine'!C16</f>
        <v>A.2.4.1.9 Date of onset of treatment</v>
      </c>
      <c r="D24" s="14" t="s">
        <v>1071</v>
      </c>
      <c r="E24" s="14"/>
      <c r="F24" s="63" t="s">
        <v>192</v>
      </c>
      <c r="G24" s="9"/>
      <c r="I24" s="14" t="str">
        <f t="shared" si="5"/>
        <v>* group[=].element[+].code = #Medicine.onsetDate</v>
      </c>
      <c r="J24" s="14" t="str">
        <f t="shared" si="6"/>
        <v>* group[=].element[=].display = ##34#A.2.4.1.9 Date of onset of treatment##34#</v>
      </c>
      <c r="K24" s="14" t="str">
        <f t="shared" si="7"/>
        <v>* group[=].element[=].target.code = #MedicationStatement.effectivePeriod.start</v>
      </c>
      <c r="L24" s="14" t="str">
        <f t="shared" si="8"/>
        <v>* group[=].element[=].target.display = ##34###34#</v>
      </c>
      <c r="M24" s="14" t="str">
        <f t="shared" si="9"/>
        <v>* group[=].element[=].target.equivalence = #equivalent</v>
      </c>
      <c r="N24" s="9" t="str">
        <f t="shared" si="10"/>
        <v/>
      </c>
      <c r="P24" s="9">
        <v>10</v>
      </c>
      <c r="Q24" s="9">
        <f t="shared" si="11"/>
        <v>1</v>
      </c>
      <c r="R24" s="9">
        <f t="shared" si="13"/>
        <v>4</v>
      </c>
      <c r="S24" s="14" t="str" cm="1">
        <f t="array" ref="S24">INDEX('Medicine-ConceptMap-1'!$I$15:$N$99,Q24+1,R24)</f>
        <v>* group[=].element[=].target.display = ##34###34#</v>
      </c>
    </row>
    <row r="25" spans="1:19" x14ac:dyDescent="0.75">
      <c r="P25" s="9">
        <v>11</v>
      </c>
      <c r="Q25" s="9">
        <f t="shared" si="11"/>
        <v>1</v>
      </c>
      <c r="R25" s="9">
        <f t="shared" si="13"/>
        <v>5</v>
      </c>
      <c r="S25" s="14" t="str" cm="1">
        <f t="array" ref="S25">INDEX('Medicine-ConceptMap-1'!$I$15:$N$99,Q25+1,R25)</f>
        <v>* group[=].element[=].target.equivalence = #equivalent</v>
      </c>
    </row>
    <row r="26" spans="1:19" ht="29.5" x14ac:dyDescent="0.75">
      <c r="P26" s="9">
        <v>12</v>
      </c>
      <c r="Q26" s="9">
        <f t="shared" si="11"/>
        <v>1</v>
      </c>
      <c r="R26" s="9">
        <f t="shared" si="13"/>
        <v>6</v>
      </c>
      <c r="S26" s="14" t="str" cm="1">
        <f t="array" ref="S26">INDEX('Medicine-ConceptMap-1'!$I$15:$N$99,Q26+1,R26)</f>
        <v>* group[=].element[=].target.comment = ##34#if provided as a reference to a Condition##34#</v>
      </c>
    </row>
    <row r="27" spans="1:19" x14ac:dyDescent="0.75">
      <c r="P27" s="9">
        <v>13</v>
      </c>
      <c r="Q27" s="9">
        <f t="shared" si="11"/>
        <v>2</v>
      </c>
      <c r="R27" s="9">
        <f t="shared" si="13"/>
        <v>1</v>
      </c>
      <c r="S27" s="14" t="str" cm="1">
        <f t="array" ref="S27">INDEX('Medicine-ConceptMap-1'!$I$15:$N$99,Q27+1,R27)</f>
        <v>* group[=].element[+].code = #Medicine.intendedUse</v>
      </c>
    </row>
    <row r="28" spans="1:19" x14ac:dyDescent="0.75">
      <c r="P28" s="9">
        <v>14</v>
      </c>
      <c r="Q28" s="9">
        <f t="shared" si="11"/>
        <v>2</v>
      </c>
      <c r="R28" s="9">
        <f t="shared" si="13"/>
        <v>2</v>
      </c>
      <c r="S28" s="14" t="str" cm="1">
        <f t="array" ref="S28">INDEX('Medicine-ConceptMap-1'!$I$15:$N$99,Q28+1,R28)</f>
        <v>* group[=].element[=].display = ##34#A.2.4.1.2 Intended use##34#</v>
      </c>
    </row>
    <row r="29" spans="1:19" x14ac:dyDescent="0.75">
      <c r="P29" s="9">
        <v>15</v>
      </c>
      <c r="Q29" s="9">
        <f t="shared" si="11"/>
        <v>2</v>
      </c>
      <c r="R29" s="9">
        <f t="shared" si="13"/>
        <v>3</v>
      </c>
      <c r="S29" s="14" t="str" cm="1">
        <f t="array" ref="S29">INDEX('Medicine-ConceptMap-1'!$I$15:$N$99,Q29+1,R29)</f>
        <v>* group[=].element[=].target.code = #MedicationStatement.category</v>
      </c>
    </row>
    <row r="30" spans="1:19" x14ac:dyDescent="0.75">
      <c r="P30" s="9">
        <v>16</v>
      </c>
      <c r="Q30" s="9">
        <f t="shared" si="11"/>
        <v>2</v>
      </c>
      <c r="R30" s="9">
        <f t="shared" si="13"/>
        <v>4</v>
      </c>
      <c r="S30" s="14" t="str" cm="1">
        <f t="array" ref="S30">INDEX('Medicine-ConceptMap-1'!$I$15:$N$99,Q30+1,R30)</f>
        <v>* group[=].element[=].target.display = ##34###34#</v>
      </c>
    </row>
    <row r="31" spans="1:19" x14ac:dyDescent="0.75">
      <c r="P31" s="9">
        <v>17</v>
      </c>
      <c r="Q31" s="9">
        <f t="shared" si="11"/>
        <v>2</v>
      </c>
      <c r="R31" s="9">
        <f t="shared" si="13"/>
        <v>5</v>
      </c>
      <c r="S31" s="14" t="str" cm="1">
        <f t="array" ref="S31">INDEX('Medicine-ConceptMap-1'!$I$15:$N$99,Q31+1,R31)</f>
        <v>* group[=].element[=].target.equivalence = #relatedto</v>
      </c>
    </row>
    <row r="32" spans="1:19" ht="29.5" x14ac:dyDescent="0.75">
      <c r="P32" s="9">
        <v>18</v>
      </c>
      <c r="Q32" s="9">
        <f t="shared" si="11"/>
        <v>2</v>
      </c>
      <c r="R32" s="9">
        <f t="shared" si="13"/>
        <v>6</v>
      </c>
      <c r="S32" s="14" t="str" cm="1">
        <f t="array" ref="S32">INDEX('Medicine-ConceptMap-1'!$I$15:$N$99,Q32+1,R32)</f>
        <v>* group[=].element[=].target.comment = ##34#this map adopts  the definition given in R5##34#</v>
      </c>
    </row>
    <row r="33" spans="1:20" x14ac:dyDescent="0.75">
      <c r="P33" s="9">
        <v>19</v>
      </c>
      <c r="Q33" s="9">
        <f t="shared" si="11"/>
        <v>3</v>
      </c>
      <c r="R33" s="9">
        <f t="shared" si="13"/>
        <v>1</v>
      </c>
      <c r="S33" s="14" t="str" cm="1">
        <f t="array" ref="S33">INDEX('Medicine-ConceptMap-1'!$I$15:$N$99,Q33+1,R33)</f>
        <v>* group[=].element[+].code = #Medicine.productName</v>
      </c>
    </row>
    <row r="34" spans="1:20" x14ac:dyDescent="0.75">
      <c r="P34" s="9">
        <v>20</v>
      </c>
      <c r="Q34" s="9">
        <f t="shared" si="11"/>
        <v>3</v>
      </c>
      <c r="R34" s="9">
        <f t="shared" si="13"/>
        <v>2</v>
      </c>
      <c r="S34" s="14" t="str" cm="1">
        <f t="array" ref="S34">INDEX('Medicine-ConceptMap-1'!$I$15:$N$99,Q34+1,R34)</f>
        <v>* group[=].element[=].display = ##34#A.2.4.1.3 Brand name##34#</v>
      </c>
    </row>
    <row r="35" spans="1:20" x14ac:dyDescent="0.75">
      <c r="P35" s="9">
        <v>21</v>
      </c>
      <c r="Q35" s="9">
        <f t="shared" si="11"/>
        <v>3</v>
      </c>
      <c r="R35" s="9">
        <f t="shared" si="13"/>
        <v>3</v>
      </c>
      <c r="S35" s="14" t="str" cm="1">
        <f t="array" ref="S35">INDEX('Medicine-ConceptMap-1'!$I$15:$N$99,Q35+1,R35)</f>
        <v>* group[=].element[=].target.code = #MedicationStatement.medication[x]</v>
      </c>
    </row>
    <row r="36" spans="1:20" x14ac:dyDescent="0.75">
      <c r="P36" s="9">
        <v>22</v>
      </c>
      <c r="Q36" s="9">
        <f t="shared" si="11"/>
        <v>3</v>
      </c>
      <c r="R36" s="9">
        <f t="shared" si="13"/>
        <v>4</v>
      </c>
      <c r="S36" s="14" t="str" cm="1">
        <f t="array" ref="S36">INDEX('Medicine-ConceptMap-1'!$I$15:$N$99,Q36+1,R36)</f>
        <v>* group[=].element[=].target.display = ##34###34#</v>
      </c>
    </row>
    <row r="37" spans="1:20" x14ac:dyDescent="0.75">
      <c r="P37" s="9">
        <v>23</v>
      </c>
      <c r="Q37" s="9">
        <f t="shared" si="11"/>
        <v>3</v>
      </c>
      <c r="R37" s="9">
        <f t="shared" si="13"/>
        <v>5</v>
      </c>
      <c r="S37" s="14" t="str" cm="1">
        <f t="array" ref="S37">INDEX('Medicine-ConceptMap-1'!$I$15:$N$99,Q37+1,R37)</f>
        <v>* group[=].element[=].target.equivalence = #equivalent</v>
      </c>
    </row>
    <row r="38" spans="1:20" s="1" customFormat="1" x14ac:dyDescent="0.75">
      <c r="A38"/>
      <c r="B38"/>
      <c r="C38"/>
      <c r="F38"/>
      <c r="G38"/>
      <c r="H38"/>
      <c r="J38"/>
      <c r="K38"/>
      <c r="L38"/>
      <c r="M38"/>
      <c r="N38"/>
      <c r="P38" s="9">
        <v>24</v>
      </c>
      <c r="Q38" s="9">
        <f t="shared" si="11"/>
        <v>3</v>
      </c>
      <c r="R38" s="9">
        <f t="shared" si="13"/>
        <v>6</v>
      </c>
      <c r="S38" s="14" t="str" cm="1">
        <f t="array" ref="S38">INDEX('Medicine-ConceptMap-1'!$I$15:$N$99,Q38+1,R38)</f>
        <v>* group[=].element[=].target.comment = ##34#see group 2##34#</v>
      </c>
      <c r="T38"/>
    </row>
    <row r="39" spans="1:20" s="1" customFormat="1" x14ac:dyDescent="0.75">
      <c r="A39"/>
      <c r="B39"/>
      <c r="C39"/>
      <c r="F39"/>
      <c r="G39"/>
      <c r="H39"/>
      <c r="J39"/>
      <c r="K39"/>
      <c r="L39"/>
      <c r="M39"/>
      <c r="N39"/>
      <c r="P39" s="9">
        <v>25</v>
      </c>
      <c r="Q39" s="9">
        <f t="shared" si="11"/>
        <v>4</v>
      </c>
      <c r="R39" s="9">
        <f t="shared" si="13"/>
        <v>1</v>
      </c>
      <c r="S39" s="14" t="str" cm="1">
        <f t="array" ref="S39">INDEX('Medicine-ConceptMap-1'!$I$15:$N$99,Q39+1,R39)</f>
        <v>* group[=].element[+].code = #Medicine.activeIngredient</v>
      </c>
      <c r="T39"/>
    </row>
    <row r="40" spans="1:20" s="1" customFormat="1" x14ac:dyDescent="0.75">
      <c r="A40"/>
      <c r="B40"/>
      <c r="C40"/>
      <c r="F40"/>
      <c r="G40"/>
      <c r="H40"/>
      <c r="J40"/>
      <c r="K40"/>
      <c r="L40"/>
      <c r="M40"/>
      <c r="N40"/>
      <c r="P40" s="9">
        <v>26</v>
      </c>
      <c r="Q40" s="9">
        <f t="shared" si="11"/>
        <v>4</v>
      </c>
      <c r="R40" s="9">
        <f t="shared" si="13"/>
        <v>2</v>
      </c>
      <c r="S40" s="14" t="str" cm="1">
        <f t="array" ref="S40">INDEX('Medicine-ConceptMap-1'!$I$15:$N$99,Q40+1,R40)</f>
        <v>* group[=].element[=].display = ##34#A.2.4.1.4 Active ingredient lists##34#</v>
      </c>
      <c r="T40"/>
    </row>
    <row r="41" spans="1:20" s="1" customFormat="1" x14ac:dyDescent="0.75">
      <c r="A41"/>
      <c r="B41"/>
      <c r="C41"/>
      <c r="F41"/>
      <c r="G41"/>
      <c r="H41"/>
      <c r="J41"/>
      <c r="K41"/>
      <c r="L41"/>
      <c r="M41"/>
      <c r="N41"/>
      <c r="P41" s="9">
        <v>27</v>
      </c>
      <c r="Q41" s="9">
        <f t="shared" si="11"/>
        <v>4</v>
      </c>
      <c r="R41" s="9">
        <f t="shared" si="13"/>
        <v>3</v>
      </c>
      <c r="S41" s="14" t="str" cm="1">
        <f t="array" ref="S41">INDEX('Medicine-ConceptMap-1'!$I$15:$N$99,Q41+1,R41)</f>
        <v>* group[=].element[=].target.code = #MedicationStatement.medication[x]</v>
      </c>
      <c r="T41"/>
    </row>
    <row r="42" spans="1:20" s="1" customFormat="1" x14ac:dyDescent="0.75">
      <c r="A42"/>
      <c r="B42"/>
      <c r="C42"/>
      <c r="F42"/>
      <c r="G42"/>
      <c r="H42"/>
      <c r="J42"/>
      <c r="K42"/>
      <c r="L42"/>
      <c r="M42"/>
      <c r="N42"/>
      <c r="P42" s="9">
        <v>28</v>
      </c>
      <c r="Q42" s="9">
        <f t="shared" si="11"/>
        <v>4</v>
      </c>
      <c r="R42" s="9">
        <f t="shared" si="13"/>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3"/>
        <v>5</v>
      </c>
      <c r="S43" s="14" t="str" cm="1">
        <f t="array" ref="S43">INDEX('Medicine-ConceptMap-1'!$I$15:$N$99,Q43+1,R43)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3"/>
        <v>6</v>
      </c>
      <c r="S44" s="14" t="str" cm="1">
        <f t="array" ref="S44">INDEX('Medicine-ConceptMap-1'!$I$15:$N$99,Q44+1,R44)</f>
        <v>* group[=].element[=].target.comment = ##34#see group 2##34#</v>
      </c>
      <c r="T44"/>
    </row>
    <row r="45" spans="1:20" s="1" customFormat="1" x14ac:dyDescent="0.75">
      <c r="A45"/>
      <c r="B45"/>
      <c r="C45"/>
      <c r="F45"/>
      <c r="G45"/>
      <c r="H45"/>
      <c r="J45"/>
      <c r="K45"/>
      <c r="L45"/>
      <c r="M45"/>
      <c r="N45"/>
      <c r="P45" s="9">
        <v>31</v>
      </c>
      <c r="Q45" s="9">
        <f t="shared" si="11"/>
        <v>5</v>
      </c>
      <c r="R45" s="9">
        <f t="shared" si="13"/>
        <v>1</v>
      </c>
      <c r="S45" s="14" t="str" cm="1">
        <f t="array" ref="S45">INDEX('Medicine-ConceptMap-1'!$I$15:$N$99,Q45+1,R45)</f>
        <v>* group[=].element[+].code = #Medicine.strength</v>
      </c>
      <c r="T45"/>
    </row>
    <row r="46" spans="1:20" s="1" customFormat="1" x14ac:dyDescent="0.75">
      <c r="A46"/>
      <c r="B46"/>
      <c r="C46"/>
      <c r="F46"/>
      <c r="G46"/>
      <c r="H46"/>
      <c r="J46"/>
      <c r="K46"/>
      <c r="L46"/>
      <c r="M46"/>
      <c r="N46"/>
      <c r="P46" s="9">
        <v>32</v>
      </c>
      <c r="Q46" s="9">
        <f t="shared" si="11"/>
        <v>5</v>
      </c>
      <c r="R46" s="9">
        <f t="shared" si="13"/>
        <v>2</v>
      </c>
      <c r="S46" s="14" t="str" cm="1">
        <f t="array" ref="S46">INDEX('Medicine-ConceptMap-1'!$I$15:$N$99,Q46+1,R46)</f>
        <v>* group[=].element[=].display = ##34#A.2.4.1.5 Strength##34#</v>
      </c>
      <c r="T46"/>
    </row>
    <row r="47" spans="1:20" x14ac:dyDescent="0.75">
      <c r="P47" s="9">
        <v>33</v>
      </c>
      <c r="Q47" s="9">
        <f t="shared" si="11"/>
        <v>5</v>
      </c>
      <c r="R47" s="9">
        <f t="shared" si="13"/>
        <v>3</v>
      </c>
      <c r="S47" s="14" t="str" cm="1">
        <f t="array" ref="S47">INDEX('Medicine-ConceptMap-1'!$I$15:$N$99,Q47+1,R47)</f>
        <v>* group[=].element[=].target.code = #MedicationStatement.medication[x]</v>
      </c>
    </row>
    <row r="48" spans="1:20" x14ac:dyDescent="0.75">
      <c r="P48" s="9">
        <v>34</v>
      </c>
      <c r="Q48" s="9">
        <f>IF(MOD(P48,$Q$8)=0,P48/$Q$8-1,INT(P48/$Q$8))</f>
        <v>5</v>
      </c>
      <c r="R48" s="9">
        <f>IF(MOD(P48,$Q$8)=0,$Q$8,MOD(P48,$Q$8))</f>
        <v>4</v>
      </c>
      <c r="S48" s="14" t="str" cm="1">
        <f t="array" ref="S48">INDEX('Medicine-ConceptMap-1'!$I$15:$N$99,Q48+1,R48)</f>
        <v>* group[=].element[=].target.display = ##34###34#</v>
      </c>
    </row>
    <row r="49" spans="16:19" x14ac:dyDescent="0.75">
      <c r="P49" s="9">
        <v>35</v>
      </c>
      <c r="Q49" s="9">
        <f t="shared" si="11"/>
        <v>5</v>
      </c>
      <c r="R49" s="9">
        <f t="shared" ref="R49:R63" si="14">IF(MOD(P49,$Q$8)=0,$Q$8,MOD(P49,$Q$8))</f>
        <v>5</v>
      </c>
      <c r="S49" s="14" t="str" cm="1">
        <f t="array" ref="S49">INDEX('Medicine-ConceptMap-1'!$I$15:$N$99,Q49+1,R49)</f>
        <v>* group[=].element[=].target.equivalence = #equivalent</v>
      </c>
    </row>
    <row r="50" spans="16:19" x14ac:dyDescent="0.75">
      <c r="P50" s="9">
        <v>36</v>
      </c>
      <c r="Q50" s="9">
        <f t="shared" si="11"/>
        <v>5</v>
      </c>
      <c r="R50" s="9">
        <f t="shared" si="14"/>
        <v>6</v>
      </c>
      <c r="S50" s="14" t="str" cm="1">
        <f t="array" ref="S50">INDEX('Medicine-ConceptMap-1'!$I$15:$N$99,Q50+1,R50)</f>
        <v>* group[=].element[=].target.comment = ##34#see group 2##34#</v>
      </c>
    </row>
    <row r="51" spans="16:19" x14ac:dyDescent="0.75">
      <c r="P51" s="9">
        <v>37</v>
      </c>
      <c r="Q51" s="9">
        <f t="shared" si="11"/>
        <v>6</v>
      </c>
      <c r="R51" s="9">
        <f t="shared" si="14"/>
        <v>1</v>
      </c>
      <c r="S51" s="14" t="str" cm="1">
        <f t="array" ref="S51">INDEX('Medicine-ConceptMap-1'!$I$15:$N$99,Q51+1,R51)</f>
        <v>* group[=].element[+].code = #Medicine.doseForm</v>
      </c>
    </row>
    <row r="52" spans="16:19" x14ac:dyDescent="0.75">
      <c r="P52" s="9">
        <v>38</v>
      </c>
      <c r="Q52" s="9">
        <f t="shared" si="11"/>
        <v>6</v>
      </c>
      <c r="R52" s="9">
        <f t="shared" si="14"/>
        <v>2</v>
      </c>
      <c r="S52" s="14" t="str" cm="1">
        <f t="array" ref="S52">INDEX('Medicine-ConceptMap-1'!$I$15:$N$99,Q52+1,R52)</f>
        <v>* group[=].element[=].display = ##34#A.2.4.1.6 Pharmaceutical dose form##34#</v>
      </c>
    </row>
    <row r="53" spans="16:19" x14ac:dyDescent="0.75">
      <c r="P53" s="9">
        <v>39</v>
      </c>
      <c r="Q53" s="9">
        <f t="shared" si="11"/>
        <v>6</v>
      </c>
      <c r="R53" s="9">
        <f t="shared" si="14"/>
        <v>3</v>
      </c>
      <c r="S53" s="14" t="str" cm="1">
        <f t="array" ref="S53">INDEX('Medicine-ConceptMap-1'!$I$15:$N$99,Q53+1,R53)</f>
        <v>* group[=].element[=].target.code = #MedicationStatement.medication[x]</v>
      </c>
    </row>
    <row r="54" spans="16:19" x14ac:dyDescent="0.75">
      <c r="P54" s="9">
        <v>40</v>
      </c>
      <c r="Q54" s="9">
        <f t="shared" si="11"/>
        <v>6</v>
      </c>
      <c r="R54" s="9">
        <f t="shared" si="14"/>
        <v>4</v>
      </c>
      <c r="S54" s="14" t="str" cm="1">
        <f t="array" ref="S54">INDEX('Medicine-ConceptMap-1'!$I$15:$N$99,Q54+1,R54)</f>
        <v>* group[=].element[=].target.display = ##34###34#</v>
      </c>
    </row>
    <row r="55" spans="16:19" x14ac:dyDescent="0.75">
      <c r="P55" s="9">
        <v>41</v>
      </c>
      <c r="Q55" s="9">
        <f t="shared" si="11"/>
        <v>6</v>
      </c>
      <c r="R55" s="9">
        <f t="shared" si="14"/>
        <v>5</v>
      </c>
      <c r="S55" s="14" t="str" cm="1">
        <f t="array" ref="S55">INDEX('Medicine-ConceptMap-1'!$I$15:$N$99,Q55+1,R55)</f>
        <v>* group[=].element[=].target.equivalence = #equivalent</v>
      </c>
    </row>
    <row r="56" spans="16:19" x14ac:dyDescent="0.75">
      <c r="P56" s="9">
        <v>42</v>
      </c>
      <c r="Q56" s="9">
        <f t="shared" si="11"/>
        <v>6</v>
      </c>
      <c r="R56" s="9">
        <f t="shared" si="14"/>
        <v>6</v>
      </c>
      <c r="S56" s="14" t="str" cm="1">
        <f t="array" ref="S56">INDEX('Medicine-ConceptMap-1'!$I$15:$N$99,Q56+1,R56)</f>
        <v>* group[=].element[=].target.comment = ##34#see group 2##34#</v>
      </c>
    </row>
    <row r="57" spans="16:19" x14ac:dyDescent="0.75">
      <c r="P57" s="9">
        <v>43</v>
      </c>
      <c r="Q57" s="9">
        <f t="shared" si="11"/>
        <v>7</v>
      </c>
      <c r="R57" s="9">
        <f t="shared" si="14"/>
        <v>1</v>
      </c>
      <c r="S57" s="14" t="str" cm="1">
        <f t="array" ref="S57">INDEX('Medicine-ConceptMap-1'!$I$15:$N$99,Q57+1,R57)</f>
        <v>* group[=].element[+].code = #Medicine.dosageRegimen</v>
      </c>
    </row>
    <row r="58" spans="16:19" x14ac:dyDescent="0.75">
      <c r="P58" s="9">
        <v>44</v>
      </c>
      <c r="Q58" s="9">
        <f t="shared" si="11"/>
        <v>7</v>
      </c>
      <c r="R58" s="9">
        <f t="shared" si="14"/>
        <v>2</v>
      </c>
      <c r="S58" s="14" t="str" cm="1">
        <f t="array" ref="S58">INDEX('Medicine-ConceptMap-1'!$I$15:$N$99,Q58+1,R58)</f>
        <v>* group[=].element[=].display = ##34#A.2.4.1.7 Dosage Regimen##34#</v>
      </c>
    </row>
    <row r="59" spans="16:19" x14ac:dyDescent="0.75">
      <c r="P59" s="9">
        <v>45</v>
      </c>
      <c r="Q59" s="9">
        <f t="shared" si="11"/>
        <v>7</v>
      </c>
      <c r="R59" s="9">
        <f t="shared" si="14"/>
        <v>3</v>
      </c>
      <c r="S59" s="14" t="str" cm="1">
        <f t="array" ref="S59">INDEX('Medicine-ConceptMap-1'!$I$15:$N$99,Q59+1,R59)</f>
        <v>* group[=].element[=].target.code = #MedicationStatement.dosage</v>
      </c>
    </row>
    <row r="60" spans="16:19" x14ac:dyDescent="0.75">
      <c r="P60" s="9">
        <v>46</v>
      </c>
      <c r="Q60" s="9">
        <f t="shared" si="11"/>
        <v>7</v>
      </c>
      <c r="R60" s="9">
        <f t="shared" si="14"/>
        <v>4</v>
      </c>
      <c r="S60" s="14" t="str" cm="1">
        <f t="array" ref="S60">INDEX('Medicine-ConceptMap-1'!$I$15:$N$99,Q60+1,R60)</f>
        <v>* group[=].element[=].target.display = ##34###34#</v>
      </c>
    </row>
    <row r="61" spans="16:19" x14ac:dyDescent="0.75">
      <c r="P61" s="9">
        <v>47</v>
      </c>
      <c r="Q61" s="9">
        <f t="shared" si="11"/>
        <v>7</v>
      </c>
      <c r="R61" s="9">
        <f t="shared" si="14"/>
        <v>5</v>
      </c>
      <c r="S61" s="14" t="str" cm="1">
        <f t="array" ref="S61">INDEX('Medicine-ConceptMap-1'!$I$15:$N$99,Q61+1,R61)</f>
        <v>* group[=].element[=].target.equivalence = #relatedto</v>
      </c>
    </row>
    <row r="62" spans="16:19" x14ac:dyDescent="0.75">
      <c r="P62" s="9">
        <v>48</v>
      </c>
      <c r="Q62" s="9">
        <f t="shared" si="11"/>
        <v>7</v>
      </c>
      <c r="R62" s="9">
        <f t="shared" si="14"/>
        <v>6</v>
      </c>
      <c r="S62" s="14" t="str" cm="1">
        <f t="array" ref="S62">INDEX('Medicine-ConceptMap-1'!$I$15:$N$99,Q62+1,R62)</f>
        <v/>
      </c>
    </row>
    <row r="63" spans="16:19" x14ac:dyDescent="0.75">
      <c r="P63" s="9">
        <v>49</v>
      </c>
      <c r="Q63" s="9">
        <f t="shared" si="11"/>
        <v>8</v>
      </c>
      <c r="R63" s="9">
        <f t="shared" si="14"/>
        <v>1</v>
      </c>
      <c r="S63" s="14" t="str" cm="1">
        <f t="array" ref="S63">INDEX('Medicine-ConceptMap-1'!$I$15:$N$99,Q63+1,R63)</f>
        <v>* group[=].element[+].code = #Medicine.route</v>
      </c>
    </row>
    <row r="64" spans="16:19" x14ac:dyDescent="0.75">
      <c r="P64" s="9">
        <v>50</v>
      </c>
      <c r="Q64" s="9">
        <f t="shared" si="11"/>
        <v>8</v>
      </c>
      <c r="R64" s="9">
        <f t="shared" ref="R64:R82" si="15">IF(MOD(P64,$Q$8)=0,$Q$8,MOD(P64,$Q$8))</f>
        <v>2</v>
      </c>
      <c r="S64" s="14" t="str" cm="1">
        <f t="array" ref="S64">INDEX('Medicine-ConceptMap-1'!$I$15:$N$99,Q64+1,R64)</f>
        <v>* group[=].element[=].display = ##34#A.2.4.1.8 Route of administration##34#</v>
      </c>
    </row>
    <row r="65" spans="16:19" x14ac:dyDescent="0.75">
      <c r="P65" s="9">
        <v>51</v>
      </c>
      <c r="Q65" s="9">
        <f t="shared" si="11"/>
        <v>8</v>
      </c>
      <c r="R65" s="9">
        <f t="shared" si="15"/>
        <v>3</v>
      </c>
      <c r="S65" s="14" t="str" cm="1">
        <f t="array" ref="S65">INDEX('Medicine-ConceptMap-1'!$I$15:$N$99,Q65+1,R65)</f>
        <v>* group[=].element[=].target.code = #MedicationStatement.dosage.route</v>
      </c>
    </row>
    <row r="66" spans="16:19" x14ac:dyDescent="0.75">
      <c r="P66" s="9">
        <v>52</v>
      </c>
      <c r="Q66" s="9">
        <f t="shared" si="11"/>
        <v>8</v>
      </c>
      <c r="R66" s="9">
        <f t="shared" si="15"/>
        <v>4</v>
      </c>
      <c r="S66" s="14" t="str" cm="1">
        <f t="array" ref="S66">INDEX('Medicine-ConceptMap-1'!$I$15:$N$99,Q66+1,R66)</f>
        <v>* group[=].element[=].target.display = ##34###34#</v>
      </c>
    </row>
    <row r="67" spans="16:19" x14ac:dyDescent="0.75">
      <c r="P67" s="9">
        <v>53</v>
      </c>
      <c r="Q67" s="9">
        <f t="shared" si="11"/>
        <v>8</v>
      </c>
      <c r="R67" s="9">
        <f t="shared" si="15"/>
        <v>5</v>
      </c>
      <c r="S67" s="14" t="str" cm="1">
        <f t="array" ref="S67">INDEX('Medicine-ConceptMap-1'!$I$15:$N$99,Q67+1,R67)</f>
        <v>* group[=].element[=].target.equivalence = #relatedto</v>
      </c>
    </row>
    <row r="68" spans="16:19" x14ac:dyDescent="0.75">
      <c r="P68" s="9">
        <v>54</v>
      </c>
      <c r="Q68" s="9">
        <f t="shared" si="11"/>
        <v>8</v>
      </c>
      <c r="R68" s="9">
        <f t="shared" si="15"/>
        <v>6</v>
      </c>
      <c r="S68" s="14" t="str" cm="1">
        <f t="array" ref="S68">INDEX('Medicine-ConceptMap-1'!$I$15:$N$99,Q68+1,R68)</f>
        <v/>
      </c>
    </row>
    <row r="69" spans="16:19" x14ac:dyDescent="0.75">
      <c r="P69" s="9">
        <v>55</v>
      </c>
      <c r="Q69" s="9">
        <f t="shared" si="11"/>
        <v>9</v>
      </c>
      <c r="R69" s="9">
        <f t="shared" si="15"/>
        <v>1</v>
      </c>
      <c r="S69" s="14" t="str" cm="1">
        <f t="array" ref="S69">INDEX('Medicine-ConceptMap-1'!$I$15:$N$99,Q69+1,R69)</f>
        <v>* group[=].element[+].code = #Medicine.onsetDate</v>
      </c>
    </row>
    <row r="70" spans="16:19" x14ac:dyDescent="0.75">
      <c r="P70" s="9">
        <v>56</v>
      </c>
      <c r="Q70" s="9">
        <f t="shared" si="11"/>
        <v>9</v>
      </c>
      <c r="R70" s="9">
        <f t="shared" si="15"/>
        <v>2</v>
      </c>
      <c r="S70" s="14" t="str" cm="1">
        <f t="array" ref="S70">INDEX('Medicine-ConceptMap-1'!$I$15:$N$99,Q70+1,R70)</f>
        <v>* group[=].element[=].display = ##34#A.2.4.1.9 Date of onset of treatment##34#</v>
      </c>
    </row>
    <row r="71" spans="16:19" x14ac:dyDescent="0.75">
      <c r="P71" s="9">
        <v>57</v>
      </c>
      <c r="Q71" s="9">
        <f t="shared" si="11"/>
        <v>9</v>
      </c>
      <c r="R71" s="9">
        <f t="shared" si="15"/>
        <v>3</v>
      </c>
      <c r="S71" s="14" t="str" cm="1">
        <f t="array" ref="S71">INDEX('Medicine-ConceptMap-1'!$I$15:$N$99,Q71+1,R71)</f>
        <v>* group[=].element[=].target.code = #MedicationStatement.effectivePeriod.start</v>
      </c>
    </row>
    <row r="72" spans="16:19" x14ac:dyDescent="0.75">
      <c r="P72" s="9">
        <v>58</v>
      </c>
      <c r="Q72" s="9">
        <f t="shared" si="11"/>
        <v>9</v>
      </c>
      <c r="R72" s="9">
        <f t="shared" si="15"/>
        <v>4</v>
      </c>
      <c r="S72" s="14" t="str" cm="1">
        <f t="array" ref="S72">INDEX('Medicine-ConceptMap-1'!$I$15:$N$99,Q72+1,R72)</f>
        <v>* group[=].element[=].target.display = ##34###34#</v>
      </c>
    </row>
    <row r="73" spans="16:19" x14ac:dyDescent="0.75">
      <c r="P73" s="9">
        <v>59</v>
      </c>
      <c r="Q73" s="9">
        <f t="shared" si="11"/>
        <v>9</v>
      </c>
      <c r="R73" s="9">
        <f t="shared" si="15"/>
        <v>5</v>
      </c>
      <c r="S73" s="14" t="str" cm="1">
        <f t="array" ref="S73">INDEX('Medicine-ConceptMap-1'!$I$15:$N$99,Q73+1,R73)</f>
        <v>* group[=].element[=].target.equivalence = #equivalent</v>
      </c>
    </row>
    <row r="74" spans="16:19" x14ac:dyDescent="0.75">
      <c r="P74" s="9">
        <v>60</v>
      </c>
      <c r="Q74" s="9">
        <f t="shared" si="11"/>
        <v>9</v>
      </c>
      <c r="R74" s="9">
        <f t="shared" si="15"/>
        <v>6</v>
      </c>
      <c r="S74" s="14" t="str" cm="1">
        <f t="array" ref="S74">INDEX('Medicine-ConceptMap-1'!$I$15:$N$99,Q74+1,R74)</f>
        <v/>
      </c>
    </row>
    <row r="75" spans="16:19" x14ac:dyDescent="0.75">
      <c r="P75" s="9">
        <v>61</v>
      </c>
      <c r="Q75" s="9">
        <f t="shared" si="11"/>
        <v>10</v>
      </c>
      <c r="R75" s="9">
        <f t="shared" si="15"/>
        <v>1</v>
      </c>
      <c r="S75" s="14" cm="1">
        <f t="array" ref="S75">INDEX('Medicine-ConceptMap-1'!$I$15:$N$99,Q75+1,R75)</f>
        <v>0</v>
      </c>
    </row>
    <row r="76" spans="16:19" x14ac:dyDescent="0.75">
      <c r="P76" s="9">
        <v>62</v>
      </c>
      <c r="Q76" s="9">
        <f t="shared" si="11"/>
        <v>10</v>
      </c>
      <c r="R76" s="9">
        <f t="shared" si="15"/>
        <v>2</v>
      </c>
      <c r="S76" s="14" cm="1">
        <f t="array" ref="S76">INDEX('Medicine-ConceptMap-1'!$I$15:$N$99,Q76+1,R76)</f>
        <v>0</v>
      </c>
    </row>
    <row r="77" spans="16:19" x14ac:dyDescent="0.75">
      <c r="P77" s="9">
        <v>63</v>
      </c>
      <c r="Q77" s="9">
        <f t="shared" si="11"/>
        <v>10</v>
      </c>
      <c r="R77" s="9">
        <f t="shared" si="15"/>
        <v>3</v>
      </c>
      <c r="S77" s="14" cm="1">
        <f t="array" ref="S77">INDEX('Medicine-ConceptMap-1'!$I$15:$N$99,Q77+1,R77)</f>
        <v>0</v>
      </c>
    </row>
    <row r="78" spans="16:19" x14ac:dyDescent="0.75">
      <c r="P78" s="9">
        <v>64</v>
      </c>
      <c r="Q78" s="9">
        <f t="shared" si="11"/>
        <v>10</v>
      </c>
      <c r="R78" s="9">
        <f t="shared" si="15"/>
        <v>4</v>
      </c>
      <c r="S78" s="14" cm="1">
        <f t="array" ref="S78">INDEX('Medicine-ConceptMap-1'!$I$15:$N$99,Q78+1,R78)</f>
        <v>0</v>
      </c>
    </row>
    <row r="79" spans="16:19" x14ac:dyDescent="0.75">
      <c r="P79" s="9">
        <v>65</v>
      </c>
      <c r="Q79" s="9">
        <f t="shared" si="11"/>
        <v>10</v>
      </c>
      <c r="R79" s="9">
        <f t="shared" si="15"/>
        <v>5</v>
      </c>
      <c r="S79" s="14" cm="1">
        <f t="array" ref="S79">INDEX('Medicine-ConceptMap-1'!$I$15:$N$99,Q79+1,R79)</f>
        <v>0</v>
      </c>
    </row>
    <row r="80" spans="16:19" x14ac:dyDescent="0.75">
      <c r="P80" s="9">
        <v>66</v>
      </c>
      <c r="Q80" s="9">
        <f t="shared" si="11"/>
        <v>10</v>
      </c>
      <c r="R80" s="9">
        <f t="shared" si="15"/>
        <v>6</v>
      </c>
      <c r="S80" s="14" cm="1">
        <f t="array" ref="S80">INDEX('Medicine-ConceptMap-1'!$I$15:$N$99,Q80+1,R80)</f>
        <v>0</v>
      </c>
    </row>
    <row r="81" spans="16:19" x14ac:dyDescent="0.75">
      <c r="P81" s="9">
        <v>67</v>
      </c>
      <c r="Q81" s="9">
        <f t="shared" si="11"/>
        <v>11</v>
      </c>
      <c r="R81" s="9">
        <f t="shared" si="15"/>
        <v>1</v>
      </c>
      <c r="S81" s="14" cm="1">
        <f t="array" ref="S81">INDEX('Medicine-ConceptMap-1'!$I$15:$N$99,Q81+1,R81)</f>
        <v>0</v>
      </c>
    </row>
    <row r="82" spans="16:19" x14ac:dyDescent="0.75">
      <c r="P82" s="9">
        <v>68</v>
      </c>
      <c r="Q82" s="9">
        <f t="shared" si="11"/>
        <v>11</v>
      </c>
      <c r="R82" s="9">
        <f t="shared" si="15"/>
        <v>2</v>
      </c>
      <c r="S82" s="14" cm="1">
        <f t="array" ref="S82">INDEX('Medicine-ConceptMap-1'!$I$15:$N$99,Q82+1,R82)</f>
        <v>0</v>
      </c>
    </row>
  </sheetData>
  <mergeCells count="4">
    <mergeCell ref="E3:G3"/>
    <mergeCell ref="E4:G4"/>
    <mergeCell ref="E6:G6"/>
    <mergeCell ref="E7:G7"/>
  </mergeCells>
  <phoneticPr fontId="15" type="noConversion"/>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CBC9-9078-44D7-A681-C582046F5C36}">
  <sheetPr codeName="Foglio65">
    <tabColor theme="0" tint="-0.499984740745262"/>
  </sheetPr>
  <dimension ref="A2:T76"/>
  <sheetViews>
    <sheetView topLeftCell="A9" zoomScale="80" zoomScaleNormal="80" workbookViewId="0">
      <selection activeCell="P15" sqref="P15:S6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1058</v>
      </c>
      <c r="D3" s="61" t="s">
        <v>208</v>
      </c>
      <c r="E3" s="165" t="str">
        <f>"http://hl7.eu/fhir/ig/xpandh/ps/StructureDefinition/"&amp;'A.2.4.1  Medicine'!B5</f>
        <v>http://hl7.eu/fhir/ig/xpandh/ps/StructureDefinition/Medicine</v>
      </c>
      <c r="F3" s="164"/>
      <c r="G3" s="164"/>
    </row>
    <row r="4" spans="1:19" x14ac:dyDescent="0.75">
      <c r="B4" s="61" t="s">
        <v>19</v>
      </c>
      <c r="C4" s="47" t="s">
        <v>1162</v>
      </c>
      <c r="D4" s="61" t="s">
        <v>209</v>
      </c>
      <c r="E4" s="165" t="s">
        <v>1310</v>
      </c>
      <c r="F4" s="164"/>
      <c r="G4" s="164"/>
    </row>
    <row r="5" spans="1:19" x14ac:dyDescent="0.75">
      <c r="B5" s="61" t="s">
        <v>13</v>
      </c>
      <c r="C5" s="10" t="s">
        <v>1059</v>
      </c>
      <c r="D5" s="61"/>
      <c r="E5" s="10"/>
    </row>
    <row r="6" spans="1:19" x14ac:dyDescent="0.75">
      <c r="B6" s="61" t="s">
        <v>35</v>
      </c>
      <c r="C6" s="60"/>
      <c r="D6" s="61" t="s">
        <v>206</v>
      </c>
      <c r="E6" s="165" t="str">
        <f>E3</f>
        <v>http://hl7.eu/fhir/ig/xpandh/ps/StructureDefinition/Medicine</v>
      </c>
      <c r="F6" s="164"/>
      <c r="G6" s="164"/>
    </row>
    <row r="7" spans="1:19" x14ac:dyDescent="0.75">
      <c r="B7" s="61" t="s">
        <v>18</v>
      </c>
      <c r="C7" s="68"/>
      <c r="D7" s="61" t="s">
        <v>207</v>
      </c>
      <c r="E7" s="165" t="str">
        <f>E4</f>
        <v>http://hl7.eu/fhir/ig/xpandh/ps/StructureDefinition/Medication-ps-xpandh</v>
      </c>
      <c r="F7" s="164"/>
      <c r="G7" s="164"/>
    </row>
    <row r="8" spans="1:19" ht="44.25" x14ac:dyDescent="0.75">
      <c r="B8" s="61" t="s">
        <v>204</v>
      </c>
      <c r="C8" s="10" t="s">
        <v>1060</v>
      </c>
      <c r="D8" s="61"/>
      <c r="E8"/>
      <c r="I8" s="14" t="s">
        <v>181</v>
      </c>
      <c r="J8" s="14" t="s">
        <v>182</v>
      </c>
      <c r="K8" s="14" t="s">
        <v>183</v>
      </c>
      <c r="L8" s="14" t="s">
        <v>184</v>
      </c>
      <c r="M8" s="9" t="s">
        <v>185</v>
      </c>
      <c r="P8" s="57" t="s">
        <v>186</v>
      </c>
      <c r="Q8" s="57">
        <v>6</v>
      </c>
    </row>
    <row r="9" spans="1:19" ht="29.5" x14ac:dyDescent="0.75">
      <c r="B9" s="61" t="s">
        <v>205</v>
      </c>
      <c r="C9" s="1" t="s">
        <v>1061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1073</v>
      </c>
      <c r="E14" s="110"/>
      <c r="F14" s="3"/>
      <c r="I14" s="14"/>
      <c r="J14" s="9"/>
      <c r="K14" s="9"/>
      <c r="L14" s="9"/>
      <c r="M14" s="59"/>
      <c r="N14" s="62"/>
    </row>
    <row r="15" spans="1:19" ht="44.25" customHeight="1" x14ac:dyDescent="0.75">
      <c r="A15" s="22"/>
      <c r="B15" s="9" t="str">
        <f>'A.2.4.1  Medicine'!B10</f>
        <v>productName</v>
      </c>
      <c r="C15" s="9" t="str">
        <f>'A.2.4.1  Medicine'!C10</f>
        <v>A.2.4.1.3 Brand name</v>
      </c>
      <c r="D15" s="14" t="s">
        <v>247</v>
      </c>
      <c r="E15" s="14"/>
      <c r="F15" s="63" t="s">
        <v>193</v>
      </c>
      <c r="G15" s="4"/>
      <c r="H15" s="64"/>
      <c r="I15" s="14" t="str">
        <f t="shared" ref="I15" si="0">"* group[=].element[+].code = #"&amp;$B$14&amp;"."&amp;B15</f>
        <v>* group[=].element[+].code = #Medicine.productName</v>
      </c>
      <c r="J15" s="14" t="str">
        <f t="shared" ref="J15" si="1">"* group[=].element[=].display = ##34#"&amp;C15&amp;"##34#"</f>
        <v>* group[=].element[=].display = ##34#A.2.4.1.3 Brand name##34#</v>
      </c>
      <c r="K15" s="14" t="str">
        <f t="shared" ref="K15" si="2">IF(F15="unmatched","//-- unmatched","* group[=].element[=].target.code = #"&amp;$D$14&amp;"."&amp;D15)</f>
        <v>* group[=].element[=].target.code = #Medication.code.text</v>
      </c>
      <c r="L15" s="14" t="str">
        <f t="shared" ref="L15" si="3">IF(F15="unmatched","//-- unmatched","* group[=].element[=].target.display = ##34#"&amp;E15&amp;"##34#")</f>
        <v>* group[=].element[=].target.display = ##34###34#</v>
      </c>
      <c r="M15" s="14" t="str">
        <f t="shared" ref="M15" si="4">"* group[=].element[=].target.equivalence = #"&amp;F15</f>
        <v>* group[=].element[=].target.equivalence = #relatedto</v>
      </c>
      <c r="N15" s="14" t="str">
        <f t="shared" ref="N15" si="5">IF(G15&lt;&gt;"",CONCATENATE("* group[=].element[=].target.comment = ","##34#",G15,"##34#"),"")</f>
        <v/>
      </c>
      <c r="P15" s="9">
        <v>1</v>
      </c>
      <c r="Q15" s="9">
        <f t="shared" ref="Q15" si="6">IF(MOD(P15,$Q$8)=0,P15/$Q$8-1,INT(P15/$Q$8))</f>
        <v>0</v>
      </c>
      <c r="R15" s="9">
        <f t="shared" ref="R15" si="7">IF(MOD(P15,$Q$8)=0,$Q$8,MOD(P15,$Q$8))</f>
        <v>1</v>
      </c>
      <c r="S15" s="14" t="str" cm="1">
        <f t="array" ref="S15">INDEX('Medicine-ConceptMap-2'!$I$15:$N$93,Q15+1,R15)</f>
        <v>* group[=].element[+].code = #Medicine.productName</v>
      </c>
    </row>
    <row r="16" spans="1:19" ht="73.75" x14ac:dyDescent="0.75">
      <c r="A16" s="22"/>
      <c r="B16" s="9" t="str">
        <f>'A.2.4.1  Medicine'!B11</f>
        <v>activeIngredient</v>
      </c>
      <c r="C16" s="9" t="str">
        <f>'A.2.4.1  Medicine'!C11</f>
        <v>A.2.4.1.4 Active ingredient lists</v>
      </c>
      <c r="D16" s="14" t="s">
        <v>1074</v>
      </c>
      <c r="E16" s="14"/>
      <c r="F16" s="63" t="s">
        <v>192</v>
      </c>
      <c r="G16" s="112" t="s">
        <v>1075</v>
      </c>
      <c r="H16" s="64"/>
      <c r="I16" s="14" t="str">
        <f t="shared" ref="I16:I18" si="8">"* group[=].element[+].code = #"&amp;$B$14&amp;"."&amp;B16</f>
        <v>* group[=].element[+].code = #Medicine.activeIngredient</v>
      </c>
      <c r="J16" s="14" t="str">
        <f t="shared" ref="J16:J18" si="9">"* group[=].element[=].display = ##34#"&amp;C16&amp;"##34#"</f>
        <v>* group[=].element[=].display = ##34#A.2.4.1.4 Active ingredient lists##34#</v>
      </c>
      <c r="K16" s="14" t="str">
        <f t="shared" ref="K16:K18" si="10">IF(F16="unmatched","//-- unmatched","* group[=].element[=].target.code = #"&amp;$D$14&amp;"."&amp;D16)</f>
        <v>* group[=].element[=].target.code = #Medication.ingredient.itemCodeableConcept</v>
      </c>
      <c r="L16" s="14" t="str">
        <f t="shared" ref="L16:L18" si="11">IF(F16="unmatched","//-- unmatched","* group[=].element[=].target.display = ##34#"&amp;E16&amp;"##34#")</f>
        <v>* group[=].element[=].target.display = ##34###34#</v>
      </c>
      <c r="M16" s="14" t="str">
        <f t="shared" ref="M16:M18" si="12">"* group[=].element[=].target.equivalence = #"&amp;F16</f>
        <v>* group[=].element[=].target.equivalence = #equivalent</v>
      </c>
      <c r="N16" s="14" t="str">
        <f t="shared" ref="N16:N18" si="13">IF(G16&lt;&gt;"",CONCATENATE("* group[=].element[=].target.comment = ","##34#",G16,"##34#"),"")</f>
        <v>* group[=].element[=].target.comment = ##34#where ingredient.isActive = true##34#</v>
      </c>
      <c r="P16" s="9">
        <v>2</v>
      </c>
      <c r="Q16" s="9">
        <f t="shared" ref="Q16:Q67" si="14">IF(MOD(P16,$Q$8)=0,P16/$Q$8-1,INT(P16/$Q$8))</f>
        <v>0</v>
      </c>
      <c r="R16" s="9">
        <f t="shared" ref="R16:R67" si="15">IF(MOD(P16,$Q$8)=0,$Q$8,MOD(P16,$Q$8))</f>
        <v>2</v>
      </c>
      <c r="S16" s="14" t="str" cm="1">
        <f t="array" ref="S16">INDEX('Medicine-ConceptMap-2'!$I$15:$N$93,Q16+1,R16)</f>
        <v>* group[=].element[=].display = ##34#A.2.4.1.3 Brand name##34#</v>
      </c>
    </row>
    <row r="17" spans="1:20" ht="59" x14ac:dyDescent="0.75">
      <c r="A17" s="22"/>
      <c r="B17" s="9" t="str">
        <f>'A.2.4.1  Medicine'!B12</f>
        <v>strength</v>
      </c>
      <c r="C17" s="9" t="str">
        <f>'A.2.4.1  Medicine'!C12</f>
        <v>A.2.4.1.5 Strength</v>
      </c>
      <c r="D17" s="14" t="s">
        <v>1076</v>
      </c>
      <c r="E17" s="9"/>
      <c r="F17" s="63" t="s">
        <v>192</v>
      </c>
      <c r="G17" s="112" t="s">
        <v>1075</v>
      </c>
      <c r="H17" s="64"/>
      <c r="I17" s="14" t="str">
        <f t="shared" si="8"/>
        <v>* group[=].element[+].code = #Medicine.strength</v>
      </c>
      <c r="J17" s="14" t="str">
        <f t="shared" si="9"/>
        <v>* group[=].element[=].display = ##34#A.2.4.1.5 Strength##34#</v>
      </c>
      <c r="K17" s="14" t="str">
        <f t="shared" si="10"/>
        <v>* group[=].element[=].target.code = #Medication.ingredient.strength</v>
      </c>
      <c r="L17" s="14" t="str">
        <f t="shared" si="11"/>
        <v>* group[=].element[=].target.display = ##34###34#</v>
      </c>
      <c r="M17" s="14" t="str">
        <f t="shared" si="12"/>
        <v>* group[=].element[=].target.equivalence = #equivalent</v>
      </c>
      <c r="N17" s="14" t="str">
        <f t="shared" si="13"/>
        <v>* group[=].element[=].target.comment = ##34#where ingredient.isActive = true##34#</v>
      </c>
      <c r="P17" s="9">
        <v>3</v>
      </c>
      <c r="Q17" s="9">
        <f t="shared" si="14"/>
        <v>0</v>
      </c>
      <c r="R17" s="9">
        <f t="shared" si="15"/>
        <v>3</v>
      </c>
      <c r="S17" s="14" t="str" cm="1">
        <f t="array" ref="S17">INDEX('Medicine-ConceptMap-2'!$I$15:$N$93,Q17+1,R17)</f>
        <v>* group[=].element[=].target.code = #Medication.code.text</v>
      </c>
    </row>
    <row r="18" spans="1:20" ht="44.25" x14ac:dyDescent="0.75">
      <c r="A18" s="22"/>
      <c r="B18" s="9" t="str">
        <f>'A.2.4.1  Medicine'!B13</f>
        <v>doseForm</v>
      </c>
      <c r="C18" s="9" t="str">
        <f>'A.2.4.1  Medicine'!C13</f>
        <v>A.2.4.1.6 Pharmaceutical dose form</v>
      </c>
      <c r="D18" s="14" t="s">
        <v>1077</v>
      </c>
      <c r="E18" s="9"/>
      <c r="F18" s="63" t="s">
        <v>192</v>
      </c>
      <c r="G18" s="112"/>
      <c r="H18" s="64"/>
      <c r="I18" s="14" t="str">
        <f t="shared" si="8"/>
        <v>* group[=].element[+].code = #Medicine.doseForm</v>
      </c>
      <c r="J18" s="14" t="str">
        <f t="shared" si="9"/>
        <v>* group[=].element[=].display = ##34#A.2.4.1.6 Pharmaceutical dose form##34#</v>
      </c>
      <c r="K18" s="14" t="str">
        <f t="shared" si="10"/>
        <v>* group[=].element[=].target.code = #Medication.form</v>
      </c>
      <c r="L18" s="14" t="str">
        <f t="shared" si="11"/>
        <v>* group[=].element[=].target.display = ##34###34#</v>
      </c>
      <c r="M18" s="14" t="str">
        <f t="shared" si="12"/>
        <v>* group[=].element[=].target.equivalence = #equivalent</v>
      </c>
      <c r="N18" s="14" t="str">
        <f t="shared" si="13"/>
        <v/>
      </c>
      <c r="P18" s="9">
        <v>4</v>
      </c>
      <c r="Q18" s="9">
        <f t="shared" si="14"/>
        <v>0</v>
      </c>
      <c r="R18" s="9">
        <f t="shared" si="15"/>
        <v>4</v>
      </c>
      <c r="S18" s="14" t="str" cm="1">
        <f t="array" ref="S18">INDEX('Medicine-ConceptMap-2'!$I$15:$N$93,Q18+1,R18)</f>
        <v>* group[=].element[=].target.display = ##34###34#</v>
      </c>
    </row>
    <row r="19" spans="1:20" x14ac:dyDescent="0.75">
      <c r="I19" s="14"/>
      <c r="J19" s="14"/>
      <c r="K19" s="14"/>
      <c r="L19" s="14"/>
      <c r="M19" s="14"/>
      <c r="N19" s="14"/>
      <c r="P19" s="9">
        <v>5</v>
      </c>
      <c r="Q19" s="9">
        <f t="shared" si="14"/>
        <v>0</v>
      </c>
      <c r="R19" s="9">
        <f t="shared" si="15"/>
        <v>5</v>
      </c>
      <c r="S19" s="14" t="str" cm="1">
        <f t="array" ref="S19">INDEX('Medicine-ConceptMap-2'!$I$15:$N$93,Q19+1,R19)</f>
        <v>* group[=].element[=].target.equivalence = #relatedto</v>
      </c>
    </row>
    <row r="20" spans="1:20" x14ac:dyDescent="0.75">
      <c r="I20" s="14"/>
      <c r="J20" s="14"/>
      <c r="K20" s="14"/>
      <c r="L20" s="14"/>
      <c r="M20" s="14"/>
      <c r="N20" s="14"/>
      <c r="P20" s="9">
        <v>6</v>
      </c>
      <c r="Q20" s="9">
        <f t="shared" si="14"/>
        <v>0</v>
      </c>
      <c r="R20" s="9">
        <f t="shared" si="15"/>
        <v>6</v>
      </c>
      <c r="S20" s="14" t="str" cm="1">
        <f t="array" ref="S20">INDEX('Medicine-ConceptMap-2'!$I$15:$N$93,Q20+1,R20)</f>
        <v/>
      </c>
    </row>
    <row r="21" spans="1:20" x14ac:dyDescent="0.75">
      <c r="I21" s="14"/>
      <c r="J21" s="14"/>
      <c r="K21" s="14"/>
      <c r="L21" s="14"/>
      <c r="M21" s="14"/>
      <c r="N21" s="14"/>
      <c r="P21" s="9">
        <v>7</v>
      </c>
      <c r="Q21" s="9">
        <f t="shared" si="14"/>
        <v>1</v>
      </c>
      <c r="R21" s="9">
        <f t="shared" si="15"/>
        <v>1</v>
      </c>
      <c r="S21" s="14" t="str" cm="1">
        <f t="array" ref="S21">INDEX('Medicine-ConceptMap-2'!$I$15:$N$93,Q21+1,R21)</f>
        <v>* group[=].element[+].code = #Medicine.activeIngredient</v>
      </c>
    </row>
    <row r="22" spans="1:20" x14ac:dyDescent="0.75">
      <c r="I22" s="14"/>
      <c r="J22" s="14"/>
      <c r="K22" s="14"/>
      <c r="L22" s="14"/>
      <c r="M22" s="14"/>
      <c r="N22" s="14"/>
      <c r="P22" s="9">
        <v>8</v>
      </c>
      <c r="Q22" s="9">
        <f t="shared" si="14"/>
        <v>1</v>
      </c>
      <c r="R22" s="9">
        <f t="shared" si="15"/>
        <v>2</v>
      </c>
      <c r="S22" s="14" t="str" cm="1">
        <f t="array" ref="S22">INDEX('Medicine-ConceptMap-2'!$I$15:$N$93,Q22+1,R22)</f>
        <v>* group[=].element[=].display = ##34#A.2.4.1.4 Active ingredient lists##34#</v>
      </c>
    </row>
    <row r="23" spans="1:20" x14ac:dyDescent="0.75">
      <c r="I23" s="14"/>
      <c r="J23" s="14"/>
      <c r="K23" s="14"/>
      <c r="L23" s="14"/>
      <c r="M23" s="14"/>
      <c r="N23" s="14"/>
      <c r="P23" s="9">
        <v>9</v>
      </c>
      <c r="Q23" s="9">
        <f t="shared" si="14"/>
        <v>1</v>
      </c>
      <c r="R23" s="9">
        <f t="shared" si="15"/>
        <v>3</v>
      </c>
      <c r="S23" s="14" t="str" cm="1">
        <f t="array" ref="S23">INDEX('Medicine-ConceptMap-2'!$I$15:$N$93,Q23+1,R23)</f>
        <v>* group[=].element[=].target.code = #Medication.ingredient.itemCodeableConcept</v>
      </c>
    </row>
    <row r="24" spans="1:20" x14ac:dyDescent="0.75">
      <c r="I24" s="14"/>
      <c r="J24" s="14"/>
      <c r="K24" s="14"/>
      <c r="L24" s="14"/>
      <c r="M24" s="14"/>
      <c r="N24" s="14"/>
      <c r="P24" s="9">
        <v>10</v>
      </c>
      <c r="Q24" s="9">
        <f t="shared" si="14"/>
        <v>1</v>
      </c>
      <c r="R24" s="9">
        <f t="shared" si="15"/>
        <v>4</v>
      </c>
      <c r="S24" s="14" t="str" cm="1">
        <f t="array" ref="S24">INDEX('Medicine-ConceptMap-2'!$I$15:$N$93,Q24+1,R24)</f>
        <v>* group[=].element[=].target.display = ##34###34#</v>
      </c>
    </row>
    <row r="25" spans="1:20" x14ac:dyDescent="0.75">
      <c r="I25" s="14"/>
      <c r="J25" s="14"/>
      <c r="K25" s="14"/>
      <c r="L25" s="14"/>
      <c r="M25" s="14"/>
      <c r="N25" s="14"/>
      <c r="P25" s="9">
        <v>11</v>
      </c>
      <c r="Q25" s="9">
        <f t="shared" si="14"/>
        <v>1</v>
      </c>
      <c r="R25" s="9">
        <f t="shared" si="15"/>
        <v>5</v>
      </c>
      <c r="S25" s="14" t="str" cm="1">
        <f t="array" ref="S25">INDEX('Medicine-ConceptMap-2'!$I$15:$N$93,Q25+1,R25)</f>
        <v>* group[=].element[=].target.equivalence = #equivalent</v>
      </c>
    </row>
    <row r="26" spans="1:20" x14ac:dyDescent="0.75">
      <c r="I26" s="14"/>
      <c r="J26" s="14"/>
      <c r="K26" s="14"/>
      <c r="L26" s="14"/>
      <c r="M26" s="14"/>
      <c r="N26" s="14"/>
      <c r="P26" s="9">
        <v>12</v>
      </c>
      <c r="Q26" s="9">
        <f t="shared" si="14"/>
        <v>1</v>
      </c>
      <c r="R26" s="9">
        <f t="shared" si="15"/>
        <v>6</v>
      </c>
      <c r="S26" s="14" t="str" cm="1">
        <f t="array" ref="S26">INDEX('Medicine-ConceptMap-2'!$I$15:$N$93,Q26+1,R26)</f>
        <v>* group[=].element[=].target.comment = ##34#where ingredient.isActive = true##34#</v>
      </c>
    </row>
    <row r="27" spans="1:20" x14ac:dyDescent="0.75">
      <c r="P27" s="9">
        <v>13</v>
      </c>
      <c r="Q27" s="9">
        <f t="shared" si="14"/>
        <v>2</v>
      </c>
      <c r="R27" s="9">
        <f t="shared" si="15"/>
        <v>1</v>
      </c>
      <c r="S27" s="14" t="str" cm="1">
        <f t="array" ref="S27">INDEX('Medicine-ConceptMap-2'!$I$15:$N$93,Q27+1,R27)</f>
        <v>* group[=].element[+].code = #Medicine.strength</v>
      </c>
    </row>
    <row r="28" spans="1:20" x14ac:dyDescent="0.75">
      <c r="P28" s="9">
        <v>14</v>
      </c>
      <c r="Q28" s="9">
        <f t="shared" si="14"/>
        <v>2</v>
      </c>
      <c r="R28" s="9">
        <f t="shared" si="15"/>
        <v>2</v>
      </c>
      <c r="S28" s="14" t="str" cm="1">
        <f t="array" ref="S28">INDEX('Medicine-ConceptMap-2'!$I$15:$N$93,Q28+1,R28)</f>
        <v>* group[=].element[=].display = ##34#A.2.4.1.5 Strength##34#</v>
      </c>
    </row>
    <row r="29" spans="1:20" x14ac:dyDescent="0.75">
      <c r="P29" s="9">
        <v>15</v>
      </c>
      <c r="Q29" s="9">
        <f t="shared" si="14"/>
        <v>2</v>
      </c>
      <c r="R29" s="9">
        <f t="shared" si="15"/>
        <v>3</v>
      </c>
      <c r="S29" s="14" t="str" cm="1">
        <f t="array" ref="S29">INDEX('Medicine-ConceptMap-2'!$I$15:$N$93,Q29+1,R29)</f>
        <v>* group[=].element[=].target.code = #Medication.ingredient.strength</v>
      </c>
    </row>
    <row r="30" spans="1:20" x14ac:dyDescent="0.75">
      <c r="P30" s="9">
        <v>16</v>
      </c>
      <c r="Q30" s="9">
        <f t="shared" si="14"/>
        <v>2</v>
      </c>
      <c r="R30" s="9">
        <f t="shared" si="15"/>
        <v>4</v>
      </c>
      <c r="S30" s="14" t="str" cm="1">
        <f t="array" ref="S30">INDEX('Medicine-ConceptMap-2'!$I$15:$N$93,Q30+1,R30)</f>
        <v>* group[=].element[=].target.display = ##34###34#</v>
      </c>
    </row>
    <row r="31" spans="1:20" x14ac:dyDescent="0.75">
      <c r="P31" s="9">
        <v>17</v>
      </c>
      <c r="Q31" s="9">
        <f t="shared" si="14"/>
        <v>2</v>
      </c>
      <c r="R31" s="9">
        <f t="shared" si="15"/>
        <v>5</v>
      </c>
      <c r="S31" s="14" t="str" cm="1">
        <f t="array" ref="S31">INDEX('Medicine-ConceptMap-2'!$I$15:$N$93,Q31+1,R31)</f>
        <v>* group[=].element[=].target.equivalence = #equivalent</v>
      </c>
    </row>
    <row r="32" spans="1:20" s="1" customFormat="1" x14ac:dyDescent="0.75">
      <c r="A32"/>
      <c r="B32"/>
      <c r="C32"/>
      <c r="F32"/>
      <c r="G32"/>
      <c r="H32"/>
      <c r="J32"/>
      <c r="K32"/>
      <c r="L32"/>
      <c r="M32"/>
      <c r="N32"/>
      <c r="P32" s="9">
        <v>18</v>
      </c>
      <c r="Q32" s="9">
        <f t="shared" si="14"/>
        <v>2</v>
      </c>
      <c r="R32" s="9">
        <f t="shared" si="15"/>
        <v>6</v>
      </c>
      <c r="S32" s="14" t="str" cm="1">
        <f t="array" ref="S32">INDEX('Medicine-ConceptMap-2'!$I$15:$N$93,Q32+1,R32)</f>
        <v>* group[=].element[=].target.comment = ##34#where ingredient.isActive = true##34#</v>
      </c>
      <c r="T32"/>
    </row>
    <row r="33" spans="1:20" s="1" customFormat="1" x14ac:dyDescent="0.75">
      <c r="A33"/>
      <c r="B33"/>
      <c r="C33"/>
      <c r="F33"/>
      <c r="G33"/>
      <c r="H33"/>
      <c r="J33"/>
      <c r="K33"/>
      <c r="L33"/>
      <c r="M33"/>
      <c r="N33"/>
      <c r="P33" s="9">
        <v>19</v>
      </c>
      <c r="Q33" s="9">
        <f t="shared" si="14"/>
        <v>3</v>
      </c>
      <c r="R33" s="9">
        <f t="shared" si="15"/>
        <v>1</v>
      </c>
      <c r="S33" s="14" t="str" cm="1">
        <f t="array" ref="S33">INDEX('Medicine-ConceptMap-2'!$I$15:$N$93,Q33+1,R33)</f>
        <v>* group[=].element[+].code = #Medicine.doseForm</v>
      </c>
      <c r="T33"/>
    </row>
    <row r="34" spans="1:20" s="1" customFormat="1" x14ac:dyDescent="0.75">
      <c r="A34"/>
      <c r="B34"/>
      <c r="C34"/>
      <c r="F34"/>
      <c r="G34"/>
      <c r="H34"/>
      <c r="J34"/>
      <c r="K34"/>
      <c r="L34"/>
      <c r="M34"/>
      <c r="N34"/>
      <c r="P34" s="9">
        <v>20</v>
      </c>
      <c r="Q34" s="9">
        <f t="shared" si="14"/>
        <v>3</v>
      </c>
      <c r="R34" s="9">
        <f t="shared" si="15"/>
        <v>2</v>
      </c>
      <c r="S34" s="14" t="str" cm="1">
        <f t="array" ref="S34">INDEX('Medicine-ConceptMap-2'!$I$15:$N$93,Q34+1,R34)</f>
        <v>* group[=].element[=].display = ##34#A.2.4.1.6 Pharmaceutical dose form##34#</v>
      </c>
      <c r="T34"/>
    </row>
    <row r="35" spans="1:20" s="1" customFormat="1" x14ac:dyDescent="0.75">
      <c r="A35"/>
      <c r="B35"/>
      <c r="C35"/>
      <c r="F35"/>
      <c r="G35"/>
      <c r="H35"/>
      <c r="J35"/>
      <c r="K35"/>
      <c r="L35"/>
      <c r="M35"/>
      <c r="N35"/>
      <c r="P35" s="9">
        <v>21</v>
      </c>
      <c r="Q35" s="9">
        <f t="shared" si="14"/>
        <v>3</v>
      </c>
      <c r="R35" s="9">
        <f t="shared" si="15"/>
        <v>3</v>
      </c>
      <c r="S35" s="14" t="str" cm="1">
        <f t="array" ref="S35">INDEX('Medicine-ConceptMap-2'!$I$15:$N$93,Q35+1,R35)</f>
        <v>* group[=].element[=].target.code = #Medication.form</v>
      </c>
      <c r="T35"/>
    </row>
    <row r="36" spans="1:20" s="1" customFormat="1" x14ac:dyDescent="0.75">
      <c r="A36"/>
      <c r="B36"/>
      <c r="C36"/>
      <c r="F36"/>
      <c r="G36"/>
      <c r="H36"/>
      <c r="J36"/>
      <c r="K36"/>
      <c r="L36"/>
      <c r="M36"/>
      <c r="N36"/>
      <c r="P36" s="9">
        <v>22</v>
      </c>
      <c r="Q36" s="9">
        <f t="shared" si="14"/>
        <v>3</v>
      </c>
      <c r="R36" s="9">
        <f t="shared" si="15"/>
        <v>4</v>
      </c>
      <c r="S36" s="14" t="str" cm="1">
        <f t="array" ref="S36">INDEX('Medicine-ConceptMap-2'!$I$15:$N$93,Q36+1,R36)</f>
        <v>* group[=].element[=].target.display = ##34###34#</v>
      </c>
      <c r="T36"/>
    </row>
    <row r="37" spans="1:20" s="1" customFormat="1" x14ac:dyDescent="0.75">
      <c r="A37"/>
      <c r="B37"/>
      <c r="C37"/>
      <c r="F37"/>
      <c r="G37"/>
      <c r="H37"/>
      <c r="J37"/>
      <c r="K37"/>
      <c r="L37"/>
      <c r="M37"/>
      <c r="N37"/>
      <c r="P37" s="9">
        <v>23</v>
      </c>
      <c r="Q37" s="9">
        <f t="shared" si="14"/>
        <v>3</v>
      </c>
      <c r="R37" s="9">
        <f t="shared" si="15"/>
        <v>5</v>
      </c>
      <c r="S37" s="14" t="str" cm="1">
        <f t="array" ref="S37">INDEX('Medicine-ConceptMap-2'!$I$15:$N$93,Q37+1,R37)</f>
        <v>* group[=].element[=].target.equivalence = #equivalent</v>
      </c>
      <c r="T37"/>
    </row>
    <row r="38" spans="1:20" s="1" customFormat="1" x14ac:dyDescent="0.75">
      <c r="A38"/>
      <c r="B38"/>
      <c r="C38"/>
      <c r="F38"/>
      <c r="G38"/>
      <c r="H38"/>
      <c r="J38"/>
      <c r="K38"/>
      <c r="L38"/>
      <c r="M38"/>
      <c r="N38"/>
      <c r="P38" s="9">
        <v>24</v>
      </c>
      <c r="Q38" s="9">
        <f t="shared" si="14"/>
        <v>3</v>
      </c>
      <c r="R38" s="9">
        <f t="shared" si="15"/>
        <v>6</v>
      </c>
      <c r="S38" s="14" t="str" cm="1">
        <f t="array" ref="S38">INDEX('Medicine-ConceptMap-2'!$I$15:$N$93,Q38+1,R38)</f>
        <v/>
      </c>
      <c r="T38"/>
    </row>
    <row r="39" spans="1:20" s="1" customFormat="1" x14ac:dyDescent="0.75">
      <c r="A39"/>
      <c r="B39"/>
      <c r="C39"/>
      <c r="F39"/>
      <c r="G39"/>
      <c r="H39"/>
      <c r="J39"/>
      <c r="K39"/>
      <c r="L39"/>
      <c r="M39"/>
      <c r="N39"/>
      <c r="P39" s="9">
        <v>25</v>
      </c>
      <c r="Q39" s="9">
        <f t="shared" si="14"/>
        <v>4</v>
      </c>
      <c r="R39" s="9">
        <f t="shared" si="15"/>
        <v>1</v>
      </c>
      <c r="S39" s="14" cm="1">
        <f t="array" ref="S39">INDEX('Medicine-ConceptMap-2'!$I$15:$N$93,Q39+1,R39)</f>
        <v>0</v>
      </c>
      <c r="T39"/>
    </row>
    <row r="40" spans="1:20" s="1" customFormat="1" x14ac:dyDescent="0.75">
      <c r="A40"/>
      <c r="B40"/>
      <c r="C40"/>
      <c r="F40"/>
      <c r="G40"/>
      <c r="H40"/>
      <c r="J40"/>
      <c r="K40"/>
      <c r="L40"/>
      <c r="M40"/>
      <c r="N40"/>
      <c r="P40" s="9">
        <v>26</v>
      </c>
      <c r="Q40" s="9">
        <f t="shared" si="14"/>
        <v>4</v>
      </c>
      <c r="R40" s="9">
        <f t="shared" si="15"/>
        <v>2</v>
      </c>
      <c r="S40" s="14" cm="1">
        <f t="array" ref="S40">INDEX('Medicine-ConceptMap-2'!$I$15:$N$93,Q40+1,R40)</f>
        <v>0</v>
      </c>
      <c r="T40"/>
    </row>
    <row r="41" spans="1:20" x14ac:dyDescent="0.75">
      <c r="P41" s="9">
        <v>27</v>
      </c>
      <c r="Q41" s="9">
        <f t="shared" si="14"/>
        <v>4</v>
      </c>
      <c r="R41" s="9">
        <f t="shared" si="15"/>
        <v>3</v>
      </c>
      <c r="S41" s="14" cm="1">
        <f t="array" ref="S41">INDEX('Medicine-ConceptMap-2'!$I$15:$N$93,Q41+1,R41)</f>
        <v>0</v>
      </c>
    </row>
    <row r="42" spans="1:20" x14ac:dyDescent="0.75">
      <c r="P42" s="9">
        <v>28</v>
      </c>
      <c r="Q42" s="9">
        <f t="shared" si="14"/>
        <v>4</v>
      </c>
      <c r="R42" s="9">
        <f t="shared" si="15"/>
        <v>4</v>
      </c>
      <c r="S42" s="14" cm="1">
        <f t="array" ref="S42">INDEX('Medicine-ConceptMap-2'!$I$15:$N$93,Q42+1,R42)</f>
        <v>0</v>
      </c>
    </row>
    <row r="43" spans="1:20" x14ac:dyDescent="0.75">
      <c r="P43" s="9">
        <v>29</v>
      </c>
      <c r="Q43" s="9">
        <f t="shared" si="14"/>
        <v>4</v>
      </c>
      <c r="R43" s="9">
        <f t="shared" si="15"/>
        <v>5</v>
      </c>
      <c r="S43" s="14" cm="1">
        <f t="array" ref="S43">INDEX('Medicine-ConceptMap-2'!$I$15:$N$93,Q43+1,R43)</f>
        <v>0</v>
      </c>
    </row>
    <row r="44" spans="1:20" x14ac:dyDescent="0.75">
      <c r="P44" s="9">
        <v>30</v>
      </c>
      <c r="Q44" s="9">
        <f t="shared" si="14"/>
        <v>4</v>
      </c>
      <c r="R44" s="9">
        <f t="shared" si="15"/>
        <v>6</v>
      </c>
      <c r="S44" s="14" cm="1">
        <f t="array" ref="S44">INDEX('Medicine-ConceptMap-2'!$I$15:$N$93,Q44+1,R44)</f>
        <v>0</v>
      </c>
    </row>
    <row r="45" spans="1:20" x14ac:dyDescent="0.75">
      <c r="P45" s="9">
        <v>31</v>
      </c>
      <c r="Q45" s="9">
        <f t="shared" si="14"/>
        <v>5</v>
      </c>
      <c r="R45" s="9">
        <f t="shared" si="15"/>
        <v>1</v>
      </c>
      <c r="S45" s="14" cm="1">
        <f t="array" ref="S45">INDEX('Medicine-ConceptMap-2'!$I$15:$N$93,Q45+1,R45)</f>
        <v>0</v>
      </c>
    </row>
    <row r="46" spans="1:20" x14ac:dyDescent="0.75">
      <c r="P46" s="9">
        <v>32</v>
      </c>
      <c r="Q46" s="9">
        <f t="shared" si="14"/>
        <v>5</v>
      </c>
      <c r="R46" s="9">
        <f t="shared" si="15"/>
        <v>2</v>
      </c>
      <c r="S46" s="14" cm="1">
        <f t="array" ref="S46">INDEX('Medicine-ConceptMap-2'!$I$15:$N$93,Q46+1,R46)</f>
        <v>0</v>
      </c>
    </row>
    <row r="47" spans="1:20" x14ac:dyDescent="0.75">
      <c r="P47" s="9">
        <v>33</v>
      </c>
      <c r="Q47" s="9">
        <f t="shared" si="14"/>
        <v>5</v>
      </c>
      <c r="R47" s="9">
        <f t="shared" si="15"/>
        <v>3</v>
      </c>
      <c r="S47" s="14" cm="1">
        <f t="array" ref="S47">INDEX('Medicine-ConceptMap-2'!$I$15:$N$93,Q47+1,R47)</f>
        <v>0</v>
      </c>
    </row>
    <row r="48" spans="1:20" x14ac:dyDescent="0.75">
      <c r="P48" s="9">
        <v>34</v>
      </c>
      <c r="Q48" s="9">
        <f t="shared" si="14"/>
        <v>5</v>
      </c>
      <c r="R48" s="9">
        <f t="shared" si="15"/>
        <v>4</v>
      </c>
      <c r="S48" s="14" cm="1">
        <f t="array" ref="S48">INDEX('Medicine-ConceptMap-2'!$I$15:$N$93,Q48+1,R48)</f>
        <v>0</v>
      </c>
    </row>
    <row r="49" spans="16:19" x14ac:dyDescent="0.75">
      <c r="P49" s="9">
        <v>35</v>
      </c>
      <c r="Q49" s="9">
        <f t="shared" si="14"/>
        <v>5</v>
      </c>
      <c r="R49" s="9">
        <f t="shared" si="15"/>
        <v>5</v>
      </c>
      <c r="S49" s="14" cm="1">
        <f t="array" ref="S49">INDEX('Medicine-ConceptMap-2'!$I$15:$N$93,Q49+1,R49)</f>
        <v>0</v>
      </c>
    </row>
    <row r="50" spans="16:19" x14ac:dyDescent="0.75">
      <c r="P50" s="9">
        <v>36</v>
      </c>
      <c r="Q50" s="9">
        <f t="shared" si="14"/>
        <v>5</v>
      </c>
      <c r="R50" s="9">
        <f t="shared" si="15"/>
        <v>6</v>
      </c>
      <c r="S50" s="14" cm="1">
        <f t="array" ref="S50">INDEX('Medicine-ConceptMap-2'!$I$15:$N$93,Q50+1,R50)</f>
        <v>0</v>
      </c>
    </row>
    <row r="51" spans="16:19" x14ac:dyDescent="0.75">
      <c r="P51" s="9">
        <v>37</v>
      </c>
      <c r="Q51" s="9">
        <f t="shared" si="14"/>
        <v>6</v>
      </c>
      <c r="R51" s="9">
        <f t="shared" si="15"/>
        <v>1</v>
      </c>
      <c r="S51" s="14" cm="1">
        <f t="array" ref="S51">INDEX('Medicine-ConceptMap-2'!$I$15:$N$93,Q51+1,R51)</f>
        <v>0</v>
      </c>
    </row>
    <row r="52" spans="16:19" x14ac:dyDescent="0.75">
      <c r="P52" s="9">
        <v>38</v>
      </c>
      <c r="Q52" s="9">
        <f t="shared" si="14"/>
        <v>6</v>
      </c>
      <c r="R52" s="9">
        <f t="shared" si="15"/>
        <v>2</v>
      </c>
      <c r="S52" s="14" cm="1">
        <f t="array" ref="S52">INDEX('Medicine-ConceptMap-2'!$I$15:$N$93,Q52+1,R52)</f>
        <v>0</v>
      </c>
    </row>
    <row r="53" spans="16:19" x14ac:dyDescent="0.75">
      <c r="P53" s="9">
        <v>39</v>
      </c>
      <c r="Q53" s="9">
        <f t="shared" si="14"/>
        <v>6</v>
      </c>
      <c r="R53" s="9">
        <f t="shared" si="15"/>
        <v>3</v>
      </c>
      <c r="S53" s="14" cm="1">
        <f t="array" ref="S53">INDEX('Medicine-ConceptMap-2'!$I$15:$N$93,Q53+1,R53)</f>
        <v>0</v>
      </c>
    </row>
    <row r="54" spans="16:19" x14ac:dyDescent="0.75">
      <c r="P54" s="9">
        <v>40</v>
      </c>
      <c r="Q54" s="9">
        <f t="shared" si="14"/>
        <v>6</v>
      </c>
      <c r="R54" s="9">
        <f t="shared" si="15"/>
        <v>4</v>
      </c>
      <c r="S54" s="14" cm="1">
        <f t="array" ref="S54">INDEX('Medicine-ConceptMap-2'!$I$15:$N$93,Q54+1,R54)</f>
        <v>0</v>
      </c>
    </row>
    <row r="55" spans="16:19" x14ac:dyDescent="0.75">
      <c r="P55" s="9">
        <v>41</v>
      </c>
      <c r="Q55" s="9">
        <f t="shared" si="14"/>
        <v>6</v>
      </c>
      <c r="R55" s="9">
        <f t="shared" si="15"/>
        <v>5</v>
      </c>
      <c r="S55" s="14" cm="1">
        <f t="array" ref="S55">INDEX('Medicine-ConceptMap-2'!$I$15:$N$93,Q55+1,R55)</f>
        <v>0</v>
      </c>
    </row>
    <row r="56" spans="16:19" x14ac:dyDescent="0.75">
      <c r="P56" s="9">
        <v>42</v>
      </c>
      <c r="Q56" s="9">
        <f t="shared" si="14"/>
        <v>6</v>
      </c>
      <c r="R56" s="9">
        <f t="shared" si="15"/>
        <v>6</v>
      </c>
      <c r="S56" s="14" cm="1">
        <f t="array" ref="S56">INDEX('Medicine-ConceptMap-2'!$I$15:$N$93,Q56+1,R56)</f>
        <v>0</v>
      </c>
    </row>
    <row r="57" spans="16:19" x14ac:dyDescent="0.75">
      <c r="P57" s="9">
        <v>43</v>
      </c>
      <c r="Q57" s="9">
        <f t="shared" si="14"/>
        <v>7</v>
      </c>
      <c r="R57" s="9">
        <f t="shared" si="15"/>
        <v>1</v>
      </c>
      <c r="S57" s="14" cm="1">
        <f t="array" ref="S57">INDEX('Medicine-ConceptMap-2'!$I$15:$N$93,Q57+1,R57)</f>
        <v>0</v>
      </c>
    </row>
    <row r="58" spans="16:19" x14ac:dyDescent="0.75">
      <c r="P58" s="9">
        <v>44</v>
      </c>
      <c r="Q58" s="9">
        <f t="shared" si="14"/>
        <v>7</v>
      </c>
      <c r="R58" s="9">
        <f t="shared" si="15"/>
        <v>2</v>
      </c>
      <c r="S58" s="14" cm="1">
        <f t="array" ref="S58">INDEX('Medicine-ConceptMap-2'!$I$15:$N$93,Q58+1,R58)</f>
        <v>0</v>
      </c>
    </row>
    <row r="59" spans="16:19" x14ac:dyDescent="0.75">
      <c r="P59" s="9">
        <v>45</v>
      </c>
      <c r="Q59" s="9">
        <f t="shared" si="14"/>
        <v>7</v>
      </c>
      <c r="R59" s="9">
        <f t="shared" si="15"/>
        <v>3</v>
      </c>
      <c r="S59" s="14" cm="1">
        <f t="array" ref="S59">INDEX('Medicine-ConceptMap-2'!$I$15:$N$93,Q59+1,R59)</f>
        <v>0</v>
      </c>
    </row>
    <row r="60" spans="16:19" x14ac:dyDescent="0.75">
      <c r="P60" s="9">
        <v>46</v>
      </c>
      <c r="Q60" s="9">
        <f t="shared" si="14"/>
        <v>7</v>
      </c>
      <c r="R60" s="9">
        <f t="shared" si="15"/>
        <v>4</v>
      </c>
      <c r="S60" s="14" cm="1">
        <f t="array" ref="S60">INDEX('Medicine-ConceptMap-2'!$I$15:$N$93,Q60+1,R60)</f>
        <v>0</v>
      </c>
    </row>
    <row r="61" spans="16:19" x14ac:dyDescent="0.75">
      <c r="P61" s="9">
        <v>47</v>
      </c>
      <c r="Q61" s="9">
        <f t="shared" si="14"/>
        <v>7</v>
      </c>
      <c r="R61" s="9">
        <f t="shared" si="15"/>
        <v>5</v>
      </c>
      <c r="S61" s="14" cm="1">
        <f t="array" ref="S61">INDEX('Medicine-ConceptMap-2'!$I$15:$N$93,Q61+1,R61)</f>
        <v>0</v>
      </c>
    </row>
    <row r="62" spans="16:19" x14ac:dyDescent="0.75">
      <c r="P62" s="9">
        <v>48</v>
      </c>
      <c r="Q62" s="9">
        <f t="shared" si="14"/>
        <v>7</v>
      </c>
      <c r="R62" s="9">
        <f t="shared" si="15"/>
        <v>6</v>
      </c>
      <c r="S62" s="14" cm="1">
        <f t="array" ref="S62">INDEX('Medicine-ConceptMap-2'!$I$15:$N$93,Q62+1,R62)</f>
        <v>0</v>
      </c>
    </row>
    <row r="63" spans="16:19" x14ac:dyDescent="0.75">
      <c r="P63" s="9">
        <v>49</v>
      </c>
      <c r="Q63" s="9">
        <f t="shared" si="14"/>
        <v>8</v>
      </c>
      <c r="R63" s="9">
        <f t="shared" si="15"/>
        <v>1</v>
      </c>
      <c r="S63" s="14" cm="1">
        <f t="array" ref="S63">INDEX('Medicine-ConceptMap-2'!$I$15:$N$93,Q63+1,R63)</f>
        <v>0</v>
      </c>
    </row>
    <row r="64" spans="16:19" x14ac:dyDescent="0.75">
      <c r="P64" s="9">
        <v>50</v>
      </c>
      <c r="Q64" s="9">
        <f t="shared" si="14"/>
        <v>8</v>
      </c>
      <c r="R64" s="9">
        <f t="shared" si="15"/>
        <v>2</v>
      </c>
      <c r="S64" s="14" cm="1">
        <f t="array" ref="S64">INDEX('Medicine-ConceptMap-2'!$I$15:$N$93,Q64+1,R64)</f>
        <v>0</v>
      </c>
    </row>
    <row r="65" spans="16:19" x14ac:dyDescent="0.75">
      <c r="P65" s="9">
        <v>51</v>
      </c>
      <c r="Q65" s="9">
        <f t="shared" si="14"/>
        <v>8</v>
      </c>
      <c r="R65" s="9">
        <f t="shared" si="15"/>
        <v>3</v>
      </c>
      <c r="S65" s="14" cm="1">
        <f t="array" ref="S65">INDEX('Medicine-ConceptMap-2'!$I$15:$N$93,Q65+1,R65)</f>
        <v>0</v>
      </c>
    </row>
    <row r="66" spans="16:19" x14ac:dyDescent="0.75">
      <c r="P66" s="9">
        <v>52</v>
      </c>
      <c r="Q66" s="9">
        <f t="shared" si="14"/>
        <v>8</v>
      </c>
      <c r="R66" s="9">
        <f t="shared" si="15"/>
        <v>4</v>
      </c>
      <c r="S66" s="14" cm="1">
        <f t="array" ref="S66">INDEX('Medicine-ConceptMap-2'!$I$15:$N$93,Q66+1,R66)</f>
        <v>0</v>
      </c>
    </row>
    <row r="67" spans="16:19" x14ac:dyDescent="0.75">
      <c r="P67" s="9">
        <v>53</v>
      </c>
      <c r="Q67" s="9">
        <f t="shared" si="14"/>
        <v>8</v>
      </c>
      <c r="R67" s="9">
        <f t="shared" si="15"/>
        <v>5</v>
      </c>
      <c r="S67" s="14" cm="1">
        <f t="array" ref="S67">INDEX('Medicine-ConceptMap-2'!$I$15:$N$93,Q67+1,R67)</f>
        <v>0</v>
      </c>
    </row>
    <row r="68" spans="16:19" x14ac:dyDescent="0.75">
      <c r="P68" s="9"/>
      <c r="Q68" s="9"/>
      <c r="R68" s="9"/>
      <c r="S68" s="14"/>
    </row>
    <row r="69" spans="16:19" x14ac:dyDescent="0.75">
      <c r="P69" s="9"/>
      <c r="Q69" s="9"/>
      <c r="R69" s="9"/>
      <c r="S69" s="14"/>
    </row>
    <row r="70" spans="16:19" x14ac:dyDescent="0.75">
      <c r="P70" s="9"/>
      <c r="Q70" s="9"/>
      <c r="R70" s="9"/>
      <c r="S70" s="14"/>
    </row>
    <row r="71" spans="16:19" x14ac:dyDescent="0.75">
      <c r="P71" s="9"/>
      <c r="Q71" s="9"/>
      <c r="R71" s="9"/>
      <c r="S71" s="14"/>
    </row>
    <row r="72" spans="16:19" x14ac:dyDescent="0.75">
      <c r="P72" s="9"/>
      <c r="Q72" s="9"/>
      <c r="R72" s="9"/>
      <c r="S72" s="14"/>
    </row>
    <row r="73" spans="16:19" x14ac:dyDescent="0.75">
      <c r="P73" s="9"/>
      <c r="Q73" s="9"/>
      <c r="R73" s="9"/>
      <c r="S73" s="14"/>
    </row>
    <row r="74" spans="16:19" x14ac:dyDescent="0.75">
      <c r="P74" s="9"/>
      <c r="Q74" s="9"/>
      <c r="R74" s="9"/>
      <c r="S74" s="14"/>
    </row>
    <row r="75" spans="16:19" x14ac:dyDescent="0.75">
      <c r="P75" s="9"/>
      <c r="Q75" s="9"/>
      <c r="R75" s="9"/>
      <c r="S75" s="14"/>
    </row>
    <row r="76" spans="16:19" x14ac:dyDescent="0.75">
      <c r="P76" s="9"/>
      <c r="Q76" s="9"/>
      <c r="R76" s="9"/>
      <c r="S76" s="14"/>
    </row>
  </sheetData>
  <mergeCells count="4">
    <mergeCell ref="E3:G3"/>
    <mergeCell ref="E4:G4"/>
    <mergeCell ref="E6:G6"/>
    <mergeCell ref="E7:G7"/>
  </mergeCells>
  <hyperlinks>
    <hyperlink ref="E3" r:id="rId1" display="http://hl7.eu/fhir/laboratory/StructureDefinition/LeaglAu" xr:uid="{54C79EC9-2D8D-4106-9DDC-63243378BE47}"/>
    <hyperlink ref="E6" r:id="rId2" display="http://hl7.eu/fhir/laboratory/StructureDefinition/Recipient" xr:uid="{04D51009-7BF4-4AF3-AEE5-0C77FBB92F94}"/>
    <hyperlink ref="E7" r:id="rId3" display="http://hl7.eu/fhir/StructureDefinition/information-recipient" xr:uid="{48E9B3F3-6215-4834-B981-D0916FD7D4CB}"/>
    <hyperlink ref="E4" r:id="rId4" xr:uid="{9B97100D-73AF-46D8-A1DD-A9BBB9D44629}"/>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A5" workbookViewId="0">
      <selection activeCell="B89" sqref="B89:B1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1072</v>
      </c>
    </row>
    <row r="3" spans="2:7" x14ac:dyDescent="0.75">
      <c r="B3" s="32" t="s">
        <v>37</v>
      </c>
    </row>
    <row r="4" spans="2:7" x14ac:dyDescent="0.75">
      <c r="B4" s="65" t="str">
        <f>"Instance: "&amp;'Medicine-ConceptMap-1'!C4</f>
        <v>Instance: medicine2FHIR-eu-ps</v>
      </c>
    </row>
    <row r="5" spans="2:7" x14ac:dyDescent="0.75">
      <c r="B5" s="65" t="s">
        <v>196</v>
      </c>
    </row>
    <row r="6" spans="2:7" x14ac:dyDescent="0.75">
      <c r="B6" s="65" t="s">
        <v>197</v>
      </c>
    </row>
    <row r="7" spans="2:7" x14ac:dyDescent="0.75">
      <c r="B7" s="65" t="s">
        <v>203</v>
      </c>
    </row>
    <row r="8" spans="2:7" x14ac:dyDescent="0.75">
      <c r="B8" s="65" t="str">
        <f>"* name = ##34#"&amp;'Medicine-ConceptMap-1'!C3&amp;"##34#"</f>
        <v>* name = ##34#Medicine2Fhir##34#</v>
      </c>
    </row>
    <row r="9" spans="2:7" x14ac:dyDescent="0.75">
      <c r="B9" s="65" t="str">
        <f>"* title = ##34#"&amp;'Medicine-ConceptMap-1'!C5&amp;"##34#"</f>
        <v>* title = ##34#eHN Medicine to this guide Map##34#</v>
      </c>
    </row>
    <row r="10" spans="2:7" x14ac:dyDescent="0.75">
      <c r="B10" s="65" t="s">
        <v>198</v>
      </c>
    </row>
    <row r="11" spans="2:7" x14ac:dyDescent="0.75">
      <c r="B11" s="65" t="s">
        <v>199</v>
      </c>
    </row>
    <row r="12" spans="2:7" x14ac:dyDescent="0.75">
      <c r="B12" s="65" t="str">
        <f>"* description = ##34#"&amp;'Medicine-ConceptMap-1'!C8&amp;"##34#"</f>
        <v>* description = ##34#eHN Medicine Model to this guide Map##34#</v>
      </c>
    </row>
    <row r="13" spans="2:7" x14ac:dyDescent="0.75">
      <c r="B13" s="65" t="str">
        <f>"* purpose = ##34#"&amp;'Medicine-ConceptMap-1'!C9&amp;"##34#"</f>
        <v>* purpose = ##34#It shows how the Medicine  data set defined by the EU eHN guidelines is mapped into this guide##34#</v>
      </c>
    </row>
    <row r="14" spans="2:7" x14ac:dyDescent="0.75">
      <c r="B14" s="66" t="str">
        <f>"* sourceUri = ##34#"&amp;'Medicine-ConceptMap-1'!E3&amp;"##34#"</f>
        <v>* sourceUri = ##34#http://hl7.eu/fhir/ig/xpandh/ps/StructureDefinition/Medicine##34#</v>
      </c>
    </row>
    <row r="15" spans="2:7" x14ac:dyDescent="0.75">
      <c r="B15" s="66" t="str">
        <f>"* targetUri = ##34#"&amp;'Medicine-ConceptMap-1'!E4&amp;"##34#"</f>
        <v>* targetUri = ##34#http://hl7.eu/fhir/ig/xpandh/ps/StructureDefinition/MedicationStatement-ps-xpandh##34#</v>
      </c>
    </row>
    <row r="16" spans="2:7" x14ac:dyDescent="0.75">
      <c r="B16" s="65"/>
    </row>
    <row r="17" spans="2:7" x14ac:dyDescent="0.75">
      <c r="B17" s="67" t="str">
        <f>"* group[+].source = ##34#"&amp;'Medicine-ConceptMap-1'!E6&amp;"##34#"</f>
        <v>* group[+].source = ##34#http://hl7.eu/fhir/ig/xpandh/ps/StructureDefinition/Medicine##34#</v>
      </c>
    </row>
    <row r="18" spans="2:7" x14ac:dyDescent="0.75">
      <c r="B18" s="67" t="str">
        <f>"* group[=].target = ##34#"&amp;'Medicine-ConceptMap-1'!E7&amp;"##34#"</f>
        <v>* group[=].target = ##34#http://hl7.eu/fhir/ig/xpandh/ps/StructureDefinition/MedicationStatement-ps-xpandh##34#</v>
      </c>
    </row>
    <row r="19" spans="2:7" x14ac:dyDescent="0.75">
      <c r="B19" s="69"/>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#MedicationStatement.reasonCode</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##34#if only a code is provided##34#</v>
      </c>
      <c r="G25" s="10"/>
    </row>
    <row r="26" spans="2:7" x14ac:dyDescent="0.75">
      <c r="B26" s="14" t="str">
        <f>IF('Medicine-ConceptMap-1'!S21=0,"//---END",'Medicine-ConceptMap-1'!S21)</f>
        <v>* group[=].element[+].code = #Medicine.reason</v>
      </c>
    </row>
    <row r="27" spans="2:7" x14ac:dyDescent="0.75">
      <c r="B27" s="14" t="str">
        <f>IF('Medicine-ConceptMap-1'!S22=0,"//---END",'Medicine-ConceptMap-1'!S22)</f>
        <v>* group[=].element[=].display = ##34#A.2.4.1.1 Medication reason##34#</v>
      </c>
    </row>
    <row r="28" spans="2:7" x14ac:dyDescent="0.75">
      <c r="B28" s="14" t="str">
        <f>IF('Medicine-ConceptMap-1'!S23=0,"//---END",'Medicine-ConceptMap-1'!S23)</f>
        <v>* group[=].element[=].target.code = #MedicationStatement.reasonReference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##34#if provided as a reference to a Condition##34#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group[=].element[=].target.code = #MedicationStatement.category</v>
      </c>
    </row>
    <row r="35" spans="2:2" x14ac:dyDescent="0.75">
      <c r="B35" s="14" t="str">
        <f>IF('Medicine-ConceptMap-1'!S30=0,"//---END",'Medicine-ConceptMap-1'!S30)</f>
        <v>* group[=].element[=].target.display = ##34###34#</v>
      </c>
    </row>
    <row r="36" spans="2:2" x14ac:dyDescent="0.75">
      <c r="B36" s="14" t="str">
        <f>IF('Medicine-ConceptMap-1'!S31=0,"//---END",'Medicine-ConceptMap-1'!S31)</f>
        <v>* group[=].element[=].target.equivalence = #relatedto</v>
      </c>
    </row>
    <row r="37" spans="2:2" x14ac:dyDescent="0.75">
      <c r="B37" s="14" t="str">
        <f>IF('Medicine-ConceptMap-1'!S32=0,"//---END",'Medicine-ConceptMap-1'!S32)</f>
        <v>* group[=].element[=].target.comment = ##34#this map adopts  the definition given in R5##34#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#MedicationStatement.medication[x]</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group[=].element[=].target.comment = ##34#see group 2##34#</v>
      </c>
    </row>
    <row r="44" spans="2:2" x14ac:dyDescent="0.75">
      <c r="B44" s="14" t="str">
        <f>IF('Medicine-ConceptMap-1'!S39=0,"//---END",'Medicine-ConceptMap-1'!S39)</f>
        <v>* group[=].element[+].code = #Medicine.activeIngredient</v>
      </c>
    </row>
    <row r="45" spans="2:2" x14ac:dyDescent="0.75">
      <c r="B45" s="14" t="str">
        <f>IF('Medicine-ConceptMap-1'!S40=0,"//---END",'Medicine-ConceptMap-1'!S40)</f>
        <v>* group[=].element[=].display = ##34#A.2.4.1.4 Active ingredient lists##34#</v>
      </c>
    </row>
    <row r="46" spans="2:2" x14ac:dyDescent="0.75">
      <c r="B46" s="14" t="str">
        <f>IF('Medicine-ConceptMap-1'!S41=0,"//---END",'Medicine-ConceptMap-1'!S41)</f>
        <v>* group[=].element[=].target.code = #MedicationStatement.medication[x]</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##34#see group 2##34#</v>
      </c>
    </row>
    <row r="50" spans="2:2" x14ac:dyDescent="0.75">
      <c r="B50" s="14" t="str">
        <f>IF('Medicine-ConceptMap-1'!S45=0,"//---END",'Medicine-ConceptMap-1'!S45)</f>
        <v>* group[=].element[+].code = #Medicine.strength</v>
      </c>
    </row>
    <row r="51" spans="2:2" x14ac:dyDescent="0.75">
      <c r="B51" s="14" t="str">
        <f>IF('Medicine-ConceptMap-1'!S46=0,"//---END",'Medicine-ConceptMap-1'!S46)</f>
        <v>* group[=].element[=].display = ##34#A.2.4.1.5 Strength##34#</v>
      </c>
    </row>
    <row r="52" spans="2:2" x14ac:dyDescent="0.75">
      <c r="B52" s="14" t="str">
        <f>IF('Medicine-ConceptMap-1'!S47=0,"//---END",'Medicine-ConceptMap-1'!S47)</f>
        <v>* group[=].element[=].target.code = #MedicationStatement.medication[x]</v>
      </c>
    </row>
    <row r="53" spans="2:2" x14ac:dyDescent="0.75">
      <c r="B53" s="14" t="str">
        <f>IF('Medicine-ConceptMap-1'!S48=0,"//---END",'Medicine-ConceptMap-1'!S48)</f>
        <v>* group[=].element[=].target.display = ##34###34#</v>
      </c>
    </row>
    <row r="54" spans="2:2" x14ac:dyDescent="0.75">
      <c r="B54" s="14" t="str">
        <f>IF('Medicine-ConceptMap-1'!S49=0,"//---END",'Medicine-ConceptMap-1'!S49)</f>
        <v>* group[=].element[=].target.equivalence = #equivalent</v>
      </c>
    </row>
    <row r="55" spans="2:2" x14ac:dyDescent="0.75">
      <c r="B55" s="14" t="str">
        <f>IF('Medicine-ConceptMap-1'!S50=0,"//---END",'Medicine-ConceptMap-1'!S50)</f>
        <v>* group[=].element[=].target.comment = ##34#see group 2##34#</v>
      </c>
    </row>
    <row r="56" spans="2:2" x14ac:dyDescent="0.75">
      <c r="B56" s="14" t="str">
        <f>IF('Medicine-ConceptMap-1'!S51=0,"//---END",'Medicine-ConceptMap-1'!S51)</f>
        <v>* group[=].element[+].code = #Medicine.doseForm</v>
      </c>
    </row>
    <row r="57" spans="2:2" x14ac:dyDescent="0.75">
      <c r="B57" s="14" t="str">
        <f>IF('Medicine-ConceptMap-1'!S52=0,"//---END",'Medicine-ConceptMap-1'!S52)</f>
        <v>* group[=].element[=].display = ##34#A.2.4.1.6 Pharmaceutical dose form##34#</v>
      </c>
    </row>
    <row r="58" spans="2:2" x14ac:dyDescent="0.75">
      <c r="B58" s="14" t="str">
        <f>IF('Medicine-ConceptMap-1'!S53=0,"//---END",'Medicine-ConceptMap-1'!S53)</f>
        <v>* group[=].element[=].target.code = #MedicationStatement.medication[x]</v>
      </c>
    </row>
    <row r="59" spans="2:2" x14ac:dyDescent="0.75">
      <c r="B59" s="14" t="str">
        <f>IF('Medicine-ConceptMap-1'!S54=0,"//---END",'Medicine-ConceptMap-1'!S54)</f>
        <v>* group[=].element[=].target.display = ##34###34#</v>
      </c>
    </row>
    <row r="60" spans="2:2" x14ac:dyDescent="0.75">
      <c r="B60" s="14" t="str">
        <f>IF('Medicine-ConceptMap-1'!S55=0,"//---END",'Medicine-ConceptMap-1'!S55)</f>
        <v>* group[=].element[=].target.equivalence = #equivalent</v>
      </c>
    </row>
    <row r="61" spans="2:2" x14ac:dyDescent="0.75">
      <c r="B61" s="14" t="str">
        <f>IF('Medicine-ConceptMap-1'!S56=0,"//---END",'Medicine-ConceptMap-1'!S56)</f>
        <v>* group[=].element[=].target.comment = ##34#see group 2##34#</v>
      </c>
    </row>
    <row r="62" spans="2:2" x14ac:dyDescent="0.75">
      <c r="B62" s="14" t="str">
        <f>IF('Medicine-ConceptMap-1'!S57=0,"//---END",'Medicine-ConceptMap-1'!S57)</f>
        <v>* group[=].element[+].code = #Medicine.dosageRegimen</v>
      </c>
    </row>
    <row r="63" spans="2:2" x14ac:dyDescent="0.75">
      <c r="B63" s="14" t="str">
        <f>IF('Medicine-ConceptMap-1'!S58=0,"//---END",'Medicine-ConceptMap-1'!S58)</f>
        <v>* group[=].element[=].display = ##34#A.2.4.1.7 Dosage Regimen##34#</v>
      </c>
    </row>
    <row r="64" spans="2:2" x14ac:dyDescent="0.75">
      <c r="B64" s="14" t="str">
        <f>IF('Medicine-ConceptMap-1'!S59=0,"//---END",'Medicine-ConceptMap-1'!S59)</f>
        <v>* group[=].element[=].target.code = #MedicationStatement.dosage</v>
      </c>
    </row>
    <row r="65" spans="2:2" x14ac:dyDescent="0.75">
      <c r="B65" s="14" t="str">
        <f>IF('Medicine-ConceptMap-1'!S60=0,"//---END",'Medicine-ConceptMap-1'!S60)</f>
        <v>* group[=].element[=].target.display = ##34###34#</v>
      </c>
    </row>
    <row r="66" spans="2:2" x14ac:dyDescent="0.75">
      <c r="B66" s="14" t="str">
        <f>IF('Medicine-ConceptMap-1'!S61=0,"//---END",'Medicine-ConceptMap-1'!S61)</f>
        <v>* group[=].element[=].target.equivalence = #relatedto</v>
      </c>
    </row>
    <row r="67" spans="2:2" x14ac:dyDescent="0.75">
      <c r="B67" s="14" t="str">
        <f>IF('Medicine-ConceptMap-1'!S62=0,"//---END",'Medicine-ConceptMap-1'!S62)</f>
        <v/>
      </c>
    </row>
    <row r="68" spans="2:2" x14ac:dyDescent="0.75">
      <c r="B68" s="14" t="str">
        <f>IF('Medicine-ConceptMap-1'!S63=0,"//---END",'Medicine-ConceptMap-1'!S63)</f>
        <v>* group[=].element[+].code = #Medicine.route</v>
      </c>
    </row>
    <row r="69" spans="2:2" x14ac:dyDescent="0.75">
      <c r="B69" s="14" t="str">
        <f>IF('Medicine-ConceptMap-1'!S64=0,"//---END",'Medicine-ConceptMap-1'!S64)</f>
        <v>* group[=].element[=].display = ##34#A.2.4.1.8 Route of administration##34#</v>
      </c>
    </row>
    <row r="70" spans="2:2" x14ac:dyDescent="0.75">
      <c r="B70" s="14" t="str">
        <f>IF('Medicine-ConceptMap-1'!S65=0,"//---END",'Medicine-ConceptMap-1'!S65)</f>
        <v>* group[=].element[=].target.code = #MedicationStatement.dosage.route</v>
      </c>
    </row>
    <row r="71" spans="2:2" x14ac:dyDescent="0.75">
      <c r="B71" s="14" t="str">
        <f>IF('Medicine-ConceptMap-1'!S66=0,"//---END",'Medicine-ConceptMap-1'!S66)</f>
        <v>* group[=].element[=].target.display = ##34###34#</v>
      </c>
    </row>
    <row r="72" spans="2:2" x14ac:dyDescent="0.75">
      <c r="B72" s="14" t="str">
        <f>IF('Medicine-ConceptMap-1'!S67=0,"//---END",'Medicine-ConceptMap-1'!S67)</f>
        <v>* group[=].element[=].target.equivalence = #relatedto</v>
      </c>
    </row>
    <row r="73" spans="2:2" x14ac:dyDescent="0.75">
      <c r="B73" s="14" t="str">
        <f>IF('Medicine-ConceptMap-1'!S68=0,"//---END",'Medicine-ConceptMap-1'!S68)</f>
        <v/>
      </c>
    </row>
    <row r="74" spans="2:2" x14ac:dyDescent="0.75">
      <c r="B74" s="14" t="str">
        <f>IF('Medicine-ConceptMap-1'!S69=0,"//---END",'Medicine-ConceptMap-1'!S69)</f>
        <v>* group[=].element[+].code = #Medicine.onsetDate</v>
      </c>
    </row>
    <row r="75" spans="2:2" x14ac:dyDescent="0.75">
      <c r="B75" s="14" t="str">
        <f>IF('Medicine-ConceptMap-1'!S70=0,"//---END",'Medicine-ConceptMap-1'!S70)</f>
        <v>* group[=].element[=].display = ##34#A.2.4.1.9 Date of onset of treatment##34#</v>
      </c>
    </row>
    <row r="76" spans="2:2" x14ac:dyDescent="0.75">
      <c r="B76" s="14" t="str">
        <f>IF('Medicine-ConceptMap-1'!S71=0,"//---END",'Medicine-ConceptMap-1'!S71)</f>
        <v>* group[=].element[=].target.code = #MedicationStatement.effectivePeriod.start</v>
      </c>
    </row>
    <row r="77" spans="2:2" x14ac:dyDescent="0.75">
      <c r="B77" s="14" t="str">
        <f>IF('Medicine-ConceptMap-1'!S72=0,"//---END",'Medicine-ConceptMap-1'!S72)</f>
        <v>* group[=].element[=].target.display = ##34###34#</v>
      </c>
    </row>
    <row r="78" spans="2:2" x14ac:dyDescent="0.75">
      <c r="B78" s="14" t="str">
        <f>IF('Medicine-ConceptMap-1'!S73=0,"//---END",'Medicine-ConceptMap-1'!S73)</f>
        <v>* group[=].element[=].target.equivalence = #equivalent</v>
      </c>
    </row>
    <row r="79" spans="2:2" x14ac:dyDescent="0.75">
      <c r="B79" s="14" t="str">
        <f>IF('Medicine-ConceptMap-1'!S74=0,"//---END",'Medicine-ConceptMap-1'!S74)</f>
        <v/>
      </c>
    </row>
    <row r="80" spans="2:2" x14ac:dyDescent="0.75">
      <c r="B80" s="14" t="str">
        <f>IF('Medicine-ConceptMap-1'!S75=0,"//---END",'Medicine-ConceptMap-1'!S75)</f>
        <v>//---END</v>
      </c>
    </row>
    <row r="81" spans="2:2" x14ac:dyDescent="0.75">
      <c r="B81" s="14" t="str">
        <f>IF('Medicine-ConceptMap-1'!S76=0,"//---END",'Medicine-ConceptMap-1'!S76)</f>
        <v>//---END</v>
      </c>
    </row>
    <row r="82" spans="2:2" x14ac:dyDescent="0.75">
      <c r="B82" s="14" t="str">
        <f>IF('Medicine-ConceptMap-1'!S77=0,"//---END",'Medicine-ConceptMap-1'!S77)</f>
        <v>//---END</v>
      </c>
    </row>
    <row r="83" spans="2:2" x14ac:dyDescent="0.75">
      <c r="B83" s="14" t="str">
        <f>IF('Medicine-ConceptMap-1'!S78=0,"//---END",'Medicine-ConceptMap-1'!S78)</f>
        <v>//---END</v>
      </c>
    </row>
    <row r="85" spans="2:2" x14ac:dyDescent="0.75">
      <c r="B85" s="65"/>
    </row>
    <row r="86" spans="2:2" x14ac:dyDescent="0.75">
      <c r="B86" s="67" t="str">
        <f>"* group[+].source = ##34#"&amp;'Medicine-ConceptMap-2'!E6&amp;"##34#"</f>
        <v>* group[+].source = ##34#http://hl7.eu/fhir/ig/xpandh/ps/StructureDefinition/Medicine##34#</v>
      </c>
    </row>
    <row r="87" spans="2:2" x14ac:dyDescent="0.75">
      <c r="B87" s="67" t="str">
        <f>"* group[=].target = ##34#"&amp;'Medicine-ConceptMap-2'!E7&amp;"##34#"</f>
        <v>* group[=].target = ##34#http://hl7.eu/fhir/ig/xpandh/ps/StructureDefinition/Medication-ps-xpandh##34#</v>
      </c>
    </row>
    <row r="88" spans="2:2" x14ac:dyDescent="0.75">
      <c r="B88" s="69"/>
    </row>
    <row r="89" spans="2:2" x14ac:dyDescent="0.75">
      <c r="B89" t="str">
        <f>IF('Medicine-ConceptMap-2'!S15=0,"//---END",'Medicine-ConceptMap-2'!S15)</f>
        <v>* group[=].element[+].code = #Medicine.productName</v>
      </c>
    </row>
    <row r="90" spans="2:2" x14ac:dyDescent="0.75">
      <c r="B90" t="str">
        <f>IF('Medicine-ConceptMap-2'!S16=0,"//---END",'Medicine-ConceptMap-2'!S16)</f>
        <v>* group[=].element[=].display = ##34#A.2.4.1.3 Brand name##34#</v>
      </c>
    </row>
    <row r="91" spans="2:2" x14ac:dyDescent="0.75">
      <c r="B91" t="str">
        <f>IF('Medicine-ConceptMap-2'!S17=0,"//---END",'Medicine-ConceptMap-2'!S17)</f>
        <v>* group[=].element[=].target.code = #Medication.code.text</v>
      </c>
    </row>
    <row r="92" spans="2:2" x14ac:dyDescent="0.75">
      <c r="B92" t="str">
        <f>IF('Medicine-ConceptMap-2'!S18=0,"//---END",'Medicine-ConceptMap-2'!S18)</f>
        <v>* group[=].element[=].target.display = ##34###34#</v>
      </c>
    </row>
    <row r="93" spans="2:2" x14ac:dyDescent="0.75">
      <c r="B93" t="str">
        <f>IF('Medicine-ConceptMap-2'!S19=0,"//---END",'Medicine-ConceptMap-2'!S19)</f>
        <v>* group[=].element[=].target.equivalence = #relatedto</v>
      </c>
    </row>
    <row r="94" spans="2:2" x14ac:dyDescent="0.75">
      <c r="B94" t="str">
        <f>IF('Medicine-ConceptMap-2'!S20=0,"//---END",'Medicine-ConceptMap-2'!S20)</f>
        <v/>
      </c>
    </row>
    <row r="95" spans="2:2" x14ac:dyDescent="0.75">
      <c r="B95" t="str">
        <f>IF('Medicine-ConceptMap-2'!S21=0,"//---END",'Medicine-ConceptMap-2'!S21)</f>
        <v>* group[=].element[+].code = #Medicine.activeIngredient</v>
      </c>
    </row>
    <row r="96" spans="2:2" x14ac:dyDescent="0.75">
      <c r="B96" t="str">
        <f>IF('Medicine-ConceptMap-2'!S22=0,"//---END",'Medicine-ConceptMap-2'!S22)</f>
        <v>* group[=].element[=].display = ##34#A.2.4.1.4 Active ingredient lists##34#</v>
      </c>
    </row>
    <row r="97" spans="2:2" x14ac:dyDescent="0.75">
      <c r="B97" t="str">
        <f>IF('Medicine-ConceptMap-2'!S23=0,"//---END",'Medicine-ConceptMap-2'!S23)</f>
        <v>* group[=].element[=].target.code = #Medication.ingredient.itemCodeableConcept</v>
      </c>
    </row>
    <row r="98" spans="2:2" x14ac:dyDescent="0.75">
      <c r="B98" t="str">
        <f>IF('Medicine-ConceptMap-2'!S24=0,"//---END",'Medicine-ConceptMap-2'!S24)</f>
        <v>* group[=].element[=].target.display = ##34###34#</v>
      </c>
    </row>
    <row r="99" spans="2:2" x14ac:dyDescent="0.75">
      <c r="B99" t="str">
        <f>IF('Medicine-ConceptMap-2'!S25=0,"//---END",'Medicine-ConceptMap-2'!S25)</f>
        <v>* group[=].element[=].target.equivalence = #equivalent</v>
      </c>
    </row>
    <row r="100" spans="2:2" x14ac:dyDescent="0.75">
      <c r="B100" t="str">
        <f>IF('Medicine-ConceptMap-2'!S26=0,"//---END",'Medicine-ConceptMap-2'!S26)</f>
        <v>* group[=].element[=].target.comment = ##34#where ingredient.isActive = true##34#</v>
      </c>
    </row>
    <row r="101" spans="2:2" x14ac:dyDescent="0.75">
      <c r="B101" t="str">
        <f>IF('Medicine-ConceptMap-2'!S27=0,"//---END",'Medicine-ConceptMap-2'!S27)</f>
        <v>* group[=].element[+].code = #Medicine.strength</v>
      </c>
    </row>
    <row r="102" spans="2:2" x14ac:dyDescent="0.75">
      <c r="B102" t="str">
        <f>IF('Medicine-ConceptMap-2'!S28=0,"//---END",'Medicine-ConceptMap-2'!S28)</f>
        <v>* group[=].element[=].display = ##34#A.2.4.1.5 Strength##34#</v>
      </c>
    </row>
    <row r="103" spans="2:2" x14ac:dyDescent="0.75">
      <c r="B103" t="str">
        <f>IF('Medicine-ConceptMap-2'!S29=0,"//---END",'Medicine-ConceptMap-2'!S29)</f>
        <v>* group[=].element[=].target.code = #Medication.ingredient.strength</v>
      </c>
    </row>
    <row r="104" spans="2:2" x14ac:dyDescent="0.75">
      <c r="B104" t="str">
        <f>IF('Medicine-ConceptMap-2'!S30=0,"//---END",'Medicine-ConceptMap-2'!S30)</f>
        <v>* group[=].element[=].target.display = ##34###34#</v>
      </c>
    </row>
    <row r="105" spans="2:2" x14ac:dyDescent="0.75">
      <c r="B105" t="str">
        <f>IF('Medicine-ConceptMap-2'!S31=0,"//---END",'Medicine-ConceptMap-2'!S31)</f>
        <v>* group[=].element[=].target.equivalence = #equivalent</v>
      </c>
    </row>
    <row r="106" spans="2:2" x14ac:dyDescent="0.75">
      <c r="B106" t="str">
        <f>IF('Medicine-ConceptMap-2'!S32=0,"//---END",'Medicine-ConceptMap-2'!S32)</f>
        <v>* group[=].element[=].target.comment = ##34#where ingredient.isActive = true##34#</v>
      </c>
    </row>
    <row r="107" spans="2:2" x14ac:dyDescent="0.75">
      <c r="B107" t="str">
        <f>IF('Medicine-ConceptMap-2'!S33=0,"//---END",'Medicine-ConceptMap-2'!S33)</f>
        <v>* group[=].element[+].code = #Medicine.doseForm</v>
      </c>
    </row>
    <row r="108" spans="2:2" x14ac:dyDescent="0.75">
      <c r="B108" t="str">
        <f>IF('Medicine-ConceptMap-2'!S34=0,"//---END",'Medicine-ConceptMap-2'!S34)</f>
        <v>* group[=].element[=].display = ##34#A.2.4.1.6 Pharmaceutical dose form##34#</v>
      </c>
    </row>
    <row r="109" spans="2:2" x14ac:dyDescent="0.75">
      <c r="B109" t="str">
        <f>IF('Medicine-ConceptMap-2'!S35=0,"//---END",'Medicine-ConceptMap-2'!S35)</f>
        <v>* group[=].element[=].target.code = #Medication.form</v>
      </c>
    </row>
    <row r="110" spans="2:2" x14ac:dyDescent="0.75">
      <c r="B110" t="str">
        <f>IF('Medicine-ConceptMap-2'!S36=0,"//---END",'Medicine-ConceptMap-2'!S36)</f>
        <v>* group[=].element[=].target.display = ##34###34#</v>
      </c>
    </row>
    <row r="111" spans="2:2" x14ac:dyDescent="0.75">
      <c r="B111" t="str">
        <f>IF('Medicine-ConceptMap-2'!S37=0,"//---END",'Medicine-ConceptMap-2'!S37)</f>
        <v>* group[=].element[=].target.equivalence = #equivalent</v>
      </c>
    </row>
    <row r="112" spans="2:2" x14ac:dyDescent="0.75">
      <c r="B112" t="str">
        <f>IF('Medicine-ConceptMap-2'!S38=0,"//---END",'Medicine-ConceptMap-2'!S38)</f>
        <v/>
      </c>
    </row>
    <row r="113" spans="2:2" x14ac:dyDescent="0.75">
      <c r="B113" t="str">
        <f>IF('Medicine-ConceptMap-2'!S39=0,"//---END",'Medicine-ConceptMap-2'!S39)</f>
        <v>//---END</v>
      </c>
    </row>
    <row r="114" spans="2:2" x14ac:dyDescent="0.75">
      <c r="B114" t="str">
        <f>IF('Medicine-ConceptMap-2'!S40=0,"//---END",'Medicine-ConceptMap-2'!S40)</f>
        <v>//---END</v>
      </c>
    </row>
    <row r="115" spans="2:2" x14ac:dyDescent="0.75">
      <c r="B115" t="str">
        <f>IF('Medicine-ConceptMap-2'!S41=0,"//---END",'Medicine-ConceptMap-2'!S41)</f>
        <v>//---END</v>
      </c>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963</v>
      </c>
      <c r="I4" s="24" t="str">
        <f>CONCATENATE("Logical: ",B4)</f>
        <v>Logical: VaccinationPsEhn</v>
      </c>
    </row>
    <row r="5" spans="1:11" x14ac:dyDescent="0.75">
      <c r="A5" s="17" t="s">
        <v>19</v>
      </c>
      <c r="B5" s="33" t="s">
        <v>964</v>
      </c>
      <c r="I5" s="24" t="str">
        <f>CONCATENATE("Id: ",B5)</f>
        <v>Id: Vaccination</v>
      </c>
    </row>
    <row r="6" spans="1:11" x14ac:dyDescent="0.75">
      <c r="A6" s="17" t="s">
        <v>13</v>
      </c>
      <c r="B6" s="18" t="s">
        <v>834</v>
      </c>
      <c r="I6" s="25" t="str">
        <f>CONCATENATE("Title: ##34#",B6,"##34#")</f>
        <v>Title: ##34#A.2.2.1 - Vaccination/ prophylaxis information##34#</v>
      </c>
    </row>
    <row r="7" spans="1:11" ht="29.5" x14ac:dyDescent="0.75">
      <c r="A7" s="43" t="s">
        <v>5</v>
      </c>
      <c r="B7" s="18" t="s">
        <v>965</v>
      </c>
      <c r="C7" s="12"/>
      <c r="D7" s="2"/>
      <c r="E7" s="49"/>
      <c r="F7" s="3" t="s">
        <v>9</v>
      </c>
      <c r="G7" s="3" t="s">
        <v>10</v>
      </c>
      <c r="I7" s="25" t="str">
        <f>CONCATENATE("Description: "," ##334#",B7,"##334#",)</f>
        <v>Description:  ##334# Vaccination/ prophylaxis information. Sections A2.2.2.1 of the eHN guideline.##334#</v>
      </c>
    </row>
    <row r="8" spans="1:11" ht="44.25" x14ac:dyDescent="0.75">
      <c r="A8" s="9">
        <v>1</v>
      </c>
      <c r="B8" s="9" t="s">
        <v>982</v>
      </c>
      <c r="C8" s="14" t="s">
        <v>966</v>
      </c>
      <c r="D8" s="14" t="s">
        <v>1024</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983</v>
      </c>
      <c r="C9" s="14" t="s">
        <v>967</v>
      </c>
      <c r="D9" s="14" t="s">
        <v>978</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984</v>
      </c>
      <c r="C10" s="14" t="s">
        <v>968</v>
      </c>
      <c r="D10" s="104" t="s">
        <v>617</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985</v>
      </c>
      <c r="C11" s="14" t="s">
        <v>969</v>
      </c>
      <c r="D11" s="104" t="s">
        <v>619</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986</v>
      </c>
      <c r="C12" s="14" t="s">
        <v>970</v>
      </c>
      <c r="D12" s="104" t="s">
        <v>621</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987</v>
      </c>
      <c r="C13" s="14" t="s">
        <v>971</v>
      </c>
      <c r="D13" s="104" t="s">
        <v>998</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988</v>
      </c>
      <c r="C14" s="14" t="s">
        <v>972</v>
      </c>
      <c r="D14" s="104" t="s">
        <v>624</v>
      </c>
      <c r="E14" s="9">
        <v>0</v>
      </c>
      <c r="F14" s="9" t="s">
        <v>11</v>
      </c>
      <c r="G14" s="9" t="s">
        <v>3</v>
      </c>
      <c r="H14" s="53"/>
      <c r="I14" s="14" t="str">
        <f t="shared" si="0"/>
        <v>* batchNumber 0..* string ##34#A.2.2.1.6 Batch/lot number##34# ##334#A distinctive combination of numbers and/or letters which specifically identifies a batch##334#</v>
      </c>
    </row>
    <row r="15" spans="1:11" ht="44.25" x14ac:dyDescent="0.75">
      <c r="A15" s="9">
        <v>8</v>
      </c>
      <c r="B15" s="9" t="s">
        <v>989</v>
      </c>
      <c r="C15" s="14" t="s">
        <v>973</v>
      </c>
      <c r="D15" s="14" t="s">
        <v>979</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1021</v>
      </c>
      <c r="C16" s="14" t="s">
        <v>974</v>
      </c>
      <c r="D16" s="14" t="s">
        <v>628</v>
      </c>
      <c r="E16" s="9">
        <v>0</v>
      </c>
      <c r="F16" s="9" t="s">
        <v>11</v>
      </c>
      <c r="G16" s="46" t="s">
        <v>139</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6" t="s">
        <v>991</v>
      </c>
      <c r="C17" s="9" t="s">
        <v>975</v>
      </c>
      <c r="D17" s="14" t="s">
        <v>630</v>
      </c>
      <c r="E17" s="9">
        <v>0</v>
      </c>
      <c r="F17" s="9" t="s">
        <v>11</v>
      </c>
      <c r="G17" s="9" t="s">
        <v>136</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990</v>
      </c>
      <c r="C18" s="9" t="s">
        <v>976</v>
      </c>
      <c r="D18" s="14" t="s">
        <v>980</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992</v>
      </c>
      <c r="C19" s="9" t="s">
        <v>977</v>
      </c>
      <c r="D19" s="14" t="s">
        <v>981</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76"/>
      <c r="D29" s="177"/>
      <c r="E29" s="177"/>
      <c r="F29" s="178"/>
      <c r="I29" s="14"/>
    </row>
    <row r="30" spans="1:9" ht="45" thickBot="1" x14ac:dyDescent="0.9">
      <c r="B30" t="str">
        <f t="shared" ref="B30:B41" si="1">CONCATENATE(C30," ",D30)</f>
        <v>A.2.2.1.1 Disease or agent targeted</v>
      </c>
      <c r="C30" s="93" t="s">
        <v>706</v>
      </c>
      <c r="D30" s="94" t="s">
        <v>611</v>
      </c>
      <c r="E30" s="94" t="s">
        <v>612</v>
      </c>
      <c r="F30" s="94" t="s">
        <v>577</v>
      </c>
      <c r="I30" s="14"/>
    </row>
    <row r="31" spans="1:9" ht="104" thickBot="1" x14ac:dyDescent="0.9">
      <c r="B31" t="str">
        <f t="shared" si="1"/>
        <v>A.2.2.1.2 Vaccine/prophylaxis</v>
      </c>
      <c r="C31" s="93" t="s">
        <v>707</v>
      </c>
      <c r="D31" s="94" t="s">
        <v>613</v>
      </c>
      <c r="E31" s="94" t="s">
        <v>614</v>
      </c>
      <c r="F31" s="94" t="s">
        <v>615</v>
      </c>
      <c r="I31" s="14"/>
    </row>
    <row r="32" spans="1:9" ht="224.75" customHeight="1" thickBot="1" x14ac:dyDescent="0.9">
      <c r="B32" t="str">
        <f t="shared" si="1"/>
        <v>A.2.2.1.3 Vaccine medicinal product name</v>
      </c>
      <c r="C32" s="93" t="s">
        <v>708</v>
      </c>
      <c r="D32" s="94" t="s">
        <v>616</v>
      </c>
      <c r="E32" s="94" t="s">
        <v>617</v>
      </c>
      <c r="F32" s="94"/>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93" t="s">
        <v>709</v>
      </c>
      <c r="D33" s="94" t="s">
        <v>618</v>
      </c>
      <c r="E33" s="94" t="s">
        <v>619</v>
      </c>
      <c r="F33" s="94"/>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93" t="s">
        <v>710</v>
      </c>
      <c r="D34" s="94" t="s">
        <v>620</v>
      </c>
      <c r="E34" s="94" t="s">
        <v>621</v>
      </c>
      <c r="F34" s="94"/>
      <c r="I34" s="1" t="str">
        <f t="shared" si="2"/>
        <v xml:space="preserve">Marketing Authorisation Holder EMA's Organisations System data (SPOR) - Preferred system(s): </v>
      </c>
    </row>
    <row r="35" spans="2:9" ht="30.25" thickBot="1" x14ac:dyDescent="0.9">
      <c r="B35" t="str">
        <f t="shared" si="1"/>
        <v>A.2.2.1.5 Number in a series of vaccinations/doses</v>
      </c>
      <c r="C35" s="93" t="s">
        <v>711</v>
      </c>
      <c r="D35" s="94" t="s">
        <v>622</v>
      </c>
      <c r="E35" s="94" t="s">
        <v>998</v>
      </c>
      <c r="F35" s="94"/>
      <c r="I35" s="1" t="str">
        <f t="shared" si="2"/>
        <v xml:space="preserve">Vaccination in the vaccination course - Preferred system(s): </v>
      </c>
    </row>
    <row r="36" spans="2:9" ht="15.5" customHeight="1" thickBot="1" x14ac:dyDescent="0.9">
      <c r="B36" t="str">
        <f t="shared" si="1"/>
        <v>A.2.2.1.6 Batch/lot number</v>
      </c>
      <c r="C36" s="93" t="s">
        <v>712</v>
      </c>
      <c r="D36" s="94" t="s">
        <v>623</v>
      </c>
      <c r="E36" s="94" t="s">
        <v>624</v>
      </c>
      <c r="F36" s="94"/>
    </row>
    <row r="37" spans="2:9" ht="80" customHeight="1" thickBot="1" x14ac:dyDescent="0.9">
      <c r="B37" t="str">
        <f t="shared" si="1"/>
        <v>A.2.2.1.7 Date of vaccination</v>
      </c>
      <c r="C37" s="93" t="s">
        <v>713</v>
      </c>
      <c r="D37" s="94" t="s">
        <v>625</v>
      </c>
      <c r="E37" s="94" t="s">
        <v>626</v>
      </c>
      <c r="F37" s="94" t="s">
        <v>94</v>
      </c>
      <c r="I37" s="1" t="str">
        <f t="shared" si="2"/>
        <v>The date when the vaccination was administered - Preferred system(s): ISO 8601</v>
      </c>
    </row>
    <row r="38" spans="2:9" ht="59.75" thickBot="1" x14ac:dyDescent="0.9">
      <c r="B38" t="str">
        <f t="shared" si="1"/>
        <v>A.2.2.1.8 Administering centre</v>
      </c>
      <c r="C38" s="93" t="s">
        <v>714</v>
      </c>
      <c r="D38" s="94" t="s">
        <v>627</v>
      </c>
      <c r="E38" s="94" t="s">
        <v>628</v>
      </c>
      <c r="F38" s="94"/>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93" t="s">
        <v>715</v>
      </c>
      <c r="D39" s="94" t="s">
        <v>629</v>
      </c>
      <c r="E39" s="94" t="s">
        <v>630</v>
      </c>
      <c r="F39" s="94"/>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93" t="s">
        <v>716</v>
      </c>
      <c r="D40" s="94" t="s">
        <v>631</v>
      </c>
      <c r="E40" s="94" t="s">
        <v>632</v>
      </c>
      <c r="F40" s="94" t="s">
        <v>279</v>
      </c>
      <c r="I40" s="1" t="str">
        <f t="shared" si="2"/>
        <v>The country in which the individual has been vaccinated - Preferred system(s): ISO 3166</v>
      </c>
    </row>
    <row r="41" spans="2:9" ht="45" thickBot="1" x14ac:dyDescent="0.9">
      <c r="B41" t="str">
        <f t="shared" si="1"/>
        <v>A.2.2.1.11 Next vaccination date</v>
      </c>
      <c r="C41" s="93" t="s">
        <v>717</v>
      </c>
      <c r="D41" s="94" t="s">
        <v>633</v>
      </c>
      <c r="E41" s="94" t="s">
        <v>634</v>
      </c>
      <c r="F41" s="94"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48" t="s">
        <v>993</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116</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999</v>
      </c>
      <c r="D3" s="61" t="s">
        <v>208</v>
      </c>
      <c r="E3" t="str">
        <f>"http://hl7.eu/fhir/ig/xpandh/ps/StructureDefinition/"&amp;'A.2.2.1 Vaccination'!B5</f>
        <v>http://hl7.eu/fhir/ig/xpandh/ps/StructureDefinition/Vaccination</v>
      </c>
    </row>
    <row r="4" spans="1:19" x14ac:dyDescent="0.75">
      <c r="B4" s="61" t="s">
        <v>19</v>
      </c>
      <c r="C4" s="47" t="s">
        <v>1003</v>
      </c>
      <c r="D4" s="61" t="s">
        <v>209</v>
      </c>
      <c r="E4" s="164" t="s">
        <v>995</v>
      </c>
      <c r="F4" s="164"/>
      <c r="G4" s="164"/>
    </row>
    <row r="5" spans="1:19" x14ac:dyDescent="0.75">
      <c r="B5" s="61" t="s">
        <v>13</v>
      </c>
      <c r="C5" s="10" t="s">
        <v>1000</v>
      </c>
      <c r="D5" s="61"/>
      <c r="E5" s="10"/>
    </row>
    <row r="6" spans="1:19" x14ac:dyDescent="0.75">
      <c r="B6" s="61" t="s">
        <v>35</v>
      </c>
      <c r="C6" s="60" t="s">
        <v>900</v>
      </c>
      <c r="D6" s="61" t="s">
        <v>206</v>
      </c>
      <c r="E6" s="164" t="str">
        <f>E3</f>
        <v>http://hl7.eu/fhir/ig/xpandh/ps/StructureDefinition/Vaccination</v>
      </c>
      <c r="F6" s="164"/>
      <c r="G6" s="164"/>
    </row>
    <row r="7" spans="1:19" x14ac:dyDescent="0.75">
      <c r="B7" s="61" t="s">
        <v>18</v>
      </c>
      <c r="C7" s="68" t="s">
        <v>540</v>
      </c>
      <c r="D7" s="61" t="s">
        <v>207</v>
      </c>
      <c r="E7" s="164" t="s">
        <v>995</v>
      </c>
      <c r="F7" s="164"/>
      <c r="G7" s="164"/>
    </row>
    <row r="8" spans="1:19" ht="44.25" x14ac:dyDescent="0.75">
      <c r="B8" s="61" t="s">
        <v>204</v>
      </c>
      <c r="C8" s="10" t="s">
        <v>996</v>
      </c>
      <c r="D8" s="61"/>
      <c r="E8" s="10"/>
      <c r="I8" s="14" t="s">
        <v>181</v>
      </c>
      <c r="J8" s="14" t="s">
        <v>182</v>
      </c>
      <c r="K8" s="14" t="s">
        <v>183</v>
      </c>
      <c r="L8" s="14" t="s">
        <v>184</v>
      </c>
      <c r="M8" s="9" t="s">
        <v>185</v>
      </c>
      <c r="P8" s="57" t="s">
        <v>186</v>
      </c>
      <c r="Q8" s="57">
        <v>6</v>
      </c>
    </row>
    <row r="9" spans="1:19" ht="29.5" x14ac:dyDescent="0.75">
      <c r="B9" s="61" t="s">
        <v>205</v>
      </c>
      <c r="C9" s="1" t="s">
        <v>997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'A.2.2.1 Vaccination'!B5</f>
        <v>Vaccination</v>
      </c>
      <c r="C14" s="9"/>
      <c r="D14" s="4" t="s">
        <v>994</v>
      </c>
      <c r="E14" s="9"/>
      <c r="F14" s="9"/>
      <c r="G14" s="9"/>
      <c r="I14" s="14"/>
      <c r="J14" s="9"/>
      <c r="K14" s="9"/>
      <c r="L14" s="9"/>
      <c r="M14" s="59"/>
      <c r="N14" s="62"/>
    </row>
    <row r="15" spans="1:19" ht="73.75" customHeight="1" x14ac:dyDescent="0.75">
      <c r="A15" s="22"/>
      <c r="B15" s="9" t="str">
        <f>'A.2.2.1 Vaccination'!B8</f>
        <v>targetDisease</v>
      </c>
      <c r="C15" s="9" t="str">
        <f>'A.2.2.1 Vaccination'!C8</f>
        <v>A.2.2.1.1 Disease or agent targeted</v>
      </c>
      <c r="D15" s="14" t="s">
        <v>1006</v>
      </c>
      <c r="E15" s="9"/>
      <c r="F15" s="63" t="s">
        <v>192</v>
      </c>
      <c r="G15" s="63"/>
      <c r="H15" s="64"/>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1007</v>
      </c>
      <c r="E16" s="9"/>
      <c r="F16" s="63" t="s">
        <v>192</v>
      </c>
      <c r="G16" s="63"/>
      <c r="H16" s="64"/>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1023</v>
      </c>
      <c r="E17" s="9"/>
      <c r="F17" s="63" t="s">
        <v>193</v>
      </c>
      <c r="G17" s="91"/>
      <c r="H17" s="64"/>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5" t="s">
        <v>1022</v>
      </c>
      <c r="E18" s="9"/>
      <c r="F18" s="63" t="s">
        <v>193</v>
      </c>
      <c r="G18" s="79"/>
      <c r="H18" s="64"/>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1008</v>
      </c>
      <c r="E19" s="9"/>
      <c r="F19" s="63" t="s">
        <v>193</v>
      </c>
      <c r="G19" s="63"/>
      <c r="H19" s="64"/>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1009</v>
      </c>
      <c r="E20" s="9"/>
      <c r="F20" s="63" t="s">
        <v>193</v>
      </c>
      <c r="G20" s="14" t="s">
        <v>1011</v>
      </c>
      <c r="H20" s="64"/>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1010</v>
      </c>
      <c r="E21" s="9"/>
      <c r="F21" s="63" t="s">
        <v>193</v>
      </c>
      <c r="G21" s="14" t="s">
        <v>1011</v>
      </c>
      <c r="H21" s="64"/>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1012</v>
      </c>
      <c r="E22" s="9"/>
      <c r="F22" s="63" t="s">
        <v>192</v>
      </c>
      <c r="G22" s="14"/>
      <c r="H22" s="64"/>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1013</v>
      </c>
      <c r="E23" s="9"/>
      <c r="F23" s="63" t="s">
        <v>192</v>
      </c>
      <c r="G23" s="14"/>
      <c r="H23" s="64"/>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1017</v>
      </c>
      <c r="E24" s="9"/>
      <c r="F24" s="63" t="s">
        <v>193</v>
      </c>
      <c r="G24" s="4" t="s">
        <v>1014</v>
      </c>
      <c r="H24" s="64"/>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315</v>
      </c>
      <c r="E25" s="9"/>
      <c r="F25" s="63" t="s">
        <v>193</v>
      </c>
      <c r="G25" s="4" t="s">
        <v>1015</v>
      </c>
      <c r="H25" s="64"/>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1018</v>
      </c>
      <c r="E26" s="9"/>
      <c r="F26" s="63" t="s">
        <v>193</v>
      </c>
      <c r="G26" s="4" t="s">
        <v>1016</v>
      </c>
      <c r="H26" s="64"/>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1019</v>
      </c>
      <c r="E27" s="9"/>
      <c r="F27" s="63" t="s">
        <v>192</v>
      </c>
      <c r="G27" s="14"/>
      <c r="H27" s="64"/>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1020</v>
      </c>
      <c r="E28" s="9"/>
      <c r="F28" s="63" t="s">
        <v>192</v>
      </c>
      <c r="G28" s="63"/>
      <c r="H28" s="64"/>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3"/>
      <c r="G29" s="63"/>
      <c r="H29" s="64"/>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3"/>
      <c r="G30" s="63"/>
      <c r="H30" s="64"/>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3"/>
      <c r="G31" s="63"/>
      <c r="H31" s="64"/>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3"/>
      <c r="G32" s="63"/>
      <c r="H32" s="64"/>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3"/>
      <c r="G33" s="63"/>
      <c r="H33" s="64"/>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3"/>
      <c r="G34" s="63"/>
      <c r="H34" s="64"/>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3"/>
      <c r="G35" s="63"/>
      <c r="H35" s="64"/>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3"/>
      <c r="G36" s="63"/>
      <c r="H36" s="64"/>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3"/>
      <c r="G37" s="63"/>
      <c r="H37" s="64"/>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3"/>
      <c r="G38" s="63"/>
      <c r="H38" s="64"/>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3"/>
      <c r="G39" s="63"/>
      <c r="H39" s="64"/>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3"/>
      <c r="G40" s="63"/>
      <c r="H40" s="64"/>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3"/>
      <c r="G41" s="63"/>
      <c r="H41" s="64"/>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3"/>
      <c r="G42" s="63"/>
      <c r="H42" s="64"/>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3"/>
      <c r="G43" s="63"/>
      <c r="H43" s="64"/>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3"/>
      <c r="G44" s="64"/>
      <c r="H44" s="64"/>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2"/>
      <c r="F45" s="64"/>
      <c r="G45" s="64"/>
      <c r="H45" s="64"/>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4"/>
      <c r="G46" s="64"/>
      <c r="H46" s="64"/>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4"/>
      <c r="G47" s="64"/>
      <c r="H47" s="64"/>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4"/>
      <c r="G48" s="64"/>
      <c r="H48" s="64"/>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4"/>
      <c r="G49" s="64"/>
      <c r="H49" s="64"/>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4"/>
      <c r="G50" s="64"/>
      <c r="H50" s="64"/>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4"/>
      <c r="G51" s="64"/>
      <c r="H51" s="64"/>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4"/>
      <c r="G52" s="64"/>
      <c r="H52" s="64"/>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4"/>
      <c r="G53" s="64"/>
      <c r="H53" s="64"/>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4"/>
      <c r="G54" s="64"/>
      <c r="H54" s="64"/>
      <c r="J54" s="64"/>
      <c r="K54" s="64"/>
      <c r="L54" s="64"/>
      <c r="M54" s="64"/>
      <c r="N54" s="64"/>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4"/>
      <c r="G55" s="64"/>
      <c r="H55" s="64"/>
      <c r="J55" s="64"/>
      <c r="K55" s="64"/>
      <c r="L55" s="64"/>
      <c r="M55" s="64"/>
      <c r="N55" s="64"/>
      <c r="P55" s="9">
        <v>41</v>
      </c>
      <c r="Q55" s="9">
        <f t="shared" si="10"/>
        <v>6</v>
      </c>
      <c r="R55" s="9">
        <f t="shared" si="11"/>
        <v>5</v>
      </c>
      <c r="S55" s="14" t="str" cm="1">
        <f t="array" ref="S55">INDEX('Vaccination-ConceptMap-1'!$I$15:$N$180,Q55+1,R55)</f>
        <v>* group[=].element[=].target.equivalence = #relatedto</v>
      </c>
    </row>
    <row r="56" spans="1:19" ht="29.5" x14ac:dyDescent="0.75">
      <c r="F56" s="64"/>
      <c r="G56" s="64"/>
      <c r="H56" s="64"/>
      <c r="J56" s="64"/>
      <c r="K56" s="64"/>
      <c r="L56" s="64"/>
      <c r="M56" s="64"/>
      <c r="N56" s="64"/>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4"/>
      <c r="G57" s="64"/>
      <c r="H57" s="64"/>
      <c r="J57" s="64"/>
      <c r="K57" s="64"/>
      <c r="L57" s="64"/>
      <c r="M57" s="64"/>
      <c r="N57" s="64"/>
      <c r="P57" s="9">
        <v>43</v>
      </c>
      <c r="Q57" s="9">
        <f t="shared" si="10"/>
        <v>7</v>
      </c>
      <c r="R57" s="9">
        <f t="shared" si="11"/>
        <v>1</v>
      </c>
      <c r="S57" s="14" t="str" cm="1">
        <f t="array" ref="S57">INDEX('Vaccination-ConceptMap-1'!$I$15:$N$180,Q57+1,R57)</f>
        <v>* group[=].element[+].code = #Vaccination.batchNumber</v>
      </c>
    </row>
    <row r="58" spans="1:19" x14ac:dyDescent="0.75">
      <c r="F58" s="64"/>
      <c r="G58" s="64"/>
      <c r="H58" s="64"/>
      <c r="J58" s="64"/>
      <c r="K58" s="64"/>
      <c r="L58" s="64"/>
      <c r="M58" s="64"/>
      <c r="N58" s="64"/>
      <c r="P58" s="9">
        <v>44</v>
      </c>
      <c r="Q58" s="9">
        <f t="shared" si="10"/>
        <v>7</v>
      </c>
      <c r="R58" s="9">
        <f t="shared" si="11"/>
        <v>2</v>
      </c>
      <c r="S58" s="14" t="str" cm="1">
        <f t="array" ref="S58">INDEX('Vaccination-ConceptMap-1'!$I$15:$N$180,Q58+1,R58)</f>
        <v>* group[=].element[=].display = ##34#A.2.2.1.6 Batch/lot number##34#</v>
      </c>
    </row>
    <row r="59" spans="1:19" x14ac:dyDescent="0.75">
      <c r="F59" s="64"/>
      <c r="G59" s="64"/>
      <c r="H59" s="64"/>
      <c r="J59" s="64"/>
      <c r="K59" s="64"/>
      <c r="L59" s="64"/>
      <c r="M59" s="64"/>
      <c r="N59" s="64"/>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1004</v>
      </c>
    </row>
    <row r="3" spans="2:7" x14ac:dyDescent="0.75">
      <c r="B3" s="32" t="s">
        <v>37</v>
      </c>
    </row>
    <row r="4" spans="2:7" x14ac:dyDescent="0.75">
      <c r="B4" s="65" t="str">
        <f>"Instance: "&amp;'Vaccination-ConceptMap-1'!C4</f>
        <v>Instance: vaccination2FHIR-eu-ps</v>
      </c>
    </row>
    <row r="5" spans="2:7" x14ac:dyDescent="0.75">
      <c r="B5" s="65" t="s">
        <v>196</v>
      </c>
    </row>
    <row r="6" spans="2:7" x14ac:dyDescent="0.75">
      <c r="B6" s="65" t="s">
        <v>197</v>
      </c>
    </row>
    <row r="7" spans="2:7" x14ac:dyDescent="0.75">
      <c r="B7" s="65" t="s">
        <v>203</v>
      </c>
    </row>
    <row r="8" spans="2:7" x14ac:dyDescent="0.75">
      <c r="B8" s="65" t="str">
        <f>"* name = ##34#"&amp;'Vaccination-ConceptMap-1'!C3&amp;"##34#"</f>
        <v>* name = ##34#Vaccination2Fhir##34#</v>
      </c>
    </row>
    <row r="9" spans="2:7" x14ac:dyDescent="0.75">
      <c r="B9" s="65" t="str">
        <f>"* title = ##34#"&amp;'Vaccination-ConceptMap-1'!C5&amp;"##34#"</f>
        <v>* title = ##34#eHN Vaccination to this guide Map##34#</v>
      </c>
    </row>
    <row r="10" spans="2:7" x14ac:dyDescent="0.75">
      <c r="B10" s="65" t="s">
        <v>198</v>
      </c>
    </row>
    <row r="11" spans="2:7" x14ac:dyDescent="0.75">
      <c r="B11" s="65" t="s">
        <v>199</v>
      </c>
    </row>
    <row r="12" spans="2:7" x14ac:dyDescent="0.75">
      <c r="B12" s="65" t="str">
        <f>"* description = ##34#"&amp;'Vaccination-ConceptMap-1'!C8&amp;"##34#"</f>
        <v>* description = ##34#eHN Vaccination infos to this guide Map##34#</v>
      </c>
    </row>
    <row r="13" spans="2:7" x14ac:dyDescent="0.75">
      <c r="B13" s="65" t="str">
        <f>"* purpose = ##34#"&amp;'Vaccination-ConceptMap-1'!C9&amp;"##34#"</f>
        <v>* purpose = ##34#It shows how the Vaccination data set defined by the EU eHN guidelines is mapped into this guide##34#</v>
      </c>
    </row>
    <row r="14" spans="2:7" x14ac:dyDescent="0.75">
      <c r="B14" s="66" t="str">
        <f>"* sourceUri = ##34#"&amp;'Vaccination-ConceptMap-1'!E3&amp;"##34#"</f>
        <v>* sourceUri = ##34#http://hl7.eu/fhir/ig/xpandh/ps/StructureDefinition/Vaccination##34#</v>
      </c>
    </row>
    <row r="15" spans="2:7" x14ac:dyDescent="0.75">
      <c r="B15" s="66" t="str">
        <f>"* targetUri = ##34#"&amp;'Vaccination-ConceptMap-1'!E4&amp;"##34#"</f>
        <v>* targetUri = ##34#http://hl7.eu/fhir/ig/xpandh/ps/StructureDefinition/Immunization-ps-eu-xpandh##34#</v>
      </c>
    </row>
    <row r="16" spans="2:7" x14ac:dyDescent="0.75">
      <c r="B16" s="65"/>
    </row>
    <row r="17" spans="2:7" x14ac:dyDescent="0.75">
      <c r="B17" s="67" t="str">
        <f>"* group[+].source = ##34#"&amp;'Vaccination-ConceptMap-1'!E6&amp;"##34#"</f>
        <v>* group[+].source = ##34#http://hl7.eu/fhir/ig/xpandh/ps/StructureDefinition/Vaccination##34#</v>
      </c>
    </row>
    <row r="18" spans="2:7" x14ac:dyDescent="0.75">
      <c r="B18" s="67" t="str">
        <f>"* group[=].target = ##34#"&amp;'Vaccination-ConceptMap-1'!E7&amp;"##34#"</f>
        <v>* group[=].target = ##34#http://hl7.eu/fhir/ig/xpandh/ps/StructureDefinition/Immunization-ps-eu-xpandh##34#</v>
      </c>
    </row>
    <row r="19" spans="2:7" x14ac:dyDescent="0.75">
      <c r="B19" s="69"/>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4"/>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65"/>
    </row>
    <row r="114" spans="2:2" x14ac:dyDescent="0.75">
      <c r="B114" s="67"/>
    </row>
    <row r="115" spans="2:2" x14ac:dyDescent="0.75">
      <c r="B115" s="67"/>
    </row>
    <row r="116" spans="2:2" x14ac:dyDescent="0.75">
      <c r="B116" s="6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A20" workbookViewId="0">
      <selection activeCell="B31" sqref="B31"/>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390</v>
      </c>
      <c r="I4" s="24" t="str">
        <f>CONCATENATE("Logical: ",B4)</f>
        <v>Logical: SubjectPsEhn</v>
      </c>
    </row>
    <row r="5" spans="1:9" x14ac:dyDescent="0.75">
      <c r="A5" s="17" t="s">
        <v>19</v>
      </c>
      <c r="B5" s="33" t="s">
        <v>12</v>
      </c>
      <c r="I5" s="24" t="str">
        <f>CONCATENATE("Id: ",B5)</f>
        <v>Id: Subject</v>
      </c>
    </row>
    <row r="6" spans="1:9" x14ac:dyDescent="0.75">
      <c r="A6" s="17" t="s">
        <v>13</v>
      </c>
      <c r="B6" s="18" t="s">
        <v>280</v>
      </c>
      <c r="I6" s="25" t="str">
        <f>CONCATENATE("Title: ##34#",B6,"##34#")</f>
        <v>Title: ##34#A1.1, A1.2 - Subject of care##34#</v>
      </c>
    </row>
    <row r="7" spans="1:9" ht="30.25" thickBot="1" x14ac:dyDescent="0.9">
      <c r="A7" s="19" t="s">
        <v>5</v>
      </c>
      <c r="B7" s="44" t="s">
        <v>281</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109</v>
      </c>
      <c r="C8" s="9" t="s">
        <v>117</v>
      </c>
      <c r="D8" s="9" t="s">
        <v>117</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114</v>
      </c>
      <c r="C9" s="9" t="s">
        <v>396</v>
      </c>
      <c r="D9" s="14" t="s">
        <v>415</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111</v>
      </c>
      <c r="C10" s="9" t="s">
        <v>395</v>
      </c>
      <c r="D10" s="87" t="s">
        <v>416</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112</v>
      </c>
      <c r="C11" s="9" t="s">
        <v>455</v>
      </c>
      <c r="D11" s="87" t="s">
        <v>417</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113</v>
      </c>
      <c r="C12" s="9" t="s">
        <v>456</v>
      </c>
      <c r="D12" s="14" t="s">
        <v>418</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115</v>
      </c>
      <c r="C13" s="9" t="s">
        <v>108</v>
      </c>
      <c r="D13" s="14" t="s">
        <v>419</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397</v>
      </c>
      <c r="C14" s="9" t="s">
        <v>430</v>
      </c>
      <c r="D14" s="14" t="s">
        <v>420</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406</v>
      </c>
      <c r="C15" s="86" t="s">
        <v>325</v>
      </c>
      <c r="D15" s="86" t="s">
        <v>421</v>
      </c>
      <c r="E15" s="15">
        <v>0</v>
      </c>
      <c r="F15" s="86" t="s">
        <v>11</v>
      </c>
      <c r="G15" s="9" t="s">
        <v>4</v>
      </c>
      <c r="H15" s="22"/>
      <c r="I15" s="14" t="str">
        <f t="shared" si="0"/>
        <v>* telcomContact 0..* BackboneElement ##34#Address##34# ##334#Address##334#</v>
      </c>
    </row>
    <row r="16" spans="1:9" ht="29.5" x14ac:dyDescent="0.75">
      <c r="A16" s="9">
        <v>9</v>
      </c>
      <c r="B16" s="9" t="s">
        <v>407</v>
      </c>
      <c r="C16" s="86" t="s">
        <v>57</v>
      </c>
      <c r="D16" s="86" t="s">
        <v>57</v>
      </c>
      <c r="E16" s="15">
        <v>0</v>
      </c>
      <c r="F16" s="86" t="s">
        <v>11</v>
      </c>
      <c r="G16" s="9" t="s">
        <v>4</v>
      </c>
      <c r="H16" s="22"/>
      <c r="I16" s="14" t="str">
        <f t="shared" si="0"/>
        <v>* telcomContact.address 0..* BackboneElement ##34#A.1.2.1.1 Street##34# ##334#A.1.2.1.1 Street - Example: Rua dos Campeões##334#</v>
      </c>
    </row>
    <row r="17" spans="1:9" ht="29.5" x14ac:dyDescent="0.75">
      <c r="A17" s="9">
        <v>10</v>
      </c>
      <c r="B17" s="9" t="s">
        <v>408</v>
      </c>
      <c r="C17" s="86" t="s">
        <v>398</v>
      </c>
      <c r="D17" s="86" t="s">
        <v>422</v>
      </c>
      <c r="E17" s="15">
        <v>0</v>
      </c>
      <c r="F17" s="86">
        <v>1</v>
      </c>
      <c r="G17" s="9" t="s">
        <v>3</v>
      </c>
      <c r="H17" s="22"/>
      <c r="I17" s="14" t="str">
        <f t="shared" si="0"/>
        <v>* telcomContact.address.street 0..1 string ##34#A.1.2.1.2 House number##34# ##334#A.1.2.1.2 House number - Example: 246##334#</v>
      </c>
    </row>
    <row r="18" spans="1:9" ht="59" x14ac:dyDescent="0.75">
      <c r="A18" s="9">
        <v>11</v>
      </c>
      <c r="B18" s="9" t="s">
        <v>409</v>
      </c>
      <c r="C18" s="86" t="s">
        <v>399</v>
      </c>
      <c r="D18" s="86" t="s">
        <v>423</v>
      </c>
      <c r="E18" s="15">
        <v>0</v>
      </c>
      <c r="F18" s="86">
        <v>1</v>
      </c>
      <c r="G18" s="9" t="s">
        <v>3</v>
      </c>
      <c r="H18" s="22"/>
      <c r="I18" s="14" t="str">
        <f t="shared" si="0"/>
        <v>* telcomContact.address.houseNumber 0..1 string ##34#A.1.2.1.3 City##34# ##334#A.1.2.1.3 City - Example: Porto##334#</v>
      </c>
    </row>
    <row r="19" spans="1:9" ht="59" x14ac:dyDescent="0.75">
      <c r="A19" s="9">
        <v>12</v>
      </c>
      <c r="B19" s="9" t="s">
        <v>410</v>
      </c>
      <c r="C19" s="86" t="s">
        <v>400</v>
      </c>
      <c r="D19" s="86" t="s">
        <v>424</v>
      </c>
      <c r="E19" s="15">
        <v>0</v>
      </c>
      <c r="F19" s="86">
        <v>1</v>
      </c>
      <c r="G19" s="9" t="s">
        <v>3</v>
      </c>
      <c r="H19" s="22"/>
      <c r="I19" s="14" t="str">
        <f t="shared" si="0"/>
        <v>* telcomContact.address.city 0..1 string ##34#A.1.2.1.4 Post code##34# ##334#A.1.2.1.4 Post code - Example: 4500##334#</v>
      </c>
    </row>
    <row r="20" spans="1:9" ht="59" x14ac:dyDescent="0.75">
      <c r="A20" s="9">
        <v>13</v>
      </c>
      <c r="B20" s="9" t="s">
        <v>445</v>
      </c>
      <c r="C20" s="86" t="s">
        <v>401</v>
      </c>
      <c r="D20" s="86" t="s">
        <v>425</v>
      </c>
      <c r="E20" s="15">
        <v>0</v>
      </c>
      <c r="F20" s="86">
        <v>1</v>
      </c>
      <c r="G20" s="9" t="s">
        <v>3</v>
      </c>
      <c r="H20" s="22"/>
      <c r="I20" s="14" t="str">
        <f t="shared" si="0"/>
        <v>* telcomContact.address.postalCode 0..1 string ##34#A.1.2.1.5 State or province##34# ##334#A.1.2.1.5 State or province - Example: Vila Nova de Gaia##334#</v>
      </c>
    </row>
    <row r="21" spans="1:9" ht="59" x14ac:dyDescent="0.75">
      <c r="A21" s="9">
        <v>14</v>
      </c>
      <c r="B21" s="9" t="s">
        <v>411</v>
      </c>
      <c r="C21" s="86" t="s">
        <v>402</v>
      </c>
      <c r="D21" s="86" t="s">
        <v>426</v>
      </c>
      <c r="E21" s="15">
        <v>0</v>
      </c>
      <c r="F21" s="86">
        <v>1</v>
      </c>
      <c r="G21" s="9" t="s">
        <v>3</v>
      </c>
      <c r="H21" s="22"/>
      <c r="I21" s="14" t="str">
        <f t="shared" si="0"/>
        <v>* telcomContact.address.stateOrProvince 0..1 string ##34#A.1.2.1.6 Country##34# ##334#A.1.2.1.6 Country - Example: PT - Preferred system(s): ISO 3166##334#</v>
      </c>
    </row>
    <row r="22" spans="1:9" ht="59" x14ac:dyDescent="0.75">
      <c r="A22" s="9">
        <v>15</v>
      </c>
      <c r="B22" s="9" t="s">
        <v>412</v>
      </c>
      <c r="C22" s="9" t="s">
        <v>403</v>
      </c>
      <c r="D22" s="86" t="s">
        <v>427</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413</v>
      </c>
      <c r="C23" s="9" t="s">
        <v>404</v>
      </c>
      <c r="D23" s="86" t="s">
        <v>428</v>
      </c>
      <c r="E23" s="15">
        <v>0</v>
      </c>
      <c r="F23" s="9" t="s">
        <v>11</v>
      </c>
      <c r="G23" s="9" t="s">
        <v>118</v>
      </c>
      <c r="H23" s="22"/>
      <c r="I23" s="14" t="str">
        <f t="shared" si="0"/>
        <v>* telcomContact.telephone 0..* ContactPoint ##34#A.1.2.1.8 Email##34# ##334#A.1.2.1.8 Email - Example: jens@bigsmile.eu##334#</v>
      </c>
    </row>
    <row r="24" spans="1:9" ht="59.75" thickBot="1" x14ac:dyDescent="0.9">
      <c r="A24" s="9">
        <v>17</v>
      </c>
      <c r="B24" s="9" t="s">
        <v>414</v>
      </c>
      <c r="C24" s="9" t="s">
        <v>405</v>
      </c>
      <c r="D24" s="86" t="s">
        <v>429</v>
      </c>
      <c r="E24" s="15">
        <v>0</v>
      </c>
      <c r="F24" s="9" t="s">
        <v>11</v>
      </c>
      <c r="G24" s="9" t="s">
        <v>118</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489</v>
      </c>
      <c r="C25" s="9" t="s">
        <v>463</v>
      </c>
      <c r="D25" s="89" t="s">
        <v>350</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490</v>
      </c>
      <c r="C26" s="9" t="s">
        <v>464</v>
      </c>
      <c r="D26" s="74" t="s">
        <v>471</v>
      </c>
      <c r="E26" s="15">
        <v>0</v>
      </c>
      <c r="F26" s="9" t="s">
        <v>11</v>
      </c>
      <c r="G26" s="9" t="s">
        <v>3</v>
      </c>
      <c r="H26" s="22"/>
      <c r="I26" s="14" t="str">
        <f t="shared" si="0"/>
        <v>* hpToContact.name 0..* string ##34#A.1.2.2.2 Role of the HP##34# ##334#A.1.2.2.2 Role of the HP - Health professional role##334#</v>
      </c>
    </row>
    <row r="27" spans="1:9" ht="45" thickBot="1" x14ac:dyDescent="0.9">
      <c r="A27" s="9">
        <v>20</v>
      </c>
      <c r="B27" s="9" t="s">
        <v>491</v>
      </c>
      <c r="C27" s="9" t="s">
        <v>465</v>
      </c>
      <c r="D27" s="76" t="s">
        <v>472</v>
      </c>
      <c r="E27" s="15">
        <v>0</v>
      </c>
      <c r="F27" s="9" t="s">
        <v>11</v>
      </c>
      <c r="G27" s="9" t="s">
        <v>1</v>
      </c>
      <c r="H27" s="22"/>
      <c r="I27" s="14" t="str">
        <f t="shared" si="0"/>
        <v>* hpToContact.role 0..* CodeableConcept ##34#A.1.2.2.3 HP Organisation##34# ##334#A.1.2.2.3 HP Organisation - Health professional organisation##334#</v>
      </c>
    </row>
    <row r="28" spans="1:9" ht="30.25" thickBot="1" x14ac:dyDescent="0.9">
      <c r="A28" s="9">
        <v>21</v>
      </c>
      <c r="B28" s="9" t="s">
        <v>492</v>
      </c>
      <c r="C28" s="9" t="s">
        <v>466</v>
      </c>
      <c r="D28" s="76" t="s">
        <v>473</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493</v>
      </c>
      <c r="C29" s="9" t="s">
        <v>467</v>
      </c>
      <c r="D29" s="76" t="s">
        <v>474</v>
      </c>
      <c r="E29" s="15">
        <v>0</v>
      </c>
      <c r="F29" s="9" t="s">
        <v>11</v>
      </c>
      <c r="G29" s="9" t="s">
        <v>118</v>
      </c>
      <c r="H29" s="22"/>
      <c r="I29" s="14" t="str">
        <f t="shared" si="0"/>
        <v>* hpToContact.telephone 0..* ContactPoint ##34#A.1.2.2.5 Email##34# ##334#A.1.2.2.5 Email - Email of the HP/legal organisation##334#</v>
      </c>
    </row>
    <row r="30" spans="1:9" ht="45" thickBot="1" x14ac:dyDescent="0.9">
      <c r="A30" s="9">
        <v>23</v>
      </c>
      <c r="B30" s="9" t="s">
        <v>494</v>
      </c>
      <c r="C30" s="9" t="s">
        <v>468</v>
      </c>
      <c r="D30" s="76" t="s">
        <v>475</v>
      </c>
      <c r="E30" s="15">
        <v>0</v>
      </c>
      <c r="F30" s="9" t="s">
        <v>11</v>
      </c>
      <c r="G30" s="9" t="s">
        <v>118</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495</v>
      </c>
      <c r="C31" s="9" t="s">
        <v>469</v>
      </c>
      <c r="D31" s="76" t="s">
        <v>476</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496</v>
      </c>
      <c r="C32" s="9" t="s">
        <v>470</v>
      </c>
      <c r="D32" s="76" t="s">
        <v>477</v>
      </c>
      <c r="E32" s="15">
        <v>0</v>
      </c>
      <c r="F32" s="9" t="s">
        <v>11</v>
      </c>
      <c r="G32" s="9" t="s">
        <v>478</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497</v>
      </c>
      <c r="C33" s="9" t="s">
        <v>479</v>
      </c>
      <c r="D33" s="76" t="s">
        <v>486</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503</v>
      </c>
      <c r="C34" s="9" t="s">
        <v>480</v>
      </c>
      <c r="D34" s="76" t="s">
        <v>487</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1" t="s">
        <v>504</v>
      </c>
      <c r="C35" s="51" t="s">
        <v>481</v>
      </c>
      <c r="D35" s="76" t="s">
        <v>488</v>
      </c>
      <c r="E35" s="15">
        <v>0</v>
      </c>
      <c r="F35" s="9" t="s">
        <v>11</v>
      </c>
      <c r="G35" s="51"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505</v>
      </c>
      <c r="C36" s="9" t="s">
        <v>482</v>
      </c>
      <c r="D36" s="76" t="s">
        <v>498</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1" t="s">
        <v>506</v>
      </c>
      <c r="C37" s="51" t="s">
        <v>483</v>
      </c>
      <c r="D37" s="40" t="s">
        <v>500</v>
      </c>
      <c r="E37" s="15">
        <v>0</v>
      </c>
      <c r="F37" s="9" t="s">
        <v>11</v>
      </c>
      <c r="G37" s="51" t="s">
        <v>3</v>
      </c>
      <c r="H37" s="22"/>
      <c r="I37" s="14" t="str">
        <f t="shared" si="0"/>
        <v>* contactPerson.familyName 0..* string ##34#A.1.2.3.5 Telephone no.##34# ##334#A.1.2.3.5 Telephone no. - Example: +45 20 7025 6161##334#</v>
      </c>
    </row>
    <row r="38" spans="1:11" ht="30.25" thickBot="1" x14ac:dyDescent="0.9">
      <c r="A38" s="9">
        <v>31</v>
      </c>
      <c r="B38" s="51" t="s">
        <v>507</v>
      </c>
      <c r="C38" s="51" t="s">
        <v>484</v>
      </c>
      <c r="D38" s="76" t="s">
        <v>501</v>
      </c>
      <c r="E38" s="15">
        <v>0</v>
      </c>
      <c r="F38" s="9" t="s">
        <v>11</v>
      </c>
      <c r="G38" s="51" t="s">
        <v>118</v>
      </c>
      <c r="H38" s="22"/>
      <c r="I38" s="14" t="str">
        <f t="shared" si="0"/>
        <v>* contactPerson.telephone 0..* ContactPoint ##34#A.1.2.3.6 Email##34# ##334#A.1.2.3.6 Email - Email of the contact person/legal guardian##334#</v>
      </c>
    </row>
    <row r="39" spans="1:11" ht="15.5" thickBot="1" x14ac:dyDescent="0.9">
      <c r="A39" s="9">
        <v>32</v>
      </c>
      <c r="B39" s="9" t="s">
        <v>508</v>
      </c>
      <c r="C39" s="9" t="s">
        <v>485</v>
      </c>
      <c r="D39" s="76" t="s">
        <v>502</v>
      </c>
      <c r="E39" s="15">
        <v>0</v>
      </c>
      <c r="F39" s="9" t="s">
        <v>11</v>
      </c>
      <c r="G39" s="9" t="s">
        <v>118</v>
      </c>
      <c r="H39" s="22"/>
      <c r="I39" s="14" t="str">
        <f t="shared" si="0"/>
        <v>* contactPerson.email 0..* ContactPoint ##34###34# ##334###334#</v>
      </c>
      <c r="J39" s="15"/>
      <c r="K39" s="9"/>
    </row>
    <row r="40" spans="1:11" ht="15.5" thickBot="1" x14ac:dyDescent="0.9">
      <c r="A40" s="9"/>
      <c r="B40" s="51"/>
      <c r="C40" s="51"/>
      <c r="D40" s="76"/>
      <c r="E40" s="51"/>
      <c r="F40" s="51"/>
      <c r="G40" s="51"/>
      <c r="H40" s="22"/>
      <c r="I40" s="14" t="str">
        <f>CONCATENATE("* ",B40, " ",E40,"..",F40," ",G40," ##34#",C41,"##34# ##334#",D41,"##334#")</f>
        <v>*  ..  ##34###34# ##334###334#</v>
      </c>
    </row>
    <row r="41" spans="1:11" x14ac:dyDescent="0.75">
      <c r="A41" s="9"/>
      <c r="B41" s="51"/>
      <c r="C41" s="51"/>
      <c r="D41" s="90"/>
      <c r="E41" s="51"/>
      <c r="F41" s="51"/>
      <c r="G41" s="51"/>
      <c r="H41" s="22"/>
      <c r="I41" s="14" t="str">
        <f t="shared" si="0"/>
        <v>*  ..  ##34###34# ##334###334#</v>
      </c>
    </row>
    <row r="42" spans="1:11" x14ac:dyDescent="0.75">
      <c r="A42" s="9"/>
      <c r="B42" s="51"/>
      <c r="C42" s="51"/>
      <c r="D42" s="90"/>
      <c r="E42" s="51"/>
      <c r="F42" s="51"/>
      <c r="G42" s="51"/>
      <c r="H42" s="22"/>
      <c r="I42" s="14" t="str">
        <f t="shared" si="0"/>
        <v>*  ..  ##34###34# ##334###334#</v>
      </c>
    </row>
    <row r="43" spans="1:11" x14ac:dyDescent="0.75">
      <c r="A43" s="9"/>
      <c r="B43" s="51"/>
      <c r="C43" s="51"/>
      <c r="D43" s="90"/>
      <c r="E43" s="51"/>
      <c r="F43" s="51"/>
      <c r="G43" s="51"/>
      <c r="H43" s="22"/>
      <c r="I43" s="14" t="str">
        <f t="shared" si="0"/>
        <v>*  ..  ##34###34# ##334###334#</v>
      </c>
    </row>
    <row r="44" spans="1:11" x14ac:dyDescent="0.75">
      <c r="A44" s="9"/>
      <c r="B44" s="51"/>
      <c r="C44" s="51"/>
      <c r="D44" s="90"/>
      <c r="E44" s="51"/>
      <c r="F44" s="51"/>
      <c r="G44" s="51"/>
      <c r="H44" s="22"/>
      <c r="I44" s="14"/>
    </row>
    <row r="45" spans="1:11" x14ac:dyDescent="0.75">
      <c r="A45" s="9"/>
      <c r="B45" s="51"/>
      <c r="C45" s="51"/>
      <c r="D45" s="90"/>
      <c r="E45" s="51"/>
      <c r="F45" s="51"/>
      <c r="G45" s="51"/>
      <c r="H45" s="22"/>
      <c r="I45" s="14"/>
    </row>
    <row r="46" spans="1:11" ht="20.5" customHeight="1" x14ac:dyDescent="0.75">
      <c r="A46" s="9"/>
      <c r="B46" s="51"/>
      <c r="C46" s="51"/>
      <c r="D46" s="51"/>
      <c r="E46" s="51"/>
      <c r="F46" s="51"/>
      <c r="G46" s="51"/>
      <c r="H46" s="22"/>
      <c r="I46" s="14"/>
    </row>
    <row r="47" spans="1:11" x14ac:dyDescent="0.75">
      <c r="A47" s="9"/>
      <c r="B47" s="9"/>
      <c r="C47" s="9"/>
      <c r="D47" s="9"/>
      <c r="E47" s="9"/>
      <c r="F47" s="9"/>
      <c r="G47" s="9"/>
      <c r="H47" s="22"/>
      <c r="I47" s="14"/>
    </row>
    <row r="48" spans="1:11" x14ac:dyDescent="0.75">
      <c r="A48" s="9"/>
      <c r="B48" s="51"/>
      <c r="C48" s="51"/>
      <c r="D48" s="51"/>
      <c r="E48" s="51"/>
      <c r="F48" s="51"/>
      <c r="G48" s="51"/>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70" t="s">
        <v>370</v>
      </c>
      <c r="D52" s="152"/>
      <c r="E52" s="152"/>
      <c r="F52" s="153"/>
      <c r="I52"/>
    </row>
    <row r="53" spans="1:9" ht="133.5" thickBot="1" x14ac:dyDescent="0.9">
      <c r="B53" t="str">
        <f t="shared" si="1"/>
        <v>A.1.2.3.1 Role of that person</v>
      </c>
      <c r="C53" s="73" t="s">
        <v>371</v>
      </c>
      <c r="D53" s="74" t="s">
        <v>372</v>
      </c>
      <c r="E53" s="74" t="s">
        <v>373</v>
      </c>
      <c r="F53" s="74" t="s">
        <v>374</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75" t="s">
        <v>375</v>
      </c>
      <c r="D54" s="76" t="s">
        <v>376</v>
      </c>
      <c r="E54" s="76" t="s">
        <v>377</v>
      </c>
      <c r="F54" s="76"/>
      <c r="I54" s="1" t="str">
        <f t="shared" si="2"/>
        <v xml:space="preserve">Relationship type with the patient (e.g. father, wife, daughter) HL7 RoleCode - Preferred system(s): </v>
      </c>
    </row>
    <row r="55" spans="1:9" ht="30.25" customHeight="1" thickBot="1" x14ac:dyDescent="0.9">
      <c r="B55" t="str">
        <f t="shared" si="1"/>
        <v>A.1.2.3.3 Given name</v>
      </c>
      <c r="C55" s="75" t="s">
        <v>378</v>
      </c>
      <c r="D55" s="76" t="s">
        <v>379</v>
      </c>
      <c r="E55" s="76" t="s">
        <v>380</v>
      </c>
      <c r="F55" s="7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88" t="s">
        <v>381</v>
      </c>
      <c r="D56" s="88" t="s">
        <v>44</v>
      </c>
      <c r="E56" s="40" t="s">
        <v>499</v>
      </c>
      <c r="F56" s="88"/>
      <c r="I56" s="1" t="str">
        <f t="shared" si="2"/>
        <v xml:space="preserve">This field can contain more than one element.
Example: Español Smith - Preferred system(s): </v>
      </c>
    </row>
    <row r="57" spans="1:9" ht="45" customHeight="1" thickBot="1" x14ac:dyDescent="0.9">
      <c r="B57" t="str">
        <f t="shared" si="1"/>
        <v>A.1.2.3.5 Telephone no.</v>
      </c>
      <c r="C57" s="75" t="s">
        <v>384</v>
      </c>
      <c r="D57" s="76" t="s">
        <v>344</v>
      </c>
      <c r="E57" s="76" t="s">
        <v>361</v>
      </c>
      <c r="F57" s="76"/>
      <c r="I57" s="1" t="str">
        <f t="shared" si="2"/>
        <v xml:space="preserve">Example: +45 20 7025 6161 - Preferred system(s): </v>
      </c>
    </row>
    <row r="58" spans="1:9" ht="29.5" customHeight="1" thickBot="1" x14ac:dyDescent="0.9">
      <c r="B58" t="str">
        <f t="shared" si="1"/>
        <v>A.1.2.3.6 Email</v>
      </c>
      <c r="C58" s="75" t="s">
        <v>385</v>
      </c>
      <c r="D58" s="76" t="s">
        <v>347</v>
      </c>
      <c r="E58" s="76" t="s">
        <v>386</v>
      </c>
      <c r="F58" s="76"/>
      <c r="I58" s="1" t="str">
        <f t="shared" si="2"/>
        <v xml:space="preserve">Email of the contact person/legal guardian - Preferred system(s): </v>
      </c>
    </row>
    <row r="59" spans="1:9" ht="14.75" customHeight="1" thickBot="1" x14ac:dyDescent="0.9">
      <c r="C59" s="75"/>
      <c r="D59" s="76"/>
      <c r="E59" s="76"/>
      <c r="F59" s="76"/>
      <c r="I59" s="1" t="str">
        <f t="shared" si="2"/>
        <v xml:space="preserve"> - Preferred system(s): </v>
      </c>
    </row>
    <row r="60" spans="1:9" ht="30.25" customHeight="1" thickBot="1" x14ac:dyDescent="0.9">
      <c r="B60" t="str">
        <f t="shared" si="1"/>
        <v xml:space="preserve"> </v>
      </c>
      <c r="C60" s="75"/>
      <c r="D60" s="76"/>
      <c r="E60" s="76"/>
      <c r="F60" s="76"/>
      <c r="I60" s="1" t="str">
        <f t="shared" si="2"/>
        <v xml:space="preserve"> - Preferred system(s): </v>
      </c>
    </row>
    <row r="61" spans="1:9" ht="15.5" thickBot="1" x14ac:dyDescent="0.9">
      <c r="B61" t="str">
        <f t="shared" si="1"/>
        <v xml:space="preserve"> </v>
      </c>
      <c r="C61" s="75"/>
      <c r="D61" s="76"/>
      <c r="E61" s="76"/>
      <c r="F61" s="7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topLeftCell="A11"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48" t="s">
        <v>431</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116</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2"/>
  <sheetViews>
    <sheetView topLeftCell="A4" zoomScale="85" zoomScaleNormal="85" workbookViewId="0">
      <selection activeCell="P15" sqref="P15:S242"/>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845</v>
      </c>
      <c r="D3" s="61" t="s">
        <v>208</v>
      </c>
      <c r="E3" s="164" t="s">
        <v>453</v>
      </c>
      <c r="F3" s="164"/>
      <c r="G3" s="164"/>
    </row>
    <row r="4" spans="1:19" x14ac:dyDescent="0.75">
      <c r="B4" s="61" t="s">
        <v>19</v>
      </c>
      <c r="C4" s="47" t="s">
        <v>516</v>
      </c>
      <c r="D4" s="61" t="s">
        <v>209</v>
      </c>
      <c r="E4" s="165" t="s">
        <v>1324</v>
      </c>
      <c r="F4" s="164"/>
      <c r="G4" s="164"/>
    </row>
    <row r="5" spans="1:19" x14ac:dyDescent="0.75">
      <c r="B5" s="61" t="s">
        <v>13</v>
      </c>
      <c r="C5" s="10" t="s">
        <v>220</v>
      </c>
      <c r="D5" s="61"/>
      <c r="E5" s="10"/>
    </row>
    <row r="6" spans="1:19" x14ac:dyDescent="0.75">
      <c r="B6" s="61" t="s">
        <v>35</v>
      </c>
      <c r="C6" s="60" t="s">
        <v>453</v>
      </c>
      <c r="D6" s="61" t="s">
        <v>206</v>
      </c>
      <c r="E6" s="164" t="s">
        <v>453</v>
      </c>
      <c r="F6" s="164"/>
      <c r="G6" s="164"/>
    </row>
    <row r="7" spans="1:19" x14ac:dyDescent="0.75">
      <c r="B7" s="61" t="s">
        <v>18</v>
      </c>
      <c r="C7" s="60" t="s">
        <v>454</v>
      </c>
      <c r="D7" s="61" t="s">
        <v>207</v>
      </c>
      <c r="E7" s="165" t="s">
        <v>454</v>
      </c>
      <c r="F7" s="164"/>
      <c r="G7" s="164"/>
    </row>
    <row r="8" spans="1:19" ht="44.25" x14ac:dyDescent="0.75">
      <c r="B8" s="61" t="s">
        <v>204</v>
      </c>
      <c r="C8" s="10" t="s">
        <v>221</v>
      </c>
      <c r="D8" s="61"/>
      <c r="E8"/>
      <c r="I8" s="14" t="s">
        <v>181</v>
      </c>
      <c r="J8" s="14" t="s">
        <v>182</v>
      </c>
      <c r="K8" s="14" t="s">
        <v>183</v>
      </c>
      <c r="L8" s="14" t="s">
        <v>184</v>
      </c>
      <c r="M8" s="9" t="s">
        <v>185</v>
      </c>
      <c r="P8" s="57" t="s">
        <v>186</v>
      </c>
      <c r="Q8" s="57">
        <v>6</v>
      </c>
    </row>
    <row r="9" spans="1:19" ht="29.5" x14ac:dyDescent="0.75">
      <c r="B9" s="61" t="s">
        <v>205</v>
      </c>
      <c r="C9" s="1" t="s">
        <v>457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Subj!B5</f>
        <v>Subject</v>
      </c>
      <c r="C14" s="9"/>
      <c r="D14" s="4" t="s">
        <v>17</v>
      </c>
      <c r="E14" s="8"/>
      <c r="F14" s="9"/>
      <c r="G14" s="9"/>
      <c r="I14" s="14"/>
      <c r="J14" s="9"/>
      <c r="K14" s="9"/>
      <c r="L14" s="9"/>
      <c r="M14" s="59"/>
      <c r="N14" s="62"/>
    </row>
    <row r="15" spans="1:19" ht="44.25" x14ac:dyDescent="0.75">
      <c r="A15" s="22"/>
      <c r="B15" s="9" t="str">
        <f>Subj!B8</f>
        <v>identification</v>
      </c>
      <c r="C15" s="9" t="str">
        <f>Subj!C8</f>
        <v>A.1.1 Identification of the patient/subject</v>
      </c>
      <c r="D15" s="9"/>
      <c r="E15" s="54"/>
      <c r="F15" s="63" t="s">
        <v>193</v>
      </c>
      <c r="G15" s="63"/>
      <c r="H15" s="64"/>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INDEX('Subj-ConceptMap-1'!$I$15:$N$205,Q15+1,R15)</f>
        <v>* group[=].element[+].code = #Subject.identification</v>
      </c>
    </row>
    <row r="16" spans="1:19" ht="44.25" x14ac:dyDescent="0.75">
      <c r="A16" s="22"/>
      <c r="B16" s="9" t="str">
        <f>Subj!B9</f>
        <v>identification.identifier</v>
      </c>
      <c r="C16" s="9" t="str">
        <f>Subj!C9</f>
        <v>A.1.1.1 National healthcare patient ID</v>
      </c>
      <c r="D16" s="9" t="s">
        <v>136</v>
      </c>
      <c r="E16" s="9"/>
      <c r="F16" s="63" t="s">
        <v>192</v>
      </c>
      <c r="G16" s="63"/>
      <c r="H16" s="64"/>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INDEX('Subj-ConceptMap-1'!$I$15:$N$205,Q16+1,R16)</f>
        <v>* group[=].element[=].display = ##34#A.1.1 Identification of the patient/subject##34#</v>
      </c>
    </row>
    <row r="17" spans="1:19" ht="44.25" x14ac:dyDescent="0.75">
      <c r="A17" s="22"/>
      <c r="B17" s="9" t="str">
        <f>Subj!B10</f>
        <v>identification.familyName</v>
      </c>
      <c r="C17" s="9" t="str">
        <f>Subj!C10</f>
        <v>A.1.1.2 Family name/surname</v>
      </c>
      <c r="D17" s="9" t="s">
        <v>213</v>
      </c>
      <c r="E17" s="9"/>
      <c r="F17" s="63" t="s">
        <v>192</v>
      </c>
      <c r="G17" s="63"/>
      <c r="H17" s="64"/>
      <c r="I17" s="14" t="str">
        <f t="shared" ref="I17:I41" si="11">"* group[=].element[+].code = #"&amp;$B$14&amp;"."&amp;B17</f>
        <v>* group[=].element[+].code = #Subject.identification.familyName</v>
      </c>
      <c r="J17" s="14" t="str">
        <f t="shared" ref="J17:J41" si="12">"* group[=].element[=].display = ##34#"&amp;C17&amp;"##34#"</f>
        <v>* group[=].element[=].display = ##34#A.1.1.2 Family name/surname##34#</v>
      </c>
      <c r="K17" s="14" t="str">
        <f t="shared" ref="K17:K41" si="13">IF(F17="unmatched","//-- unmatched",IF(D17="","* group[=].element[=].target.code = #"&amp;$D$14,"* group[=].element[=].target.code = #"&amp;$D$14&amp;"."&amp;D17))</f>
        <v>* group[=].element[=].target.code = #Patient.name.family</v>
      </c>
      <c r="L17" s="14" t="str">
        <f t="shared" ref="L17:L41" si="14">IF(F17="unmatched","//-- unmatched","* group[=].element[=].target.display = ##34#"&amp;E17&amp;"##34#")</f>
        <v>* group[=].element[=].target.display = ##34###34#</v>
      </c>
      <c r="M17" s="14" t="str">
        <f t="shared" ref="M17:M41" si="15">"* group[=].element[=].target.equivalence = #"&amp;F17</f>
        <v>* group[=].element[=].target.equivalence = #equivalent</v>
      </c>
      <c r="N17" s="14" t="str">
        <f t="shared" ref="N17:N41" si="16">IF(G17&lt;&gt;"",CONCATENATE("* group[=].element[=].target.comment = ","##34#",G17,"##34#"),"")</f>
        <v/>
      </c>
      <c r="P17" s="9">
        <v>3</v>
      </c>
      <c r="Q17" s="9">
        <f t="shared" si="9"/>
        <v>0</v>
      </c>
      <c r="R17" s="9">
        <f t="shared" si="10"/>
        <v>3</v>
      </c>
      <c r="S17" s="14" t="str" cm="1">
        <f t="array" ref="S17">INDEX('Subj-ConceptMap-1'!$I$15:$N$205,Q17+1,R17)</f>
        <v>* group[=].element[=].target.code = #Patient</v>
      </c>
    </row>
    <row r="18" spans="1:19" ht="44.25" x14ac:dyDescent="0.75">
      <c r="A18" s="22"/>
      <c r="B18" s="9" t="str">
        <f>Subj!B11</f>
        <v>identification.givenName</v>
      </c>
      <c r="C18" s="9" t="str">
        <f>Subj!C11</f>
        <v>A.1.1.3 Given name</v>
      </c>
      <c r="D18" s="9" t="s">
        <v>214</v>
      </c>
      <c r="E18" s="9"/>
      <c r="F18" s="63" t="s">
        <v>192</v>
      </c>
      <c r="G18" s="63"/>
      <c r="H18" s="64"/>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INDEX('Subj-ConceptMap-1'!$I$15:$N$205,Q18+1,R18)</f>
        <v>* group[=].element[=].target.display = ##34###34#</v>
      </c>
    </row>
    <row r="19" spans="1:19" ht="44.25" x14ac:dyDescent="0.75">
      <c r="A19" s="22"/>
      <c r="B19" s="9" t="str">
        <f>Subj!B12</f>
        <v>identification.dateOfBirth</v>
      </c>
      <c r="C19" s="9" t="str">
        <f>Subj!C12</f>
        <v>A.1.1.4 Date of birth</v>
      </c>
      <c r="D19" s="9" t="s">
        <v>215</v>
      </c>
      <c r="E19" s="9"/>
      <c r="F19" s="63" t="s">
        <v>192</v>
      </c>
      <c r="G19" s="63"/>
      <c r="H19" s="64"/>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INDEX('Subj-ConceptMap-1'!$I$15:$N$205,Q19+1,R19)</f>
        <v>* group[=].element[=].target.equivalence = #relatedto</v>
      </c>
    </row>
    <row r="20" spans="1:19" ht="44.25" x14ac:dyDescent="0.75">
      <c r="A20" s="22"/>
      <c r="B20" s="9" t="str">
        <f>Subj!B13</f>
        <v>identification.gender</v>
      </c>
      <c r="C20" s="9" t="str">
        <f>Subj!C13</f>
        <v>A.1.1.5 Gender</v>
      </c>
      <c r="D20" s="9" t="s">
        <v>216</v>
      </c>
      <c r="E20" s="9"/>
      <c r="F20" s="63" t="s">
        <v>192</v>
      </c>
      <c r="G20" s="63"/>
      <c r="H20" s="64"/>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INDEX('Subj-ConceptMap-1'!$I$15:$N$205,Q20+1,R20)</f>
        <v/>
      </c>
    </row>
    <row r="21" spans="1:19" ht="88.5" x14ac:dyDescent="0.75">
      <c r="A21" s="22"/>
      <c r="B21" s="9" t="str">
        <f>Subj!B14</f>
        <v>identification.countryOfAffiliation</v>
      </c>
      <c r="C21" s="9" t="str">
        <f>Subj!C14</f>
        <v>A.1.1.5 Country of affiliation</v>
      </c>
      <c r="D21" s="14" t="s">
        <v>439</v>
      </c>
      <c r="E21" s="9"/>
      <c r="F21" s="63" t="s">
        <v>193</v>
      </c>
      <c r="G21" s="70" t="s">
        <v>452</v>
      </c>
      <c r="H21" s="64"/>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INDEX('Subj-ConceptMap-1'!$I$15:$N$205,Q21+1,R21)</f>
        <v>* group[=].element[+].code = #Subject.identification.identifier</v>
      </c>
    </row>
    <row r="22" spans="1:19" ht="44.25" x14ac:dyDescent="0.75">
      <c r="A22" s="22"/>
      <c r="B22" s="9" t="str">
        <f>Subj!B15</f>
        <v>telcomContact</v>
      </c>
      <c r="C22" s="9" t="str">
        <f>Subj!C15</f>
        <v>A.1.2.1 Patient address</v>
      </c>
      <c r="D22" s="9"/>
      <c r="E22" s="9"/>
      <c r="F22" s="63" t="s">
        <v>193</v>
      </c>
      <c r="G22" s="71"/>
      <c r="H22" s="64"/>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INDEX('Subj-ConceptMap-1'!$I$15:$N$205,Q22+1,R22)</f>
        <v>* group[=].element[=].display = ##34#A.1.1.1 National healthcare patient ID##34#</v>
      </c>
    </row>
    <row r="23" spans="1:19" ht="44.25" x14ac:dyDescent="0.75">
      <c r="A23" s="22"/>
      <c r="B23" s="9" t="str">
        <f>Subj!B16</f>
        <v>telcomContact.address</v>
      </c>
      <c r="C23" s="9" t="str">
        <f>Subj!C16</f>
        <v>Address</v>
      </c>
      <c r="D23" s="9" t="s">
        <v>217</v>
      </c>
      <c r="E23" s="14"/>
      <c r="F23" s="63" t="s">
        <v>192</v>
      </c>
      <c r="G23" s="63"/>
      <c r="H23" s="64"/>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INDEX('Subj-ConceptMap-1'!$I$15:$N$205,Q23+1,R23)</f>
        <v>* group[=].element[=].target.code = #Patient.identifier</v>
      </c>
    </row>
    <row r="24" spans="1:19" ht="44.25" x14ac:dyDescent="0.75">
      <c r="A24" s="22"/>
      <c r="B24" s="9" t="str">
        <f>Subj!B17</f>
        <v>telcomContact.address.street</v>
      </c>
      <c r="C24" s="9" t="str">
        <f>Subj!C17</f>
        <v>A.1.2.1.1 Street</v>
      </c>
      <c r="D24" s="1" t="s">
        <v>437</v>
      </c>
      <c r="E24" s="14"/>
      <c r="F24" s="63" t="s">
        <v>193</v>
      </c>
      <c r="G24" s="63"/>
      <c r="H24" s="64"/>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INDEX('Subj-ConceptMap-1'!$I$15:$N$205,Q24+1,R24)</f>
        <v>* group[=].element[=].target.display = ##34###34#</v>
      </c>
    </row>
    <row r="25" spans="1:19" ht="88.5" x14ac:dyDescent="0.75">
      <c r="B25" s="9" t="str">
        <f>Subj!B17</f>
        <v>telcomContact.address.street</v>
      </c>
      <c r="C25" s="9" t="str">
        <f>Subj!C17</f>
        <v>A.1.2.1.1 Street</v>
      </c>
      <c r="D25" s="1" t="s">
        <v>442</v>
      </c>
      <c r="E25" s="14"/>
      <c r="F25" s="63" t="s">
        <v>192</v>
      </c>
      <c r="G25" t="s">
        <v>440</v>
      </c>
      <c r="H25" s="64"/>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INDEX('Subj-ConceptMap-1'!$I$15:$N$205,Q25+1,R25)</f>
        <v>* group[=].element[=].target.equivalence = #equivalent</v>
      </c>
    </row>
    <row r="26" spans="1:19" ht="88.5" x14ac:dyDescent="0.75">
      <c r="B26" s="9" t="str">
        <f>Subj!B18</f>
        <v>telcomContact.address.houseNumber</v>
      </c>
      <c r="C26" s="9" t="str">
        <f>Subj!C18</f>
        <v>A.1.2.1.2 House number</v>
      </c>
      <c r="D26" s="1" t="s">
        <v>443</v>
      </c>
      <c r="E26" s="14"/>
      <c r="F26" s="63" t="s">
        <v>192</v>
      </c>
      <c r="G26" t="s">
        <v>441</v>
      </c>
      <c r="H26" s="64"/>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INDEX('Subj-ConceptMap-1'!$I$15:$N$205,Q26+1,R26)</f>
        <v/>
      </c>
    </row>
    <row r="27" spans="1:19" ht="44.25" x14ac:dyDescent="0.75">
      <c r="B27" s="9" t="str">
        <f>Subj!B19</f>
        <v>telcomContact.address.city</v>
      </c>
      <c r="C27" s="9" t="str">
        <f>Subj!C19</f>
        <v>A.1.2.1.3 City</v>
      </c>
      <c r="D27" s="1" t="s">
        <v>438</v>
      </c>
      <c r="E27" s="14"/>
      <c r="F27" s="63" t="s">
        <v>192</v>
      </c>
      <c r="G27" s="63"/>
      <c r="H27" s="64"/>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INDEX('Subj-ConceptMap-1'!$I$15:$N$205,Q27+1,R27)</f>
        <v>* group[=].element[+].code = #Subject.identification.familyName</v>
      </c>
    </row>
    <row r="28" spans="1:19" ht="44.25" x14ac:dyDescent="0.75">
      <c r="B28" s="9" t="str">
        <f>Subj!B20</f>
        <v>telcomContact.address.postalCode</v>
      </c>
      <c r="C28" s="9" t="str">
        <f>Subj!C20</f>
        <v>A.1.2.1.4 Post code</v>
      </c>
      <c r="D28" s="14" t="s">
        <v>444</v>
      </c>
      <c r="E28" s="14"/>
      <c r="F28" s="63" t="s">
        <v>192</v>
      </c>
      <c r="G28" s="63"/>
      <c r="H28" s="64"/>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INDEX('Subj-ConceptMap-1'!$I$15:$N$205,Q28+1,R28)</f>
        <v>* group[=].element[=].display = ##34#A.1.1.2 Family name/surname##34#</v>
      </c>
    </row>
    <row r="29" spans="1:19" ht="44.25" x14ac:dyDescent="0.75">
      <c r="B29" s="9" t="str">
        <f>Subj!B21</f>
        <v>telcomContact.address.stateOrProvince</v>
      </c>
      <c r="C29" s="9" t="str">
        <f>Subj!C21</f>
        <v>A.1.2.1.5 State or province</v>
      </c>
      <c r="D29" s="14" t="s">
        <v>446</v>
      </c>
      <c r="E29" s="14"/>
      <c r="F29" s="63" t="s">
        <v>192</v>
      </c>
      <c r="G29" s="63"/>
      <c r="H29" s="64"/>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INDEX('Subj-ConceptMap-1'!$I$15:$N$205,Q29+1,R29)</f>
        <v>* group[=].element[=].target.code = #Patient.name.family</v>
      </c>
    </row>
    <row r="30" spans="1:19" ht="44.25" x14ac:dyDescent="0.75">
      <c r="B30" s="9" t="str">
        <f>Subj!B22</f>
        <v>telcomContact.address.country</v>
      </c>
      <c r="C30" s="9" t="str">
        <f>Subj!C22</f>
        <v>A.1.2.1.6 Country</v>
      </c>
      <c r="D30" s="14" t="s">
        <v>439</v>
      </c>
      <c r="E30" s="14"/>
      <c r="F30" s="63" t="s">
        <v>192</v>
      </c>
      <c r="G30" s="63" t="s">
        <v>448</v>
      </c>
      <c r="H30" s="64"/>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INDEX('Subj-ConceptMap-1'!$I$15:$N$205,Q30+1,R30)</f>
        <v>* group[=].element[=].target.display = ##34###34#</v>
      </c>
    </row>
    <row r="31" spans="1:19" ht="73.75" x14ac:dyDescent="0.75">
      <c r="B31" s="9" t="str">
        <f>Subj!B22</f>
        <v>telcomContact.address.country</v>
      </c>
      <c r="C31" s="9" t="str">
        <f>Subj!C22</f>
        <v>A.1.2.1.6 Country</v>
      </c>
      <c r="D31" s="14" t="s">
        <v>447</v>
      </c>
      <c r="E31" s="14"/>
      <c r="F31" s="63" t="s">
        <v>192</v>
      </c>
      <c r="G31" s="70" t="s">
        <v>449</v>
      </c>
      <c r="H31" s="64"/>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INDEX('Subj-ConceptMap-1'!$I$15:$N$205,Q31+1,R31)</f>
        <v>* group[=].element[=].target.equivalence = #equivalent</v>
      </c>
    </row>
    <row r="32" spans="1:19" ht="59" x14ac:dyDescent="0.75">
      <c r="B32" s="9" t="str">
        <f>Subj!B23</f>
        <v>telcomContact.telephone</v>
      </c>
      <c r="C32" s="9" t="str">
        <f>Subj!C23</f>
        <v>A.1.2.1.7 Telephone no.</v>
      </c>
      <c r="D32" s="9" t="s">
        <v>218</v>
      </c>
      <c r="E32" s="14"/>
      <c r="F32" s="63" t="s">
        <v>192</v>
      </c>
      <c r="G32" s="63" t="s">
        <v>450</v>
      </c>
      <c r="H32" s="64"/>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INDEX('Subj-ConceptMap-1'!$I$15:$N$205,Q32+1,R32)</f>
        <v/>
      </c>
    </row>
    <row r="33" spans="1:19" ht="59" x14ac:dyDescent="0.75">
      <c r="B33" s="9" t="str">
        <f>Subj!B24</f>
        <v>telcomContact.email</v>
      </c>
      <c r="C33" s="9" t="str">
        <f>Subj!C24</f>
        <v>A.1.2.1.8 Email</v>
      </c>
      <c r="D33" s="9" t="s">
        <v>218</v>
      </c>
      <c r="E33" s="14"/>
      <c r="F33" s="63" t="s">
        <v>192</v>
      </c>
      <c r="G33" s="63" t="s">
        <v>451</v>
      </c>
      <c r="H33" s="64"/>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INDEX('Subj-ConceptMap-1'!$I$15:$N$205,Q33+1,R33)</f>
        <v>* group[=].element[+].code = #Subject.identification.givenName</v>
      </c>
    </row>
    <row r="34" spans="1:19" ht="59" x14ac:dyDescent="0.75">
      <c r="B34" s="9" t="str">
        <f>Subj!B25</f>
        <v>hpToContact</v>
      </c>
      <c r="C34" s="9" t="str">
        <f>Subj!C25</f>
        <v>A.1.2.2 Preferred HP to contact</v>
      </c>
      <c r="D34" s="14"/>
      <c r="E34" s="14"/>
      <c r="F34" s="63" t="s">
        <v>194</v>
      </c>
      <c r="G34" s="91" t="s">
        <v>509</v>
      </c>
      <c r="H34" s="64"/>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INDEX('Subj-ConceptMap-1'!$I$15:$N$205,Q34+1,R34)</f>
        <v>* group[=].element[=].display = ##34#A.1.1.3 Given name##34#</v>
      </c>
    </row>
    <row r="35" spans="1:19" s="1" customFormat="1" ht="44.25" x14ac:dyDescent="0.75">
      <c r="A35"/>
      <c r="B35" s="9" t="str">
        <f>Subj!B33</f>
        <v>contactPerson</v>
      </c>
      <c r="C35" s="9" t="str">
        <f>Subj!C33</f>
        <v xml:space="preserve">A.1.2.3 Contact person/ legal guardian </v>
      </c>
      <c r="D35" s="14" t="s">
        <v>510</v>
      </c>
      <c r="E35" s="14"/>
      <c r="F35" s="63" t="s">
        <v>192</v>
      </c>
      <c r="G35" s="63"/>
      <c r="H35" s="64"/>
      <c r="I35" s="14" t="str">
        <f t="shared" si="11"/>
        <v>* group[=].element[+].code = #Subject.contactPerson</v>
      </c>
      <c r="J35" s="14" t="str">
        <f t="shared" si="12"/>
        <v>* group[=].element[=].display = ##34#A.1.2.3 Contact person/ legal guardian ##34#</v>
      </c>
      <c r="K35" s="14" t="str">
        <f t="shared" si="13"/>
        <v>* group[=].element[=].target.code = #Patient.contact</v>
      </c>
      <c r="L35" s="14" t="str">
        <f t="shared" si="14"/>
        <v>* group[=].element[=].target.display = ##34###34#</v>
      </c>
      <c r="M35" s="14" t="str">
        <f t="shared" si="15"/>
        <v>* group[=].element[=].target.equivalence = #equivalent</v>
      </c>
      <c r="N35" s="14" t="str">
        <f t="shared" si="16"/>
        <v/>
      </c>
      <c r="P35" s="9">
        <v>21</v>
      </c>
      <c r="Q35" s="9">
        <f t="shared" si="9"/>
        <v>3</v>
      </c>
      <c r="R35" s="9">
        <f t="shared" si="10"/>
        <v>3</v>
      </c>
      <c r="S35" s="14" t="str" cm="1">
        <f t="array" ref="S35">INDEX('Subj-ConceptMap-1'!$I$15:$N$205,Q35+1,R35)</f>
        <v>* group[=].element[=].target.code = #Patient.name.given</v>
      </c>
    </row>
    <row r="36" spans="1:19" s="1" customFormat="1" ht="44.25" x14ac:dyDescent="0.75">
      <c r="A36"/>
      <c r="B36" s="9" t="str">
        <f>Subj!B34</f>
        <v>contactPerson.role</v>
      </c>
      <c r="C36" s="9" t="str">
        <f>Subj!C34</f>
        <v>A.1.2.3.1 Role of that person</v>
      </c>
      <c r="D36" s="14" t="s">
        <v>511</v>
      </c>
      <c r="E36" s="14"/>
      <c r="F36" s="63" t="s">
        <v>193</v>
      </c>
      <c r="G36" s="91" t="s">
        <v>515</v>
      </c>
      <c r="H36" s="64"/>
      <c r="I36" s="14" t="str">
        <f t="shared" si="11"/>
        <v>* group[=].element[+].code = #Subject.contactPerson.role</v>
      </c>
      <c r="J36" s="14" t="str">
        <f t="shared" si="12"/>
        <v>* group[=].element[=].display = ##34#A.1.2.3.1 Role of that person##34#</v>
      </c>
      <c r="K36" s="14" t="str">
        <f t="shared" si="13"/>
        <v>* group[=].element[=].target.code = #Patient.contact.relationship</v>
      </c>
      <c r="L36" s="14" t="str">
        <f t="shared" si="14"/>
        <v>* group[=].element[=].target.display = ##34###34#</v>
      </c>
      <c r="M36" s="14" t="str">
        <f t="shared" si="15"/>
        <v>* group[=].element[=].target.equivalence = #relatedto</v>
      </c>
      <c r="N36" s="14" t="str">
        <f t="shared" si="16"/>
        <v>* group[=].element[=].target.comment = ##34#To be checked##34#</v>
      </c>
      <c r="P36" s="9">
        <v>22</v>
      </c>
      <c r="Q36" s="9">
        <f t="shared" si="9"/>
        <v>3</v>
      </c>
      <c r="R36" s="9">
        <f t="shared" si="10"/>
        <v>4</v>
      </c>
      <c r="S36" s="14" t="str" cm="1">
        <f t="array" ref="S36">INDEX('Subj-ConceptMap-1'!$I$15:$N$205,Q36+1,R36)</f>
        <v>* group[=].element[=].target.display = ##34###34#</v>
      </c>
    </row>
    <row r="37" spans="1:19" s="1" customFormat="1" ht="44.25" x14ac:dyDescent="0.75">
      <c r="A37"/>
      <c r="B37" s="9" t="str">
        <f>Subj!B35</f>
        <v>contactPerson.relationship</v>
      </c>
      <c r="C37" s="9" t="str">
        <f>Subj!C35</f>
        <v>A.1.2.3.2 Relationship level</v>
      </c>
      <c r="D37" s="14" t="s">
        <v>511</v>
      </c>
      <c r="E37" s="14"/>
      <c r="F37" s="63" t="s">
        <v>192</v>
      </c>
      <c r="G37" s="63"/>
      <c r="H37" s="64"/>
      <c r="I37" s="14" t="str">
        <f t="shared" si="11"/>
        <v>* group[=].element[+].code = #Subject.contactPerson.relationship</v>
      </c>
      <c r="J37" s="14" t="str">
        <f t="shared" si="12"/>
        <v>* group[=].element[=].display = ##34#A.1.2.3.2 Relationship level##34#</v>
      </c>
      <c r="K37" s="14" t="str">
        <f t="shared" si="13"/>
        <v>* group[=].element[=].target.code = #Patient.contact.relationship</v>
      </c>
      <c r="L37" s="14" t="str">
        <f t="shared" si="14"/>
        <v>* group[=].element[=].target.display = ##34###34#</v>
      </c>
      <c r="M37" s="14" t="str">
        <f t="shared" si="15"/>
        <v>* group[=].element[=].target.equivalence = #equivalent</v>
      </c>
      <c r="N37" s="14" t="str">
        <f t="shared" si="16"/>
        <v/>
      </c>
      <c r="P37" s="9">
        <v>23</v>
      </c>
      <c r="Q37" s="9">
        <f t="shared" si="9"/>
        <v>3</v>
      </c>
      <c r="R37" s="9">
        <f t="shared" si="10"/>
        <v>5</v>
      </c>
      <c r="S37" s="14" t="str" cm="1">
        <f t="array" ref="S37">INDEX('Subj-ConceptMap-1'!$I$15:$N$205,Q37+1,R37)</f>
        <v>* group[=].element[=].target.equivalence = #equivalent</v>
      </c>
    </row>
    <row r="38" spans="1:19" s="1" customFormat="1" ht="44.25" x14ac:dyDescent="0.75">
      <c r="A38"/>
      <c r="B38" s="9" t="str">
        <f>Subj!B36</f>
        <v>contactPerson.givenName</v>
      </c>
      <c r="C38" s="9" t="str">
        <f>Subj!C36</f>
        <v>A.1.2.3.3 Given name</v>
      </c>
      <c r="D38" s="14" t="s">
        <v>512</v>
      </c>
      <c r="E38" s="14"/>
      <c r="F38" s="63" t="s">
        <v>192</v>
      </c>
      <c r="G38" s="63"/>
      <c r="H38" s="64"/>
      <c r="I38" s="14" t="str">
        <f t="shared" si="11"/>
        <v>* group[=].element[+].code = #Subject.contactPerson.givenName</v>
      </c>
      <c r="J38" s="14" t="str">
        <f t="shared" si="12"/>
        <v>* group[=].element[=].display = ##34#A.1.2.3.3 Given name##34#</v>
      </c>
      <c r="K38" s="14" t="str">
        <f t="shared" si="13"/>
        <v>* group[=].element[=].target.code = #Patient.contact.name.given</v>
      </c>
      <c r="L38" s="14" t="str">
        <f t="shared" si="14"/>
        <v>* group[=].element[=].target.display = ##34###34#</v>
      </c>
      <c r="M38" s="14" t="str">
        <f t="shared" si="15"/>
        <v>* group[=].element[=].target.equivalence = #equivalent</v>
      </c>
      <c r="N38" s="14" t="str">
        <f t="shared" si="16"/>
        <v/>
      </c>
      <c r="P38" s="9">
        <v>24</v>
      </c>
      <c r="Q38" s="9">
        <f t="shared" si="9"/>
        <v>3</v>
      </c>
      <c r="R38" s="9">
        <f t="shared" si="10"/>
        <v>6</v>
      </c>
      <c r="S38" s="14" t="str" cm="1">
        <f t="array" ref="S38">INDEX('Subj-ConceptMap-1'!$I$15:$N$205,Q38+1,R38)</f>
        <v/>
      </c>
    </row>
    <row r="39" spans="1:19" s="1" customFormat="1" ht="44.25" x14ac:dyDescent="0.75">
      <c r="A39"/>
      <c r="B39" s="9" t="str">
        <f>Subj!B37</f>
        <v>contactPerson.familyName</v>
      </c>
      <c r="C39" s="9" t="str">
        <f>Subj!C37</f>
        <v>A.1.2.3.4 Family name/surname</v>
      </c>
      <c r="D39" s="14" t="s">
        <v>513</v>
      </c>
      <c r="E39" s="14"/>
      <c r="F39" s="63" t="s">
        <v>192</v>
      </c>
      <c r="G39" s="63"/>
      <c r="H39" s="64"/>
      <c r="I39" s="14" t="str">
        <f t="shared" si="11"/>
        <v>* group[=].element[+].code = #Subject.contactPerson.familyName</v>
      </c>
      <c r="J39" s="14" t="str">
        <f t="shared" si="12"/>
        <v>* group[=].element[=].display = ##34#A.1.2.3.4 Family name/surname##34#</v>
      </c>
      <c r="K39" s="14" t="str">
        <f t="shared" si="13"/>
        <v>* group[=].element[=].target.code = #Patient.contact.name.family</v>
      </c>
      <c r="L39" s="14" t="str">
        <f t="shared" si="14"/>
        <v>* group[=].element[=].target.display = ##34###34#</v>
      </c>
      <c r="M39" s="14" t="str">
        <f t="shared" si="15"/>
        <v>* group[=].element[=].target.equivalence = #equivalent</v>
      </c>
      <c r="N39" s="14" t="str">
        <f t="shared" si="16"/>
        <v/>
      </c>
      <c r="P39" s="9">
        <v>25</v>
      </c>
      <c r="Q39" s="9">
        <f t="shared" si="9"/>
        <v>4</v>
      </c>
      <c r="R39" s="9">
        <f t="shared" si="10"/>
        <v>1</v>
      </c>
      <c r="S39" s="14" t="str" cm="1">
        <f t="array" ref="S39">INDEX('Subj-ConceptMap-1'!$I$15:$N$205,Q39+1,R39)</f>
        <v>* group[=].element[+].code = #Subject.identification.dateOfBirth</v>
      </c>
    </row>
    <row r="40" spans="1:19" s="1" customFormat="1" ht="44.25" x14ac:dyDescent="0.75">
      <c r="A40"/>
      <c r="B40" s="9" t="str">
        <f>Subj!B38</f>
        <v>contactPerson.telephone</v>
      </c>
      <c r="C40" s="9" t="str">
        <f>Subj!C38</f>
        <v>A.1.2.3.5 Telephone no.</v>
      </c>
      <c r="D40" s="14" t="s">
        <v>514</v>
      </c>
      <c r="E40" s="14"/>
      <c r="F40" s="63" t="s">
        <v>192</v>
      </c>
      <c r="G40" s="63"/>
      <c r="H40" s="64"/>
      <c r="I40" s="14" t="str">
        <f t="shared" si="11"/>
        <v>* group[=].element[+].code = #Subject.contactPerson.telephone</v>
      </c>
      <c r="J40" s="14" t="str">
        <f t="shared" si="12"/>
        <v>* group[=].element[=].display = ##34#A.1.2.3.5 Telephone no.##34#</v>
      </c>
      <c r="K40" s="14" t="str">
        <f t="shared" si="13"/>
        <v>* group[=].element[=].target.code = #Patient.contact.telecom</v>
      </c>
      <c r="L40" s="14" t="str">
        <f t="shared" si="14"/>
        <v>* group[=].element[=].target.display = ##34###34#</v>
      </c>
      <c r="M40" s="14" t="str">
        <f t="shared" si="15"/>
        <v>* group[=].element[=].target.equivalence = #equivalent</v>
      </c>
      <c r="N40" s="14" t="str">
        <f t="shared" si="16"/>
        <v/>
      </c>
      <c r="P40" s="9">
        <v>26</v>
      </c>
      <c r="Q40" s="9">
        <f t="shared" si="9"/>
        <v>4</v>
      </c>
      <c r="R40" s="9">
        <f t="shared" si="10"/>
        <v>2</v>
      </c>
      <c r="S40" s="14" t="str" cm="1">
        <f t="array" ref="S40">INDEX('Subj-ConceptMap-1'!$I$15:$N$205,Q40+1,R40)</f>
        <v>* group[=].element[=].display = ##34#A.1.1.4 Date of birth##34#</v>
      </c>
    </row>
    <row r="41" spans="1:19" s="1" customFormat="1" ht="44.25" x14ac:dyDescent="0.75">
      <c r="A41"/>
      <c r="B41" s="9" t="str">
        <f>Subj!B39</f>
        <v>contactPerson.email</v>
      </c>
      <c r="C41" s="9" t="str">
        <f>Subj!C39</f>
        <v>A.1.2.3.6 Email</v>
      </c>
      <c r="D41" s="14" t="s">
        <v>514</v>
      </c>
      <c r="E41" s="14"/>
      <c r="F41" s="63" t="s">
        <v>192</v>
      </c>
      <c r="G41" s="63"/>
      <c r="H41" s="64"/>
      <c r="I41" s="14" t="str">
        <f t="shared" si="11"/>
        <v>* group[=].element[+].code = #Subject.contactPerson.email</v>
      </c>
      <c r="J41" s="14" t="str">
        <f t="shared" si="12"/>
        <v>* group[=].element[=].display = ##34#A.1.2.3.6 Email##34#</v>
      </c>
      <c r="K41" s="14" t="str">
        <f t="shared" si="13"/>
        <v>* group[=].element[=].target.code = #Patient.contact.telecom</v>
      </c>
      <c r="L41" s="14" t="str">
        <f t="shared" si="14"/>
        <v>* group[=].element[=].target.display = ##34###34#</v>
      </c>
      <c r="M41" s="14" t="str">
        <f t="shared" si="15"/>
        <v>* group[=].element[=].target.equivalence = #equivalent</v>
      </c>
      <c r="N41" s="14" t="str">
        <f t="shared" si="16"/>
        <v/>
      </c>
      <c r="P41" s="9">
        <v>27</v>
      </c>
      <c r="Q41" s="9">
        <f t="shared" si="9"/>
        <v>4</v>
      </c>
      <c r="R41" s="9">
        <f t="shared" si="10"/>
        <v>3</v>
      </c>
      <c r="S41" s="14" t="str" cm="1">
        <f t="array" ref="S41">INDEX('Subj-ConceptMap-1'!$I$15:$N$205,Q41+1,R41)</f>
        <v>* group[=].element[=].target.code = #Patient.birthDate</v>
      </c>
    </row>
    <row r="42" spans="1:19" s="1" customFormat="1" x14ac:dyDescent="0.75">
      <c r="A42"/>
      <c r="B42" s="51">
        <f>Subj!B40</f>
        <v>0</v>
      </c>
      <c r="C42" s="51">
        <f>Subj!C40</f>
        <v>0</v>
      </c>
      <c r="F42" s="64"/>
      <c r="G42" s="64"/>
      <c r="H42" s="64"/>
      <c r="I42" s="64"/>
      <c r="J42" s="64"/>
      <c r="K42" s="64"/>
      <c r="L42" s="64"/>
      <c r="M42" s="64"/>
      <c r="N42" s="64"/>
      <c r="P42" s="9">
        <v>28</v>
      </c>
      <c r="Q42" s="9">
        <f t="shared" si="9"/>
        <v>4</v>
      </c>
      <c r="R42" s="9">
        <f t="shared" si="10"/>
        <v>4</v>
      </c>
      <c r="S42" s="14" t="str" cm="1">
        <f t="array" ref="S42">INDEX('Subj-ConceptMap-1'!$I$15:$N$205,Q42+1,R42)</f>
        <v>* group[=].element[=].target.display = ##34###34#</v>
      </c>
    </row>
    <row r="43" spans="1:19" s="1" customFormat="1" x14ac:dyDescent="0.75">
      <c r="A43"/>
      <c r="B43" s="9">
        <f>Subj!B41</f>
        <v>0</v>
      </c>
      <c r="C43" s="9">
        <f>Subj!C41</f>
        <v>0</v>
      </c>
      <c r="F43" s="64"/>
      <c r="G43" s="64"/>
      <c r="H43" s="64"/>
      <c r="I43" s="64"/>
      <c r="J43" s="64"/>
      <c r="K43" s="64"/>
      <c r="L43" s="64"/>
      <c r="M43" s="64"/>
      <c r="N43" s="64"/>
      <c r="P43" s="9">
        <v>29</v>
      </c>
      <c r="Q43" s="9">
        <f t="shared" si="9"/>
        <v>4</v>
      </c>
      <c r="R43" s="9">
        <f t="shared" si="10"/>
        <v>5</v>
      </c>
      <c r="S43" s="14" t="str" cm="1">
        <f t="array" ref="S43">INDEX('Subj-ConceptMap-1'!$I$15:$N$205,Q43+1,R43)</f>
        <v>* group[=].element[=].target.equivalence = #equivalent</v>
      </c>
    </row>
    <row r="44" spans="1:19" x14ac:dyDescent="0.75">
      <c r="B44" s="9">
        <f>Subj!B42</f>
        <v>0</v>
      </c>
      <c r="C44" s="9">
        <f>Subj!C42</f>
        <v>0</v>
      </c>
      <c r="F44" s="64"/>
      <c r="G44" s="64"/>
      <c r="H44" s="64"/>
      <c r="J44" s="64"/>
      <c r="K44" s="64"/>
      <c r="L44" s="64"/>
      <c r="M44" s="64"/>
      <c r="N44" s="64"/>
      <c r="P44" s="9">
        <v>30</v>
      </c>
      <c r="Q44" s="9">
        <f t="shared" si="9"/>
        <v>4</v>
      </c>
      <c r="R44" s="9">
        <f t="shared" si="10"/>
        <v>6</v>
      </c>
      <c r="S44" s="14" t="str" cm="1">
        <f t="array" ref="S44">INDEX('Subj-ConceptMap-1'!$I$15:$N$205,Q44+1,R44)</f>
        <v/>
      </c>
    </row>
    <row r="45" spans="1:19" x14ac:dyDescent="0.75">
      <c r="B45" s="9">
        <f>Subj!B43</f>
        <v>0</v>
      </c>
      <c r="C45" s="9">
        <f>Subj!C43</f>
        <v>0</v>
      </c>
      <c r="F45" s="64"/>
      <c r="G45" s="64"/>
      <c r="H45" s="64"/>
      <c r="J45" s="64"/>
      <c r="K45" s="64"/>
      <c r="L45" s="64"/>
      <c r="M45" s="64"/>
      <c r="N45" s="64"/>
      <c r="P45" s="9">
        <v>31</v>
      </c>
      <c r="Q45" s="9">
        <f t="shared" si="9"/>
        <v>5</v>
      </c>
      <c r="R45" s="9">
        <f t="shared" si="10"/>
        <v>1</v>
      </c>
      <c r="S45" s="14" t="str" cm="1">
        <f t="array" ref="S45">INDEX('Subj-ConceptMap-1'!$I$15:$N$205,Q45+1,R45)</f>
        <v>* group[=].element[+].code = #Subject.identification.gender</v>
      </c>
    </row>
    <row r="46" spans="1:19" x14ac:dyDescent="0.75">
      <c r="B46" s="9">
        <f>Subj!B44</f>
        <v>0</v>
      </c>
      <c r="C46" s="9">
        <f>Subj!C44</f>
        <v>0</v>
      </c>
      <c r="F46" s="64"/>
      <c r="G46" s="64"/>
      <c r="H46" s="64"/>
      <c r="J46" s="64"/>
      <c r="K46" s="64"/>
      <c r="L46" s="64"/>
      <c r="M46" s="64"/>
      <c r="N46" s="64"/>
      <c r="P46" s="9">
        <v>32</v>
      </c>
      <c r="Q46" s="9">
        <f t="shared" si="9"/>
        <v>5</v>
      </c>
      <c r="R46" s="9">
        <f t="shared" si="10"/>
        <v>2</v>
      </c>
      <c r="S46" s="14" t="str" cm="1">
        <f t="array" ref="S46">INDEX('Subj-ConceptMap-1'!$I$15:$N$205,Q46+1,R46)</f>
        <v>* group[=].element[=].display = ##34#A.1.1.5 Gender##34#</v>
      </c>
    </row>
    <row r="47" spans="1:19" x14ac:dyDescent="0.75">
      <c r="B47" s="9">
        <f>Subj!B45</f>
        <v>0</v>
      </c>
      <c r="C47" s="9">
        <f>Subj!C45</f>
        <v>0</v>
      </c>
      <c r="F47" s="64"/>
      <c r="G47" s="64"/>
      <c r="H47" s="64"/>
      <c r="J47" s="64"/>
      <c r="K47" s="64"/>
      <c r="L47" s="64"/>
      <c r="M47" s="64"/>
      <c r="N47" s="64"/>
      <c r="P47" s="9">
        <v>33</v>
      </c>
      <c r="Q47" s="9">
        <f t="shared" si="9"/>
        <v>5</v>
      </c>
      <c r="R47" s="9">
        <f t="shared" si="10"/>
        <v>3</v>
      </c>
      <c r="S47" s="14" t="str" cm="1">
        <f t="array" ref="S47">INDEX('Subj-ConceptMap-1'!$I$15:$N$205,Q47+1,R47)</f>
        <v>* group[=].element[=].target.code = #Patient.gender</v>
      </c>
    </row>
    <row r="48" spans="1:19" x14ac:dyDescent="0.75">
      <c r="E48"/>
      <c r="P48" s="9">
        <v>34</v>
      </c>
      <c r="Q48" s="9">
        <f t="shared" si="9"/>
        <v>5</v>
      </c>
      <c r="R48" s="9">
        <f t="shared" si="10"/>
        <v>4</v>
      </c>
      <c r="S48" s="14" t="str" cm="1">
        <f t="array" ref="S48">INDEX('Subj-ConceptMap-1'!$I$15:$N$205,Q48+1,R48)</f>
        <v>* group[=].element[=].target.display = ##34###34#</v>
      </c>
    </row>
    <row r="49" spans="16:19" x14ac:dyDescent="0.75">
      <c r="P49" s="9">
        <v>35</v>
      </c>
      <c r="Q49" s="9">
        <f t="shared" si="9"/>
        <v>5</v>
      </c>
      <c r="R49" s="9">
        <f t="shared" si="10"/>
        <v>5</v>
      </c>
      <c r="S49" s="14" t="str" cm="1">
        <f t="array" ref="S49">INDEX('Subj-ConceptMap-1'!$I$15:$N$205,Q49+1,R49)</f>
        <v>* group[=].element[=].target.equivalence = #equivalent</v>
      </c>
    </row>
    <row r="50" spans="16:19" x14ac:dyDescent="0.75">
      <c r="P50" s="9">
        <v>36</v>
      </c>
      <c r="Q50" s="9">
        <f t="shared" si="9"/>
        <v>5</v>
      </c>
      <c r="R50" s="9">
        <f t="shared" si="10"/>
        <v>6</v>
      </c>
      <c r="S50" s="14" t="str" cm="1">
        <f t="array" ref="S50">INDEX('Subj-ConceptMap-1'!$I$15:$N$205,Q50+1,R50)</f>
        <v/>
      </c>
    </row>
    <row r="51" spans="16:19" x14ac:dyDescent="0.75">
      <c r="P51" s="9">
        <v>37</v>
      </c>
      <c r="Q51" s="9">
        <f t="shared" si="9"/>
        <v>6</v>
      </c>
      <c r="R51" s="9">
        <f t="shared" si="10"/>
        <v>1</v>
      </c>
      <c r="S51" s="14" t="str" cm="1">
        <f t="array" ref="S51">INDEX('Subj-ConceptMap-1'!$I$15:$N$205,Q51+1,R51)</f>
        <v>* group[=].element[+].code = #Subject.identification.countryOfAffiliation</v>
      </c>
    </row>
    <row r="52" spans="16:19" x14ac:dyDescent="0.75">
      <c r="P52" s="9">
        <v>38</v>
      </c>
      <c r="Q52" s="9">
        <f t="shared" si="9"/>
        <v>6</v>
      </c>
      <c r="R52" s="9">
        <f t="shared" si="10"/>
        <v>2</v>
      </c>
      <c r="S52" s="14" t="str" cm="1">
        <f t="array" ref="S52">INDEX('Subj-ConceptMap-1'!$I$15:$N$205,Q52+1,R52)</f>
        <v>* group[=].element[=].display = ##34#A.1.1.5 Country of affiliation##34#</v>
      </c>
    </row>
    <row r="53" spans="16:19" x14ac:dyDescent="0.75">
      <c r="P53" s="9">
        <v>39</v>
      </c>
      <c r="Q53" s="9">
        <f t="shared" si="9"/>
        <v>6</v>
      </c>
      <c r="R53" s="9">
        <f t="shared" si="10"/>
        <v>3</v>
      </c>
      <c r="S53" s="14" t="str" cm="1">
        <f t="array" ref="S53">INDEX('Subj-ConceptMap-1'!$I$15:$N$205,Q53+1,R53)</f>
        <v>* group[=].element[=].target.code = #Patient.address.country</v>
      </c>
    </row>
    <row r="54" spans="16:19" x14ac:dyDescent="0.75">
      <c r="P54" s="9">
        <v>40</v>
      </c>
      <c r="Q54" s="9">
        <f t="shared" si="9"/>
        <v>6</v>
      </c>
      <c r="R54" s="9">
        <f t="shared" si="10"/>
        <v>4</v>
      </c>
      <c r="S54" s="14" t="str" cm="1">
        <f t="array" ref="S54">INDEX('Subj-ConceptMap-1'!$I$15:$N$205,Q54+1,R54)</f>
        <v>* group[=].element[=].target.display = ##34###34#</v>
      </c>
    </row>
    <row r="55" spans="16:19" x14ac:dyDescent="0.75">
      <c r="P55" s="9">
        <v>41</v>
      </c>
      <c r="Q55" s="9">
        <f t="shared" si="9"/>
        <v>6</v>
      </c>
      <c r="R55" s="9">
        <f t="shared" si="10"/>
        <v>5</v>
      </c>
      <c r="S55" s="14" t="str" cm="1">
        <f t="array" ref="S55">INDEX('Subj-ConceptMap-1'!$I$15:$N$205,Q55+1,R55)</f>
        <v>* group[=].element[=].target.equivalence = #relatedto</v>
      </c>
    </row>
    <row r="56" spans="16:19" ht="29.5" x14ac:dyDescent="0.75">
      <c r="P56" s="9">
        <v>42</v>
      </c>
      <c r="Q56" s="9">
        <f t="shared" si="9"/>
        <v>6</v>
      </c>
      <c r="R56" s="9">
        <f t="shared" si="10"/>
        <v>6</v>
      </c>
      <c r="S56" s="14" t="str" cm="1">
        <f t="array" ref="S56">INDEX('Subj-ConceptMap-1'!$I$15:$N$205,Q56+1,R56)</f>
        <v>* group[=].element[=].target.comment = ##34#Assuming that the address is the 'offcial' address. This is how it is currently mapped in the eHDSI CDA Igs##34#</v>
      </c>
    </row>
    <row r="57" spans="16:19" x14ac:dyDescent="0.75">
      <c r="P57" s="9">
        <v>43</v>
      </c>
      <c r="Q57" s="9">
        <f t="shared" si="9"/>
        <v>7</v>
      </c>
      <c r="R57" s="9">
        <f t="shared" si="10"/>
        <v>1</v>
      </c>
      <c r="S57" s="14" t="str" cm="1">
        <f t="array" ref="S57">INDEX('Subj-ConceptMap-1'!$I$15:$N$205,Q57+1,R57)</f>
        <v>* group[=].element[+].code = #Subject.telcomContact</v>
      </c>
    </row>
    <row r="58" spans="16:19" x14ac:dyDescent="0.75">
      <c r="P58" s="9">
        <v>44</v>
      </c>
      <c r="Q58" s="9">
        <f t="shared" si="9"/>
        <v>7</v>
      </c>
      <c r="R58" s="9">
        <f t="shared" si="10"/>
        <v>2</v>
      </c>
      <c r="S58" s="14" t="str" cm="1">
        <f t="array" ref="S58">INDEX('Subj-ConceptMap-1'!$I$15:$N$205,Q58+1,R58)</f>
        <v>* group[=].element[=].display = ##34#A.1.2.1 Patient address##34#</v>
      </c>
    </row>
    <row r="59" spans="16:19" x14ac:dyDescent="0.75">
      <c r="P59" s="9">
        <v>45</v>
      </c>
      <c r="Q59" s="9">
        <f t="shared" si="9"/>
        <v>7</v>
      </c>
      <c r="R59" s="9">
        <f t="shared" si="10"/>
        <v>3</v>
      </c>
      <c r="S59" s="14" t="str" cm="1">
        <f t="array" ref="S59">INDEX('Subj-ConceptMap-1'!$I$15:$N$205,Q59+1,R59)</f>
        <v>* group[=].element[=].target.code = #Patient</v>
      </c>
    </row>
    <row r="60" spans="16:19" x14ac:dyDescent="0.75">
      <c r="P60" s="9">
        <v>46</v>
      </c>
      <c r="Q60" s="9">
        <f t="shared" si="9"/>
        <v>7</v>
      </c>
      <c r="R60" s="9">
        <f t="shared" si="10"/>
        <v>4</v>
      </c>
      <c r="S60" s="14" t="str" cm="1">
        <f t="array" ref="S60">INDEX('Subj-ConceptMap-1'!$I$15:$N$205,Q60+1,R60)</f>
        <v>* group[=].element[=].target.display = ##34###34#</v>
      </c>
    </row>
    <row r="61" spans="16:19" x14ac:dyDescent="0.75">
      <c r="P61" s="9">
        <v>47</v>
      </c>
      <c r="Q61" s="9">
        <f t="shared" si="9"/>
        <v>7</v>
      </c>
      <c r="R61" s="9">
        <f t="shared" si="10"/>
        <v>5</v>
      </c>
      <c r="S61" s="14" t="str" cm="1">
        <f t="array" ref="S61">INDEX('Subj-ConceptMap-1'!$I$15:$N$205,Q61+1,R61)</f>
        <v>* group[=].element[=].target.equivalence = #relatedto</v>
      </c>
    </row>
    <row r="62" spans="16:19" x14ac:dyDescent="0.75">
      <c r="P62" s="9">
        <v>48</v>
      </c>
      <c r="Q62" s="9">
        <f t="shared" si="9"/>
        <v>7</v>
      </c>
      <c r="R62" s="9">
        <f t="shared" si="10"/>
        <v>6</v>
      </c>
      <c r="S62" s="14" t="str" cm="1">
        <f t="array" ref="S62">INDEX('Subj-ConceptMap-1'!$I$15:$N$205,Q62+1,R62)</f>
        <v/>
      </c>
    </row>
    <row r="63" spans="16:19" x14ac:dyDescent="0.75">
      <c r="P63" s="9">
        <v>49</v>
      </c>
      <c r="Q63" s="9">
        <f t="shared" si="9"/>
        <v>8</v>
      </c>
      <c r="R63" s="9">
        <f t="shared" si="10"/>
        <v>1</v>
      </c>
      <c r="S63" s="14" t="str" cm="1">
        <f t="array" ref="S63">INDEX('Subj-ConceptMap-1'!$I$15:$N$205,Q63+1,R63)</f>
        <v>* group[=].element[+].code = #Subject.telcomContact.address</v>
      </c>
    </row>
    <row r="64" spans="16:19" x14ac:dyDescent="0.75">
      <c r="P64" s="9">
        <v>50</v>
      </c>
      <c r="Q64" s="9">
        <f t="shared" si="9"/>
        <v>8</v>
      </c>
      <c r="R64" s="9">
        <f t="shared" si="10"/>
        <v>2</v>
      </c>
      <c r="S64" s="14" t="str" cm="1">
        <f t="array" ref="S64">INDEX('Subj-ConceptMap-1'!$I$15:$N$205,Q64+1,R64)</f>
        <v>* group[=].element[=].display = ##34#Address##34#</v>
      </c>
    </row>
    <row r="65" spans="16:19" x14ac:dyDescent="0.75">
      <c r="P65" s="9">
        <v>51</v>
      </c>
      <c r="Q65" s="9">
        <f t="shared" si="9"/>
        <v>8</v>
      </c>
      <c r="R65" s="9">
        <f t="shared" si="10"/>
        <v>3</v>
      </c>
      <c r="S65" s="14" t="str" cm="1">
        <f t="array" ref="S65">INDEX('Subj-ConceptMap-1'!$I$15:$N$205,Q65+1,R65)</f>
        <v>* group[=].element[=].target.code = #Patient.address</v>
      </c>
    </row>
    <row r="66" spans="16:19" x14ac:dyDescent="0.75">
      <c r="P66" s="9">
        <v>52</v>
      </c>
      <c r="Q66" s="9">
        <f t="shared" si="9"/>
        <v>8</v>
      </c>
      <c r="R66" s="9">
        <f t="shared" si="10"/>
        <v>4</v>
      </c>
      <c r="S66" s="14" t="str" cm="1">
        <f t="array" ref="S66">INDEX('Subj-ConceptMap-1'!$I$15:$N$205,Q66+1,R66)</f>
        <v>* group[=].element[=].target.display = ##34###34#</v>
      </c>
    </row>
    <row r="67" spans="16:19" x14ac:dyDescent="0.75">
      <c r="P67" s="9">
        <v>53</v>
      </c>
      <c r="Q67" s="9">
        <f t="shared" si="9"/>
        <v>8</v>
      </c>
      <c r="R67" s="9">
        <f t="shared" si="10"/>
        <v>5</v>
      </c>
      <c r="S67" s="14" t="str" cm="1">
        <f t="array" ref="S67">INDEX('Subj-ConceptMap-1'!$I$15:$N$205,Q67+1,R67)</f>
        <v>* group[=].element[=].target.equivalence = #equivalent</v>
      </c>
    </row>
    <row r="68" spans="16:19" x14ac:dyDescent="0.75">
      <c r="P68" s="9">
        <v>54</v>
      </c>
      <c r="Q68" s="9">
        <f t="shared" si="9"/>
        <v>8</v>
      </c>
      <c r="R68" s="9">
        <f t="shared" si="10"/>
        <v>6</v>
      </c>
      <c r="S68" s="14" t="str" cm="1">
        <f t="array" ref="S68">INDEX('Subj-ConceptMap-1'!$I$15:$N$205,Q68+1,R68)</f>
        <v/>
      </c>
    </row>
    <row r="69" spans="16:19" x14ac:dyDescent="0.75">
      <c r="P69" s="9">
        <v>55</v>
      </c>
      <c r="Q69" s="9">
        <f t="shared" si="9"/>
        <v>9</v>
      </c>
      <c r="R69" s="9">
        <f t="shared" si="10"/>
        <v>1</v>
      </c>
      <c r="S69" s="14" t="str" cm="1">
        <f t="array" ref="S69">INDEX('Subj-ConceptMap-1'!$I$15:$N$205,Q69+1,R69)</f>
        <v>* group[=].element[+].code = #Subject.telcomContact.address.street</v>
      </c>
    </row>
    <row r="70" spans="16:19" x14ac:dyDescent="0.75">
      <c r="P70" s="9">
        <v>56</v>
      </c>
      <c r="Q70" s="9">
        <f t="shared" si="9"/>
        <v>9</v>
      </c>
      <c r="R70" s="9">
        <f t="shared" si="10"/>
        <v>2</v>
      </c>
      <c r="S70" s="14" t="str" cm="1">
        <f t="array" ref="S70">INDEX('Subj-ConceptMap-1'!$I$15:$N$205,Q70+1,R70)</f>
        <v>* group[=].element[=].display = ##34#A.1.2.1.1 Street##34#</v>
      </c>
    </row>
    <row r="71" spans="16:19" x14ac:dyDescent="0.75">
      <c r="P71" s="9">
        <v>57</v>
      </c>
      <c r="Q71" s="9">
        <f t="shared" si="9"/>
        <v>9</v>
      </c>
      <c r="R71" s="9">
        <f t="shared" si="10"/>
        <v>3</v>
      </c>
      <c r="S71" s="14" t="str" cm="1">
        <f t="array" ref="S71">INDEX('Subj-ConceptMap-1'!$I$15:$N$205,Q71+1,R71)</f>
        <v>* group[=].element[=].target.code = #Patient.address.line</v>
      </c>
    </row>
    <row r="72" spans="16:19" x14ac:dyDescent="0.75">
      <c r="P72" s="9">
        <v>58</v>
      </c>
      <c r="Q72" s="9">
        <f t="shared" si="9"/>
        <v>9</v>
      </c>
      <c r="R72" s="9">
        <f t="shared" si="10"/>
        <v>4</v>
      </c>
      <c r="S72" s="14" t="str" cm="1">
        <f t="array" ref="S72">INDEX('Subj-ConceptMap-1'!$I$15:$N$205,Q72+1,R72)</f>
        <v>* group[=].element[=].target.display = ##34###34#</v>
      </c>
    </row>
    <row r="73" spans="16:19" x14ac:dyDescent="0.75">
      <c r="P73" s="9">
        <v>59</v>
      </c>
      <c r="Q73" s="9">
        <f t="shared" si="9"/>
        <v>9</v>
      </c>
      <c r="R73" s="9">
        <f t="shared" si="10"/>
        <v>5</v>
      </c>
      <c r="S73" s="14" t="str" cm="1">
        <f t="array" ref="S73">INDEX('Subj-ConceptMap-1'!$I$15:$N$205,Q73+1,R73)</f>
        <v>* group[=].element[=].target.equivalence = #relatedto</v>
      </c>
    </row>
    <row r="74" spans="16:19" x14ac:dyDescent="0.75">
      <c r="P74" s="9">
        <v>60</v>
      </c>
      <c r="Q74" s="9">
        <f t="shared" si="9"/>
        <v>9</v>
      </c>
      <c r="R74" s="9">
        <f t="shared" si="10"/>
        <v>6</v>
      </c>
      <c r="S74" s="14" t="str" cm="1">
        <f t="array" ref="S74">INDEX('Subj-ConceptMap-1'!$I$15:$N$205,Q74+1,R74)</f>
        <v/>
      </c>
    </row>
    <row r="75" spans="16:19" x14ac:dyDescent="0.75">
      <c r="P75" s="9">
        <v>61</v>
      </c>
      <c r="Q75" s="9">
        <f t="shared" si="9"/>
        <v>10</v>
      </c>
      <c r="R75" s="9">
        <f t="shared" si="10"/>
        <v>1</v>
      </c>
      <c r="S75" s="14" t="str" cm="1">
        <f t="array" ref="S75">INDEX('Subj-ConceptMap-1'!$I$15:$N$205,Q75+1,R75)</f>
        <v>* group[=].element[+].code = #Subject.telcomContact.address.street</v>
      </c>
    </row>
    <row r="76" spans="16:19" x14ac:dyDescent="0.75">
      <c r="P76" s="9">
        <v>62</v>
      </c>
      <c r="Q76" s="9">
        <f t="shared" si="9"/>
        <v>10</v>
      </c>
      <c r="R76" s="9">
        <f t="shared" si="10"/>
        <v>2</v>
      </c>
      <c r="S76" s="14" t="str" cm="1">
        <f t="array" ref="S76">INDEX('Subj-ConceptMap-1'!$I$15:$N$205,Q76+1,R76)</f>
        <v>* group[=].element[=].display = ##34#A.1.2.1.1 Street##34#</v>
      </c>
    </row>
    <row r="77" spans="16:19" x14ac:dyDescent="0.75">
      <c r="P77" s="9">
        <v>63</v>
      </c>
      <c r="Q77" s="9">
        <f t="shared" si="9"/>
        <v>10</v>
      </c>
      <c r="R77" s="9">
        <f t="shared" si="10"/>
        <v>3</v>
      </c>
      <c r="S77" s="14" t="str" cm="1">
        <f t="array" ref="S77">INDEX('Subj-ConceptMap-1'!$I$15:$N$205,Q77+1,R77)</f>
        <v>* group[=].element[=].target.code = #Patient.address.line.extensioon:streetName</v>
      </c>
    </row>
    <row r="78" spans="16:19" x14ac:dyDescent="0.75">
      <c r="P78" s="9">
        <v>64</v>
      </c>
      <c r="Q78" s="9">
        <f t="shared" si="9"/>
        <v>10</v>
      </c>
      <c r="R78" s="9">
        <f t="shared" si="10"/>
        <v>4</v>
      </c>
      <c r="S78" s="14" t="str" cm="1">
        <f t="array" ref="S78">INDEX('Subj-ConceptMap-1'!$I$15:$N$205,Q78+1,R78)</f>
        <v>* group[=].element[=].target.display = ##34###34#</v>
      </c>
    </row>
    <row r="79" spans="16:19" x14ac:dyDescent="0.75">
      <c r="P79" s="9">
        <v>65</v>
      </c>
      <c r="Q79" s="9">
        <f t="shared" si="9"/>
        <v>10</v>
      </c>
      <c r="R79" s="9">
        <f t="shared" si="10"/>
        <v>5</v>
      </c>
      <c r="S79" s="14" t="str" cm="1">
        <f t="array" ref="S79">INDEX('Subj-ConceptMap-1'!$I$15:$N$205,Q79+1,R79)</f>
        <v>* group[=].element[=].target.equivalence = #equivalent</v>
      </c>
    </row>
    <row r="80" spans="16:19" ht="29.5" x14ac:dyDescent="0.75">
      <c r="P80" s="9">
        <v>66</v>
      </c>
      <c r="Q80" s="9">
        <f t="shared" ref="Q80:Q143" si="17">IF(MOD(P80,$Q$8)=0,P80/$Q$8-1,INT(P80/$Q$8))</f>
        <v>10</v>
      </c>
      <c r="R80" s="9">
        <f t="shared" ref="R80:R143" si="18">IF(MOD(P80,$Q$8)=0,$Q$8,MOD(P80,$Q$8))</f>
        <v>6</v>
      </c>
      <c r="S80" s="14" t="str" cm="1">
        <f t="array" ref="S80">INDEX('Subj-ConceptMap-1'!$I$15:$N$205,Q80+1,R80)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INDEX('Subj-ConceptMap-1'!$I$15:$N$205,Q81+1,R81)</f>
        <v>* group[=].element[+].code = #Subject.telcomContact.address.houseNumber</v>
      </c>
    </row>
    <row r="82" spans="16:19" x14ac:dyDescent="0.75">
      <c r="P82" s="9">
        <v>68</v>
      </c>
      <c r="Q82" s="9">
        <f t="shared" si="17"/>
        <v>11</v>
      </c>
      <c r="R82" s="9">
        <f t="shared" si="18"/>
        <v>2</v>
      </c>
      <c r="S82" s="14" t="str" cm="1">
        <f t="array" ref="S82">INDEX('Subj-ConceptMap-1'!$I$15:$N$205,Q82+1,R82)</f>
        <v>* group[=].element[=].display = ##34#A.1.2.1.2 House number##34#</v>
      </c>
    </row>
    <row r="83" spans="16:19" x14ac:dyDescent="0.75">
      <c r="P83" s="9">
        <v>69</v>
      </c>
      <c r="Q83" s="9">
        <f t="shared" si="17"/>
        <v>11</v>
      </c>
      <c r="R83" s="9">
        <f t="shared" si="18"/>
        <v>3</v>
      </c>
      <c r="S83" s="14" t="str" cm="1">
        <f t="array" ref="S83">INDEX('Subj-ConceptMap-1'!$I$15:$N$205,Q83+1,R83)</f>
        <v>* group[=].element[=].target.code = #Patient.address.line.extensioon:houseNumber</v>
      </c>
    </row>
    <row r="84" spans="16:19" x14ac:dyDescent="0.75">
      <c r="P84" s="9">
        <v>70</v>
      </c>
      <c r="Q84" s="9">
        <f t="shared" si="17"/>
        <v>11</v>
      </c>
      <c r="R84" s="9">
        <f t="shared" si="18"/>
        <v>4</v>
      </c>
      <c r="S84" s="14" t="str" cm="1">
        <f t="array" ref="S84">INDEX('Subj-ConceptMap-1'!$I$15:$N$205,Q84+1,R84)</f>
        <v>* group[=].element[=].target.display = ##34###34#</v>
      </c>
    </row>
    <row r="85" spans="16:19" x14ac:dyDescent="0.75">
      <c r="P85" s="9">
        <v>71</v>
      </c>
      <c r="Q85" s="9">
        <f t="shared" si="17"/>
        <v>11</v>
      </c>
      <c r="R85" s="9">
        <f t="shared" si="18"/>
        <v>5</v>
      </c>
      <c r="S85" s="14" t="str" cm="1">
        <f t="array" ref="S85">INDEX('Subj-ConceptMap-1'!$I$15:$N$205,Q85+1,R85)</f>
        <v>* group[=].element[=].target.equivalence = #equivalent</v>
      </c>
    </row>
    <row r="86" spans="16:19" ht="29.5" x14ac:dyDescent="0.75">
      <c r="P86" s="9">
        <v>72</v>
      </c>
      <c r="Q86" s="9">
        <f t="shared" si="17"/>
        <v>11</v>
      </c>
      <c r="R86" s="9">
        <f t="shared" si="18"/>
        <v>6</v>
      </c>
      <c r="S86" s="14" t="str" cm="1">
        <f t="array" ref="S86">INDEX('Subj-ConceptMap-1'!$I$15:$N$205,Q86+1,R86)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INDEX('Subj-ConceptMap-1'!$I$15:$N$205,Q87+1,R87)</f>
        <v>* group[=].element[+].code = #Subject.telcomContact.address.city</v>
      </c>
    </row>
    <row r="88" spans="16:19" x14ac:dyDescent="0.75">
      <c r="P88" s="9">
        <v>74</v>
      </c>
      <c r="Q88" s="9">
        <f t="shared" si="17"/>
        <v>12</v>
      </c>
      <c r="R88" s="9">
        <f t="shared" si="18"/>
        <v>2</v>
      </c>
      <c r="S88" s="14" t="str" cm="1">
        <f t="array" ref="S88">INDEX('Subj-ConceptMap-1'!$I$15:$N$205,Q88+1,R88)</f>
        <v>* group[=].element[=].display = ##34#A.1.2.1.3 City##34#</v>
      </c>
    </row>
    <row r="89" spans="16:19" x14ac:dyDescent="0.75">
      <c r="P89" s="9">
        <v>75</v>
      </c>
      <c r="Q89" s="9">
        <f t="shared" si="17"/>
        <v>12</v>
      </c>
      <c r="R89" s="9">
        <f t="shared" si="18"/>
        <v>3</v>
      </c>
      <c r="S89" s="14" t="str" cm="1">
        <f t="array" ref="S89">INDEX('Subj-ConceptMap-1'!$I$15:$N$205,Q89+1,R89)</f>
        <v>* group[=].element[=].target.code = #Patient.address.city</v>
      </c>
    </row>
    <row r="90" spans="16:19" x14ac:dyDescent="0.75">
      <c r="P90" s="9">
        <v>76</v>
      </c>
      <c r="Q90" s="9">
        <f t="shared" si="17"/>
        <v>12</v>
      </c>
      <c r="R90" s="9">
        <f t="shared" si="18"/>
        <v>4</v>
      </c>
      <c r="S90" s="14" t="str" cm="1">
        <f t="array" ref="S90">INDEX('Subj-ConceptMap-1'!$I$15:$N$205,Q90+1,R90)</f>
        <v>* group[=].element[=].target.display = ##34###34#</v>
      </c>
    </row>
    <row r="91" spans="16:19" x14ac:dyDescent="0.75">
      <c r="P91" s="9">
        <v>77</v>
      </c>
      <c r="Q91" s="9">
        <f t="shared" si="17"/>
        <v>12</v>
      </c>
      <c r="R91" s="9">
        <f t="shared" si="18"/>
        <v>5</v>
      </c>
      <c r="S91" s="14" t="str" cm="1">
        <f t="array" ref="S91">INDEX('Subj-ConceptMap-1'!$I$15:$N$205,Q91+1,R91)</f>
        <v>* group[=].element[=].target.equivalence = #equivalent</v>
      </c>
    </row>
    <row r="92" spans="16:19" x14ac:dyDescent="0.75">
      <c r="P92" s="9">
        <v>78</v>
      </c>
      <c r="Q92" s="9">
        <f t="shared" si="17"/>
        <v>12</v>
      </c>
      <c r="R92" s="9">
        <f t="shared" si="18"/>
        <v>6</v>
      </c>
      <c r="S92" s="14" t="str" cm="1">
        <f t="array" ref="S92">INDEX('Subj-ConceptMap-1'!$I$15:$N$205,Q92+1,R92)</f>
        <v/>
      </c>
    </row>
    <row r="93" spans="16:19" x14ac:dyDescent="0.75">
      <c r="P93" s="9">
        <v>79</v>
      </c>
      <c r="Q93" s="9">
        <f t="shared" si="17"/>
        <v>13</v>
      </c>
      <c r="R93" s="9">
        <f t="shared" si="18"/>
        <v>1</v>
      </c>
      <c r="S93" s="14" t="str" cm="1">
        <f t="array" ref="S93">INDEX('Subj-ConceptMap-1'!$I$15:$N$205,Q93+1,R93)</f>
        <v>* group[=].element[+].code = #Subject.telcomContact.address.postalCode</v>
      </c>
    </row>
    <row r="94" spans="16:19" x14ac:dyDescent="0.75">
      <c r="P94" s="9">
        <v>80</v>
      </c>
      <c r="Q94" s="9">
        <f t="shared" si="17"/>
        <v>13</v>
      </c>
      <c r="R94" s="9">
        <f t="shared" si="18"/>
        <v>2</v>
      </c>
      <c r="S94" s="14" t="str" cm="1">
        <f t="array" ref="S94">INDEX('Subj-ConceptMap-1'!$I$15:$N$205,Q94+1,R94)</f>
        <v>* group[=].element[=].display = ##34#A.1.2.1.4 Post code##34#</v>
      </c>
    </row>
    <row r="95" spans="16:19" x14ac:dyDescent="0.75">
      <c r="P95" s="9">
        <v>81</v>
      </c>
      <c r="Q95" s="9">
        <f t="shared" si="17"/>
        <v>13</v>
      </c>
      <c r="R95" s="9">
        <f t="shared" si="18"/>
        <v>3</v>
      </c>
      <c r="S95" s="14" t="str" cm="1">
        <f t="array" ref="S95">INDEX('Subj-ConceptMap-1'!$I$15:$N$205,Q95+1,R95)</f>
        <v>* group[=].element[=].target.code = #Patient.address.postalCode</v>
      </c>
    </row>
    <row r="96" spans="16:19" x14ac:dyDescent="0.75">
      <c r="P96" s="9">
        <v>82</v>
      </c>
      <c r="Q96" s="9">
        <f t="shared" si="17"/>
        <v>13</v>
      </c>
      <c r="R96" s="9">
        <f t="shared" si="18"/>
        <v>4</v>
      </c>
      <c r="S96" s="14" t="str" cm="1">
        <f t="array" ref="S96">INDEX('Subj-ConceptMap-1'!$I$15:$N$205,Q96+1,R96)</f>
        <v>* group[=].element[=].target.display = ##34###34#</v>
      </c>
    </row>
    <row r="97" spans="16:19" x14ac:dyDescent="0.75">
      <c r="P97" s="9">
        <v>83</v>
      </c>
      <c r="Q97" s="9">
        <f t="shared" si="17"/>
        <v>13</v>
      </c>
      <c r="R97" s="9">
        <f t="shared" si="18"/>
        <v>5</v>
      </c>
      <c r="S97" s="14" t="str" cm="1">
        <f t="array" ref="S97">INDEX('Subj-ConceptMap-1'!$I$15:$N$205,Q97+1,R97)</f>
        <v>* group[=].element[=].target.equivalence = #equivalent</v>
      </c>
    </row>
    <row r="98" spans="16:19" x14ac:dyDescent="0.75">
      <c r="P98" s="9">
        <v>84</v>
      </c>
      <c r="Q98" s="9">
        <f t="shared" si="17"/>
        <v>13</v>
      </c>
      <c r="R98" s="9">
        <f t="shared" si="18"/>
        <v>6</v>
      </c>
      <c r="S98" s="14" t="str" cm="1">
        <f t="array" ref="S98">INDEX('Subj-ConceptMap-1'!$I$15:$N$205,Q98+1,R98)</f>
        <v/>
      </c>
    </row>
    <row r="99" spans="16:19" x14ac:dyDescent="0.75">
      <c r="P99" s="9">
        <v>85</v>
      </c>
      <c r="Q99" s="9">
        <f t="shared" si="17"/>
        <v>14</v>
      </c>
      <c r="R99" s="9">
        <f t="shared" si="18"/>
        <v>1</v>
      </c>
      <c r="S99" s="14" t="str" cm="1">
        <f t="array" ref="S99">INDEX('Subj-ConceptMap-1'!$I$15:$N$205,Q99+1,R99)</f>
        <v>* group[=].element[+].code = #Subject.telcomContact.address.stateOrProvince</v>
      </c>
    </row>
    <row r="100" spans="16:19" x14ac:dyDescent="0.75">
      <c r="P100" s="9">
        <v>86</v>
      </c>
      <c r="Q100" s="9">
        <f t="shared" si="17"/>
        <v>14</v>
      </c>
      <c r="R100" s="9">
        <f t="shared" si="18"/>
        <v>2</v>
      </c>
      <c r="S100" s="14" t="str" cm="1">
        <f t="array" ref="S100">INDEX('Subj-ConceptMap-1'!$I$15:$N$205,Q100+1,R100)</f>
        <v>* group[=].element[=].display = ##34#A.1.2.1.5 State or province##34#</v>
      </c>
    </row>
    <row r="101" spans="16:19" x14ac:dyDescent="0.75">
      <c r="P101" s="9">
        <v>87</v>
      </c>
      <c r="Q101" s="9">
        <f t="shared" si="17"/>
        <v>14</v>
      </c>
      <c r="R101" s="9">
        <f t="shared" si="18"/>
        <v>3</v>
      </c>
      <c r="S101" s="14" t="str" cm="1">
        <f t="array" ref="S101">INDEX('Subj-ConceptMap-1'!$I$15:$N$205,Q101+1,R101)</f>
        <v>* group[=].element[=].target.code = #Patient.address.state</v>
      </c>
    </row>
    <row r="102" spans="16:19" x14ac:dyDescent="0.75">
      <c r="P102" s="9">
        <v>88</v>
      </c>
      <c r="Q102" s="9">
        <f t="shared" si="17"/>
        <v>14</v>
      </c>
      <c r="R102" s="9">
        <f t="shared" si="18"/>
        <v>4</v>
      </c>
      <c r="S102" s="14" t="str" cm="1">
        <f t="array" ref="S102">INDEX('Subj-ConceptMap-1'!$I$15:$N$205,Q102+1,R102)</f>
        <v>* group[=].element[=].target.display = ##34###34#</v>
      </c>
    </row>
    <row r="103" spans="16:19" x14ac:dyDescent="0.75">
      <c r="P103" s="9">
        <v>89</v>
      </c>
      <c r="Q103" s="9">
        <f t="shared" si="17"/>
        <v>14</v>
      </c>
      <c r="R103" s="9">
        <f t="shared" si="18"/>
        <v>5</v>
      </c>
      <c r="S103" s="14" t="str" cm="1">
        <f t="array" ref="S103">INDEX('Subj-ConceptMap-1'!$I$15:$N$205,Q103+1,R103)</f>
        <v>* group[=].element[=].target.equivalence = #equivalent</v>
      </c>
    </row>
    <row r="104" spans="16:19" x14ac:dyDescent="0.75">
      <c r="P104" s="9">
        <v>90</v>
      </c>
      <c r="Q104" s="9">
        <f t="shared" si="17"/>
        <v>14</v>
      </c>
      <c r="R104" s="9">
        <f t="shared" si="18"/>
        <v>6</v>
      </c>
      <c r="S104" s="14" t="str" cm="1">
        <f t="array" ref="S104">INDEX('Subj-ConceptMap-1'!$I$15:$N$205,Q104+1,R104)</f>
        <v/>
      </c>
    </row>
    <row r="105" spans="16:19" x14ac:dyDescent="0.75">
      <c r="P105" s="9">
        <v>91</v>
      </c>
      <c r="Q105" s="9">
        <f t="shared" si="17"/>
        <v>15</v>
      </c>
      <c r="R105" s="9">
        <f t="shared" si="18"/>
        <v>1</v>
      </c>
      <c r="S105" s="14" t="str" cm="1">
        <f t="array" ref="S105">INDEX('Subj-ConceptMap-1'!$I$15:$N$205,Q105+1,R105)</f>
        <v>* group[=].element[+].code = #Subject.telcomContact.address.country</v>
      </c>
    </row>
    <row r="106" spans="16:19" x14ac:dyDescent="0.75">
      <c r="P106" s="9">
        <v>92</v>
      </c>
      <c r="Q106" s="9">
        <f t="shared" si="17"/>
        <v>15</v>
      </c>
      <c r="R106" s="9">
        <f t="shared" si="18"/>
        <v>2</v>
      </c>
      <c r="S106" s="14" t="str" cm="1">
        <f t="array" ref="S106">INDEX('Subj-ConceptMap-1'!$I$15:$N$205,Q106+1,R106)</f>
        <v>* group[=].element[=].display = ##34#A.1.2.1.6 Country##34#</v>
      </c>
    </row>
    <row r="107" spans="16:19" x14ac:dyDescent="0.75">
      <c r="P107" s="9">
        <v>93</v>
      </c>
      <c r="Q107" s="9">
        <f t="shared" si="17"/>
        <v>15</v>
      </c>
      <c r="R107" s="9">
        <f t="shared" si="18"/>
        <v>3</v>
      </c>
      <c r="S107" s="14" t="str" cm="1">
        <f t="array" ref="S107">INDEX('Subj-ConceptMap-1'!$I$15:$N$205,Q107+1,R107)</f>
        <v>* group[=].element[=].target.code = #Patient.address.country</v>
      </c>
    </row>
    <row r="108" spans="16:19" x14ac:dyDescent="0.75">
      <c r="P108" s="9">
        <v>94</v>
      </c>
      <c r="Q108" s="9">
        <f t="shared" si="17"/>
        <v>15</v>
      </c>
      <c r="R108" s="9">
        <f t="shared" si="18"/>
        <v>4</v>
      </c>
      <c r="S108" s="14" t="str" cm="1">
        <f t="array" ref="S108">INDEX('Subj-ConceptMap-1'!$I$15:$N$205,Q108+1,R108)</f>
        <v>* group[=].element[=].target.display = ##34###34#</v>
      </c>
    </row>
    <row r="109" spans="16:19" x14ac:dyDescent="0.75">
      <c r="P109" s="9">
        <v>95</v>
      </c>
      <c r="Q109" s="9">
        <f t="shared" si="17"/>
        <v>15</v>
      </c>
      <c r="R109" s="9">
        <f t="shared" si="18"/>
        <v>5</v>
      </c>
      <c r="S109" s="14" t="str" cm="1">
        <f t="array" ref="S109">INDEX('Subj-ConceptMap-1'!$I$15:$N$205,Q109+1,R109)</f>
        <v>* group[=].element[=].target.equivalence = #equivalent</v>
      </c>
    </row>
    <row r="110" spans="16:19" x14ac:dyDescent="0.75">
      <c r="P110" s="9">
        <v>96</v>
      </c>
      <c r="Q110" s="9">
        <f t="shared" si="17"/>
        <v>15</v>
      </c>
      <c r="R110" s="9">
        <f t="shared" si="18"/>
        <v>6</v>
      </c>
      <c r="S110" s="14" t="str" cm="1">
        <f t="array" ref="S110">INDEX('Subj-ConceptMap-1'!$I$15:$N$205,Q110+1,R110)</f>
        <v>* group[=].element[=].target.comment = ##34#country name##34#</v>
      </c>
    </row>
    <row r="111" spans="16:19" x14ac:dyDescent="0.75">
      <c r="P111" s="9">
        <v>97</v>
      </c>
      <c r="Q111" s="9">
        <f t="shared" si="17"/>
        <v>16</v>
      </c>
      <c r="R111" s="9">
        <f t="shared" si="18"/>
        <v>1</v>
      </c>
      <c r="S111" s="14" t="str" cm="1">
        <f t="array" ref="S111">INDEX('Subj-ConceptMap-1'!$I$15:$N$205,Q111+1,R111)</f>
        <v>* group[=].element[+].code = #Subject.telcomContact.address.country</v>
      </c>
    </row>
    <row r="112" spans="16:19" x14ac:dyDescent="0.75">
      <c r="P112" s="9">
        <v>98</v>
      </c>
      <c r="Q112" s="9">
        <f t="shared" si="17"/>
        <v>16</v>
      </c>
      <c r="R112" s="9">
        <f t="shared" si="18"/>
        <v>2</v>
      </c>
      <c r="S112" s="14" t="str" cm="1">
        <f t="array" ref="S112">INDEX('Subj-ConceptMap-1'!$I$15:$N$205,Q112+1,R112)</f>
        <v>* group[=].element[=].display = ##34#A.1.2.1.6 Country##34#</v>
      </c>
    </row>
    <row r="113" spans="16:19" x14ac:dyDescent="0.75">
      <c r="P113" s="9">
        <v>99</v>
      </c>
      <c r="Q113" s="9">
        <f t="shared" si="17"/>
        <v>16</v>
      </c>
      <c r="R113" s="9">
        <f t="shared" si="18"/>
        <v>3</v>
      </c>
      <c r="S113" s="14" t="str" cm="1">
        <f t="array" ref="S113">INDEX('Subj-ConceptMap-1'!$I$15:$N$205,Q113+1,R113)</f>
        <v>* group[=].element[=].target.code = #Patient.address.country.extension:countryCode</v>
      </c>
    </row>
    <row r="114" spans="16:19" x14ac:dyDescent="0.75">
      <c r="P114" s="9">
        <v>100</v>
      </c>
      <c r="Q114" s="9">
        <f t="shared" si="17"/>
        <v>16</v>
      </c>
      <c r="R114" s="9">
        <f t="shared" si="18"/>
        <v>4</v>
      </c>
      <c r="S114" s="14" t="str" cm="1">
        <f t="array" ref="S114">INDEX('Subj-ConceptMap-1'!$I$15:$N$205,Q114+1,R114)</f>
        <v>* group[=].element[=].target.display = ##34###34#</v>
      </c>
    </row>
    <row r="115" spans="16:19" x14ac:dyDescent="0.75">
      <c r="P115" s="9">
        <v>101</v>
      </c>
      <c r="Q115" s="9">
        <f t="shared" si="17"/>
        <v>16</v>
      </c>
      <c r="R115" s="9">
        <f t="shared" si="18"/>
        <v>5</v>
      </c>
      <c r="S115" s="14" t="str" cm="1">
        <f t="array" ref="S115">INDEX('Subj-ConceptMap-1'!$I$15:$N$205,Q115+1,R115)</f>
        <v>* group[=].element[=].target.equivalence = #equivalent</v>
      </c>
    </row>
    <row r="116" spans="16:19" ht="29.5" x14ac:dyDescent="0.75">
      <c r="P116" s="9">
        <v>102</v>
      </c>
      <c r="Q116" s="9">
        <f t="shared" si="17"/>
        <v>16</v>
      </c>
      <c r="R116" s="9">
        <f t="shared" si="18"/>
        <v>6</v>
      </c>
      <c r="S116" s="14" t="str" cm="1">
        <f t="array" ref="S116">INDEX('Subj-ConceptMap-1'!$I$15:$N$205,Q116+1,R116)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INDEX('Subj-ConceptMap-1'!$I$15:$N$205,Q117+1,R117)</f>
        <v>* group[=].element[+].code = #Subject.telcomContact.telephone</v>
      </c>
    </row>
    <row r="118" spans="16:19" x14ac:dyDescent="0.75">
      <c r="P118" s="9">
        <v>104</v>
      </c>
      <c r="Q118" s="9">
        <f t="shared" si="17"/>
        <v>17</v>
      </c>
      <c r="R118" s="9">
        <f t="shared" si="18"/>
        <v>2</v>
      </c>
      <c r="S118" s="14" t="str" cm="1">
        <f t="array" ref="S118">INDEX('Subj-ConceptMap-1'!$I$15:$N$205,Q118+1,R118)</f>
        <v>* group[=].element[=].display = ##34#A.1.2.1.7 Telephone no.##34#</v>
      </c>
    </row>
    <row r="119" spans="16:19" x14ac:dyDescent="0.75">
      <c r="P119" s="9">
        <v>105</v>
      </c>
      <c r="Q119" s="9">
        <f t="shared" si="17"/>
        <v>17</v>
      </c>
      <c r="R119" s="9">
        <f t="shared" si="18"/>
        <v>3</v>
      </c>
      <c r="S119" s="14" t="str" cm="1">
        <f t="array" ref="S119">INDEX('Subj-ConceptMap-1'!$I$15:$N$205,Q119+1,R119)</f>
        <v>* group[=].element[=].target.code = #Patient.telecom</v>
      </c>
    </row>
    <row r="120" spans="16:19" x14ac:dyDescent="0.75">
      <c r="P120" s="9">
        <v>106</v>
      </c>
      <c r="Q120" s="9">
        <f t="shared" si="17"/>
        <v>17</v>
      </c>
      <c r="R120" s="9">
        <f t="shared" si="18"/>
        <v>4</v>
      </c>
      <c r="S120" s="14" t="str" cm="1">
        <f t="array" ref="S120">INDEX('Subj-ConceptMap-1'!$I$15:$N$205,Q120+1,R120)</f>
        <v>* group[=].element[=].target.display = ##34###34#</v>
      </c>
    </row>
    <row r="121" spans="16:19" x14ac:dyDescent="0.75">
      <c r="P121" s="9">
        <v>107</v>
      </c>
      <c r="Q121" s="9">
        <f t="shared" si="17"/>
        <v>17</v>
      </c>
      <c r="R121" s="9">
        <f t="shared" si="18"/>
        <v>5</v>
      </c>
      <c r="S121" s="14" t="str" cm="1">
        <f t="array" ref="S121">INDEX('Subj-ConceptMap-1'!$I$15:$N$205,Q121+1,R121)</f>
        <v>* group[=].element[=].target.equivalence = #equivalent</v>
      </c>
    </row>
    <row r="122" spans="16:19" x14ac:dyDescent="0.75">
      <c r="P122" s="9">
        <v>108</v>
      </c>
      <c r="Q122" s="9">
        <f t="shared" si="17"/>
        <v>17</v>
      </c>
      <c r="R122" s="9">
        <f t="shared" si="18"/>
        <v>6</v>
      </c>
      <c r="S122" s="14" t="str" cm="1">
        <f t="array" ref="S122">INDEX('Subj-ConceptMap-1'!$I$15:$N$205,Q122+1,R122)</f>
        <v>* group[=].element[=].target.comment = ##34#where system = 'phone '##34#</v>
      </c>
    </row>
    <row r="123" spans="16:19" x14ac:dyDescent="0.75">
      <c r="P123" s="9">
        <v>109</v>
      </c>
      <c r="Q123" s="9">
        <f t="shared" si="17"/>
        <v>18</v>
      </c>
      <c r="R123" s="9">
        <f t="shared" si="18"/>
        <v>1</v>
      </c>
      <c r="S123" s="14" t="str" cm="1">
        <f t="array" ref="S123">INDEX('Subj-ConceptMap-1'!$I$15:$N$205,Q123+1,R123)</f>
        <v>* group[=].element[+].code = #Subject.telcomContact.email</v>
      </c>
    </row>
    <row r="124" spans="16:19" x14ac:dyDescent="0.75">
      <c r="P124" s="9">
        <v>110</v>
      </c>
      <c r="Q124" s="9">
        <f t="shared" si="17"/>
        <v>18</v>
      </c>
      <c r="R124" s="9">
        <f t="shared" si="18"/>
        <v>2</v>
      </c>
      <c r="S124" s="14" t="str" cm="1">
        <f t="array" ref="S124">INDEX('Subj-ConceptMap-1'!$I$15:$N$205,Q124+1,R124)</f>
        <v>* group[=].element[=].display = ##34#A.1.2.1.8 Email##34#</v>
      </c>
    </row>
    <row r="125" spans="16:19" x14ac:dyDescent="0.75">
      <c r="P125" s="9">
        <v>111</v>
      </c>
      <c r="Q125" s="9">
        <f t="shared" si="17"/>
        <v>18</v>
      </c>
      <c r="R125" s="9">
        <f t="shared" si="18"/>
        <v>3</v>
      </c>
      <c r="S125" s="14" t="str" cm="1">
        <f t="array" ref="S125">INDEX('Subj-ConceptMap-1'!$I$15:$N$205,Q125+1,R125)</f>
        <v>* group[=].element[=].target.code = #Patient.telecom</v>
      </c>
    </row>
    <row r="126" spans="16:19" x14ac:dyDescent="0.75">
      <c r="P126" s="9">
        <v>112</v>
      </c>
      <c r="Q126" s="9">
        <f t="shared" si="17"/>
        <v>18</v>
      </c>
      <c r="R126" s="9">
        <f t="shared" si="18"/>
        <v>4</v>
      </c>
      <c r="S126" s="14" t="str" cm="1">
        <f t="array" ref="S126">INDEX('Subj-ConceptMap-1'!$I$15:$N$205,Q126+1,R126)</f>
        <v>* group[=].element[=].target.display = ##34###34#</v>
      </c>
    </row>
    <row r="127" spans="16:19" x14ac:dyDescent="0.75">
      <c r="P127" s="9">
        <v>113</v>
      </c>
      <c r="Q127" s="9">
        <f t="shared" si="17"/>
        <v>18</v>
      </c>
      <c r="R127" s="9">
        <f t="shared" si="18"/>
        <v>5</v>
      </c>
      <c r="S127" s="14" t="str" cm="1">
        <f t="array" ref="S127">INDEX('Subj-ConceptMap-1'!$I$15:$N$205,Q127+1,R127)</f>
        <v>* group[=].element[=].target.equivalence = #equivalent</v>
      </c>
    </row>
    <row r="128" spans="16:19" x14ac:dyDescent="0.75">
      <c r="P128" s="9">
        <v>114</v>
      </c>
      <c r="Q128" s="9">
        <f t="shared" si="17"/>
        <v>18</v>
      </c>
      <c r="R128" s="9">
        <f t="shared" si="18"/>
        <v>6</v>
      </c>
      <c r="S128" s="14" t="str" cm="1">
        <f t="array" ref="S128">INDEX('Subj-ConceptMap-1'!$I$15:$N$205,Q128+1,R128)</f>
        <v>* group[=].element[=].target.comment = ##34#where system = 'email'##34#</v>
      </c>
    </row>
    <row r="129" spans="16:19" x14ac:dyDescent="0.75">
      <c r="P129" s="9">
        <v>115</v>
      </c>
      <c r="Q129" s="9">
        <f t="shared" si="17"/>
        <v>19</v>
      </c>
      <c r="R129" s="9">
        <f t="shared" si="18"/>
        <v>1</v>
      </c>
      <c r="S129" s="14" t="str" cm="1">
        <f t="array" ref="S129">INDEX('Subj-ConceptMap-1'!$I$15:$N$205,Q129+1,R129)</f>
        <v>* group[=].element[+].code = #Subject.hpToContact</v>
      </c>
    </row>
    <row r="130" spans="16:19" x14ac:dyDescent="0.75">
      <c r="P130" s="9">
        <v>116</v>
      </c>
      <c r="Q130" s="9">
        <f t="shared" si="17"/>
        <v>19</v>
      </c>
      <c r="R130" s="9">
        <f t="shared" si="18"/>
        <v>2</v>
      </c>
      <c r="S130" s="14" t="str" cm="1">
        <f t="array" ref="S130">INDEX('Subj-ConceptMap-1'!$I$15:$N$205,Q130+1,R130)</f>
        <v>* group[=].element[=].display = ##34#A.1.2.2 Preferred HP to contact##34#</v>
      </c>
    </row>
    <row r="131" spans="16:19" x14ac:dyDescent="0.75">
      <c r="P131" s="9">
        <v>117</v>
      </c>
      <c r="Q131" s="9">
        <f t="shared" si="17"/>
        <v>19</v>
      </c>
      <c r="R131" s="9">
        <f t="shared" si="18"/>
        <v>3</v>
      </c>
      <c r="S131" s="14" t="str" cm="1">
        <f t="array" ref="S131">INDEX('Subj-ConceptMap-1'!$I$15:$N$205,Q131+1,R131)</f>
        <v>//-- unmatched</v>
      </c>
    </row>
    <row r="132" spans="16:19" x14ac:dyDescent="0.75">
      <c r="P132" s="9">
        <v>118</v>
      </c>
      <c r="Q132" s="9">
        <f t="shared" si="17"/>
        <v>19</v>
      </c>
      <c r="R132" s="9">
        <f t="shared" si="18"/>
        <v>4</v>
      </c>
      <c r="S132" s="14" t="str" cm="1">
        <f t="array" ref="S132">INDEX('Subj-ConceptMap-1'!$I$15:$N$205,Q132+1,R132)</f>
        <v>//-- unmatched</v>
      </c>
    </row>
    <row r="133" spans="16:19" x14ac:dyDescent="0.75">
      <c r="P133" s="9">
        <v>119</v>
      </c>
      <c r="Q133" s="9">
        <f t="shared" si="17"/>
        <v>19</v>
      </c>
      <c r="R133" s="9">
        <f t="shared" si="18"/>
        <v>5</v>
      </c>
      <c r="S133" s="14" t="str" cm="1">
        <f t="array" ref="S133">INDEX('Subj-ConceptMap-1'!$I$15:$N$205,Q133+1,R133)</f>
        <v>* group[=].element[=].target.equivalence = #unmatched</v>
      </c>
    </row>
    <row r="134" spans="16:19" ht="29.5" x14ac:dyDescent="0.75">
      <c r="P134" s="9">
        <v>120</v>
      </c>
      <c r="Q134" s="9">
        <f t="shared" si="17"/>
        <v>19</v>
      </c>
      <c r="R134" s="9">
        <f t="shared" si="18"/>
        <v>6</v>
      </c>
      <c r="S134" s="14" t="str" cm="1">
        <f t="array" ref="S134">INDEX('Subj-ConceptMap-1'!$I$15:$N$205,Q134+1,R134)</f>
        <v>* group[=].element[=].target.comment = ##34#To be mapped in differetn places##34#</v>
      </c>
    </row>
    <row r="135" spans="16:19" x14ac:dyDescent="0.75">
      <c r="P135" s="9">
        <v>121</v>
      </c>
      <c r="Q135" s="9">
        <f t="shared" si="17"/>
        <v>20</v>
      </c>
      <c r="R135" s="9">
        <f t="shared" si="18"/>
        <v>1</v>
      </c>
      <c r="S135" s="14" t="str" cm="1">
        <f t="array" ref="S135">INDEX('Subj-ConceptMap-1'!$I$15:$N$205,Q135+1,R135)</f>
        <v>* group[=].element[+].code = #Subject.contactPerson</v>
      </c>
    </row>
    <row r="136" spans="16:19" x14ac:dyDescent="0.75">
      <c r="P136" s="9">
        <v>122</v>
      </c>
      <c r="Q136" s="9">
        <f t="shared" si="17"/>
        <v>20</v>
      </c>
      <c r="R136" s="9">
        <f t="shared" si="18"/>
        <v>2</v>
      </c>
      <c r="S136" s="14" t="str" cm="1">
        <f t="array" ref="S136">INDEX('Subj-ConceptMap-1'!$I$15:$N$205,Q136+1,R136)</f>
        <v>* group[=].element[=].display = ##34#A.1.2.3 Contact person/ legal guardian ##34#</v>
      </c>
    </row>
    <row r="137" spans="16:19" x14ac:dyDescent="0.75">
      <c r="P137" s="9">
        <v>123</v>
      </c>
      <c r="Q137" s="9">
        <f t="shared" si="17"/>
        <v>20</v>
      </c>
      <c r="R137" s="9">
        <f t="shared" si="18"/>
        <v>3</v>
      </c>
      <c r="S137" s="14" t="str" cm="1">
        <f t="array" ref="S137">INDEX('Subj-ConceptMap-1'!$I$15:$N$205,Q137+1,R137)</f>
        <v>* group[=].element[=].target.code = #Patient.contact</v>
      </c>
    </row>
    <row r="138" spans="16:19" x14ac:dyDescent="0.75">
      <c r="P138" s="9">
        <v>124</v>
      </c>
      <c r="Q138" s="9">
        <f t="shared" si="17"/>
        <v>20</v>
      </c>
      <c r="R138" s="9">
        <f t="shared" si="18"/>
        <v>4</v>
      </c>
      <c r="S138" s="14" t="str" cm="1">
        <f t="array" ref="S138">INDEX('Subj-ConceptMap-1'!$I$15:$N$205,Q138+1,R138)</f>
        <v>* group[=].element[=].target.display = ##34###34#</v>
      </c>
    </row>
    <row r="139" spans="16:19" x14ac:dyDescent="0.75">
      <c r="P139" s="9">
        <v>125</v>
      </c>
      <c r="Q139" s="9">
        <f t="shared" si="17"/>
        <v>20</v>
      </c>
      <c r="R139" s="9">
        <f t="shared" si="18"/>
        <v>5</v>
      </c>
      <c r="S139" s="14" t="str" cm="1">
        <f t="array" ref="S139">INDEX('Subj-ConceptMap-1'!$I$15:$N$205,Q139+1,R139)</f>
        <v>* group[=].element[=].target.equivalence = #equivalent</v>
      </c>
    </row>
    <row r="140" spans="16:19" x14ac:dyDescent="0.75">
      <c r="P140" s="9">
        <v>126</v>
      </c>
      <c r="Q140" s="9">
        <f t="shared" si="17"/>
        <v>20</v>
      </c>
      <c r="R140" s="9">
        <f t="shared" si="18"/>
        <v>6</v>
      </c>
      <c r="S140" s="14" t="str" cm="1">
        <f t="array" ref="S140">INDEX('Subj-ConceptMap-1'!$I$15:$N$205,Q140+1,R140)</f>
        <v/>
      </c>
    </row>
    <row r="141" spans="16:19" x14ac:dyDescent="0.75">
      <c r="P141" s="9">
        <v>127</v>
      </c>
      <c r="Q141" s="9">
        <f t="shared" si="17"/>
        <v>21</v>
      </c>
      <c r="R141" s="9">
        <f t="shared" si="18"/>
        <v>1</v>
      </c>
      <c r="S141" s="14" t="str" cm="1">
        <f t="array" ref="S141">INDEX('Subj-ConceptMap-1'!$I$15:$N$205,Q141+1,R141)</f>
        <v>* group[=].element[+].code = #Subject.contactPerson.role</v>
      </c>
    </row>
    <row r="142" spans="16:19" x14ac:dyDescent="0.75">
      <c r="P142" s="9">
        <v>128</v>
      </c>
      <c r="Q142" s="9">
        <f t="shared" si="17"/>
        <v>21</v>
      </c>
      <c r="R142" s="9">
        <f t="shared" si="18"/>
        <v>2</v>
      </c>
      <c r="S142" s="14" t="str" cm="1">
        <f t="array" ref="S142">INDEX('Subj-ConceptMap-1'!$I$15:$N$205,Q142+1,R142)</f>
        <v>* group[=].element[=].display = ##34#A.1.2.3.1 Role of that person##34#</v>
      </c>
    </row>
    <row r="143" spans="16:19" x14ac:dyDescent="0.75">
      <c r="P143" s="9">
        <v>129</v>
      </c>
      <c r="Q143" s="9">
        <f t="shared" si="17"/>
        <v>21</v>
      </c>
      <c r="R143" s="9">
        <f t="shared" si="18"/>
        <v>3</v>
      </c>
      <c r="S143" s="14" t="str" cm="1">
        <f t="array" ref="S143">INDEX('Subj-ConceptMap-1'!$I$15:$N$205,Q143+1,R143)</f>
        <v>* group[=].element[=].target.code = #Patient.contact.relationship</v>
      </c>
    </row>
    <row r="144" spans="16:19" x14ac:dyDescent="0.75">
      <c r="P144" s="9">
        <v>130</v>
      </c>
      <c r="Q144" s="9">
        <f t="shared" ref="Q144:Q207" si="19">IF(MOD(P144,$Q$8)=0,P144/$Q$8-1,INT(P144/$Q$8))</f>
        <v>21</v>
      </c>
      <c r="R144" s="9">
        <f t="shared" ref="R144:R207" si="20">IF(MOD(P144,$Q$8)=0,$Q$8,MOD(P144,$Q$8))</f>
        <v>4</v>
      </c>
      <c r="S144" s="14" t="str" cm="1">
        <f t="array" ref="S144">INDEX('Subj-ConceptMap-1'!$I$15:$N$205,Q144+1,R144)</f>
        <v>* group[=].element[=].target.display = ##34###34#</v>
      </c>
    </row>
    <row r="145" spans="16:19" x14ac:dyDescent="0.75">
      <c r="P145" s="9">
        <v>131</v>
      </c>
      <c r="Q145" s="9">
        <f t="shared" si="19"/>
        <v>21</v>
      </c>
      <c r="R145" s="9">
        <f t="shared" si="20"/>
        <v>5</v>
      </c>
      <c r="S145" s="14" t="str" cm="1">
        <f t="array" ref="S145">INDEX('Subj-ConceptMap-1'!$I$15:$N$205,Q145+1,R145)</f>
        <v>* group[=].element[=].target.equivalence = #relatedto</v>
      </c>
    </row>
    <row r="146" spans="16:19" x14ac:dyDescent="0.75">
      <c r="P146" s="9">
        <v>132</v>
      </c>
      <c r="Q146" s="9">
        <f t="shared" si="19"/>
        <v>21</v>
      </c>
      <c r="R146" s="9">
        <f t="shared" si="20"/>
        <v>6</v>
      </c>
      <c r="S146" s="14" t="str" cm="1">
        <f t="array" ref="S146">INDEX('Subj-ConceptMap-1'!$I$15:$N$205,Q146+1,R146)</f>
        <v>* group[=].element[=].target.comment = ##34#To be checked##34#</v>
      </c>
    </row>
    <row r="147" spans="16:19" x14ac:dyDescent="0.75">
      <c r="P147" s="9">
        <v>133</v>
      </c>
      <c r="Q147" s="9">
        <f t="shared" si="19"/>
        <v>22</v>
      </c>
      <c r="R147" s="9">
        <f t="shared" si="20"/>
        <v>1</v>
      </c>
      <c r="S147" s="14" t="str" cm="1">
        <f t="array" ref="S147">INDEX('Subj-ConceptMap-1'!$I$15:$N$205,Q147+1,R147)</f>
        <v>* group[=].element[+].code = #Subject.contactPerson.relationship</v>
      </c>
    </row>
    <row r="148" spans="16:19" x14ac:dyDescent="0.75">
      <c r="P148" s="9">
        <v>134</v>
      </c>
      <c r="Q148" s="9">
        <f t="shared" si="19"/>
        <v>22</v>
      </c>
      <c r="R148" s="9">
        <f t="shared" si="20"/>
        <v>2</v>
      </c>
      <c r="S148" s="14" t="str" cm="1">
        <f t="array" ref="S148">INDEX('Subj-ConceptMap-1'!$I$15:$N$205,Q148+1,R148)</f>
        <v>* group[=].element[=].display = ##34#A.1.2.3.2 Relationship level##34#</v>
      </c>
    </row>
    <row r="149" spans="16:19" x14ac:dyDescent="0.75">
      <c r="P149" s="9">
        <v>135</v>
      </c>
      <c r="Q149" s="9">
        <f t="shared" si="19"/>
        <v>22</v>
      </c>
      <c r="R149" s="9">
        <f t="shared" si="20"/>
        <v>3</v>
      </c>
      <c r="S149" s="14" t="str" cm="1">
        <f t="array" ref="S149">INDEX('Subj-ConceptMap-1'!$I$15:$N$205,Q149+1,R149)</f>
        <v>* group[=].element[=].target.code = #Patient.contact.relationship</v>
      </c>
    </row>
    <row r="150" spans="16:19" x14ac:dyDescent="0.75">
      <c r="P150" s="9">
        <v>136</v>
      </c>
      <c r="Q150" s="9">
        <f t="shared" si="19"/>
        <v>22</v>
      </c>
      <c r="R150" s="9">
        <f t="shared" si="20"/>
        <v>4</v>
      </c>
      <c r="S150" s="14" t="str" cm="1">
        <f t="array" ref="S150">INDEX('Subj-ConceptMap-1'!$I$15:$N$205,Q150+1,R150)</f>
        <v>* group[=].element[=].target.display = ##34###34#</v>
      </c>
    </row>
    <row r="151" spans="16:19" x14ac:dyDescent="0.75">
      <c r="P151" s="9">
        <v>137</v>
      </c>
      <c r="Q151" s="9">
        <f t="shared" si="19"/>
        <v>22</v>
      </c>
      <c r="R151" s="9">
        <f t="shared" si="20"/>
        <v>5</v>
      </c>
      <c r="S151" s="14" t="str" cm="1">
        <f t="array" ref="S151">INDEX('Subj-ConceptMap-1'!$I$15:$N$205,Q151+1,R151)</f>
        <v>* group[=].element[=].target.equivalence = #equivalent</v>
      </c>
    </row>
    <row r="152" spans="16:19" x14ac:dyDescent="0.75">
      <c r="P152" s="9">
        <v>138</v>
      </c>
      <c r="Q152" s="9">
        <f t="shared" si="19"/>
        <v>22</v>
      </c>
      <c r="R152" s="9">
        <f t="shared" si="20"/>
        <v>6</v>
      </c>
      <c r="S152" s="14" t="str" cm="1">
        <f t="array" ref="S152">INDEX('Subj-ConceptMap-1'!$I$15:$N$205,Q152+1,R152)</f>
        <v/>
      </c>
    </row>
    <row r="153" spans="16:19" x14ac:dyDescent="0.75">
      <c r="P153" s="9">
        <v>139</v>
      </c>
      <c r="Q153" s="9">
        <f t="shared" si="19"/>
        <v>23</v>
      </c>
      <c r="R153" s="9">
        <f t="shared" si="20"/>
        <v>1</v>
      </c>
      <c r="S153" s="14" t="str" cm="1">
        <f t="array" ref="S153">INDEX('Subj-ConceptMap-1'!$I$15:$N$205,Q153+1,R153)</f>
        <v>* group[=].element[+].code = #Subject.contactPerson.givenName</v>
      </c>
    </row>
    <row r="154" spans="16:19" x14ac:dyDescent="0.75">
      <c r="P154" s="9">
        <v>140</v>
      </c>
      <c r="Q154" s="9">
        <f t="shared" si="19"/>
        <v>23</v>
      </c>
      <c r="R154" s="9">
        <f t="shared" si="20"/>
        <v>2</v>
      </c>
      <c r="S154" s="14" t="str" cm="1">
        <f t="array" ref="S154">INDEX('Subj-ConceptMap-1'!$I$15:$N$205,Q154+1,R154)</f>
        <v>* group[=].element[=].display = ##34#A.1.2.3.3 Given name##34#</v>
      </c>
    </row>
    <row r="155" spans="16:19" x14ac:dyDescent="0.75">
      <c r="P155" s="9">
        <v>141</v>
      </c>
      <c r="Q155" s="9">
        <f t="shared" si="19"/>
        <v>23</v>
      </c>
      <c r="R155" s="9">
        <f t="shared" si="20"/>
        <v>3</v>
      </c>
      <c r="S155" s="14" t="str" cm="1">
        <f t="array" ref="S155">INDEX('Subj-ConceptMap-1'!$I$15:$N$205,Q155+1,R155)</f>
        <v>* group[=].element[=].target.code = #Patient.contact.name.given</v>
      </c>
    </row>
    <row r="156" spans="16:19" x14ac:dyDescent="0.75">
      <c r="P156" s="9">
        <v>142</v>
      </c>
      <c r="Q156" s="9">
        <f t="shared" si="19"/>
        <v>23</v>
      </c>
      <c r="R156" s="9">
        <f t="shared" si="20"/>
        <v>4</v>
      </c>
      <c r="S156" s="14" t="str" cm="1">
        <f t="array" ref="S156">INDEX('Subj-ConceptMap-1'!$I$15:$N$205,Q156+1,R156)</f>
        <v>* group[=].element[=].target.display = ##34###34#</v>
      </c>
    </row>
    <row r="157" spans="16:19" x14ac:dyDescent="0.75">
      <c r="P157" s="9">
        <v>143</v>
      </c>
      <c r="Q157" s="9">
        <f t="shared" si="19"/>
        <v>23</v>
      </c>
      <c r="R157" s="9">
        <f t="shared" si="20"/>
        <v>5</v>
      </c>
      <c r="S157" s="14" t="str" cm="1">
        <f t="array" ref="S157">INDEX('Subj-ConceptMap-1'!$I$15:$N$205,Q157+1,R157)</f>
        <v>* group[=].element[=].target.equivalence = #equivalent</v>
      </c>
    </row>
    <row r="158" spans="16:19" x14ac:dyDescent="0.75">
      <c r="P158" s="9">
        <v>144</v>
      </c>
      <c r="Q158" s="9">
        <f t="shared" si="19"/>
        <v>23</v>
      </c>
      <c r="R158" s="9">
        <f t="shared" si="20"/>
        <v>6</v>
      </c>
      <c r="S158" s="14" t="str" cm="1">
        <f t="array" ref="S158">INDEX('Subj-ConceptMap-1'!$I$15:$N$205,Q158+1,R158)</f>
        <v/>
      </c>
    </row>
    <row r="159" spans="16:19" x14ac:dyDescent="0.75">
      <c r="P159" s="9">
        <v>145</v>
      </c>
      <c r="Q159" s="9">
        <f t="shared" si="19"/>
        <v>24</v>
      </c>
      <c r="R159" s="9">
        <f t="shared" si="20"/>
        <v>1</v>
      </c>
      <c r="S159" s="14" t="str" cm="1">
        <f t="array" ref="S159">INDEX('Subj-ConceptMap-1'!$I$15:$N$205,Q159+1,R159)</f>
        <v>* group[=].element[+].code = #Subject.contactPerson.familyName</v>
      </c>
    </row>
    <row r="160" spans="16:19" x14ac:dyDescent="0.75">
      <c r="P160" s="9">
        <v>146</v>
      </c>
      <c r="Q160" s="9">
        <f t="shared" si="19"/>
        <v>24</v>
      </c>
      <c r="R160" s="9">
        <f t="shared" si="20"/>
        <v>2</v>
      </c>
      <c r="S160" s="14" t="str" cm="1">
        <f t="array" ref="S160">INDEX('Subj-ConceptMap-1'!$I$15:$N$205,Q160+1,R160)</f>
        <v>* group[=].element[=].display = ##34#A.1.2.3.4 Family name/surname##34#</v>
      </c>
    </row>
    <row r="161" spans="16:19" x14ac:dyDescent="0.75">
      <c r="P161" s="9">
        <v>147</v>
      </c>
      <c r="Q161" s="9">
        <f t="shared" si="19"/>
        <v>24</v>
      </c>
      <c r="R161" s="9">
        <f t="shared" si="20"/>
        <v>3</v>
      </c>
      <c r="S161" s="14" t="str" cm="1">
        <f t="array" ref="S161">INDEX('Subj-ConceptMap-1'!$I$15:$N$205,Q161+1,R161)</f>
        <v>* group[=].element[=].target.code = #Patient.contact.name.family</v>
      </c>
    </row>
    <row r="162" spans="16:19" x14ac:dyDescent="0.75">
      <c r="P162" s="9">
        <v>148</v>
      </c>
      <c r="Q162" s="9">
        <f t="shared" si="19"/>
        <v>24</v>
      </c>
      <c r="R162" s="9">
        <f t="shared" si="20"/>
        <v>4</v>
      </c>
      <c r="S162" s="14" t="str" cm="1">
        <f t="array" ref="S162">INDEX('Subj-ConceptMap-1'!$I$15:$N$205,Q162+1,R162)</f>
        <v>* group[=].element[=].target.display = ##34###34#</v>
      </c>
    </row>
    <row r="163" spans="16:19" x14ac:dyDescent="0.75">
      <c r="P163" s="9">
        <v>149</v>
      </c>
      <c r="Q163" s="9">
        <f t="shared" si="19"/>
        <v>24</v>
      </c>
      <c r="R163" s="9">
        <f t="shared" si="20"/>
        <v>5</v>
      </c>
      <c r="S163" s="14" t="str" cm="1">
        <f t="array" ref="S163">INDEX('Subj-ConceptMap-1'!$I$15:$N$205,Q163+1,R163)</f>
        <v>* group[=].element[=].target.equivalence = #equivalent</v>
      </c>
    </row>
    <row r="164" spans="16:19" x14ac:dyDescent="0.75">
      <c r="P164" s="9">
        <v>150</v>
      </c>
      <c r="Q164" s="9">
        <f t="shared" si="19"/>
        <v>24</v>
      </c>
      <c r="R164" s="9">
        <f t="shared" si="20"/>
        <v>6</v>
      </c>
      <c r="S164" s="14" t="str" cm="1">
        <f t="array" ref="S164">INDEX('Subj-ConceptMap-1'!$I$15:$N$205,Q164+1,R164)</f>
        <v/>
      </c>
    </row>
    <row r="165" spans="16:19" x14ac:dyDescent="0.75">
      <c r="P165" s="9">
        <v>151</v>
      </c>
      <c r="Q165" s="9">
        <f t="shared" si="19"/>
        <v>25</v>
      </c>
      <c r="R165" s="9">
        <f t="shared" si="20"/>
        <v>1</v>
      </c>
      <c r="S165" s="14" t="str" cm="1">
        <f t="array" ref="S165">INDEX('Subj-ConceptMap-1'!$I$15:$N$205,Q165+1,R165)</f>
        <v>* group[=].element[+].code = #Subject.contactPerson.telephone</v>
      </c>
    </row>
    <row r="166" spans="16:19" x14ac:dyDescent="0.75">
      <c r="P166" s="9">
        <v>152</v>
      </c>
      <c r="Q166" s="9">
        <f t="shared" si="19"/>
        <v>25</v>
      </c>
      <c r="R166" s="9">
        <f t="shared" si="20"/>
        <v>2</v>
      </c>
      <c r="S166" s="14" t="str" cm="1">
        <f t="array" ref="S166">INDEX('Subj-ConceptMap-1'!$I$15:$N$205,Q166+1,R166)</f>
        <v>* group[=].element[=].display = ##34#A.1.2.3.5 Telephone no.##34#</v>
      </c>
    </row>
    <row r="167" spans="16:19" x14ac:dyDescent="0.75">
      <c r="P167" s="9">
        <v>153</v>
      </c>
      <c r="Q167" s="9">
        <f t="shared" si="19"/>
        <v>25</v>
      </c>
      <c r="R167" s="9">
        <f t="shared" si="20"/>
        <v>3</v>
      </c>
      <c r="S167" s="14" t="str" cm="1">
        <f t="array" ref="S167">INDEX('Subj-ConceptMap-1'!$I$15:$N$205,Q167+1,R167)</f>
        <v>* group[=].element[=].target.code = #Patient.contact.telecom</v>
      </c>
    </row>
    <row r="168" spans="16:19" x14ac:dyDescent="0.75">
      <c r="P168" s="9">
        <v>154</v>
      </c>
      <c r="Q168" s="9">
        <f t="shared" si="19"/>
        <v>25</v>
      </c>
      <c r="R168" s="9">
        <f t="shared" si="20"/>
        <v>4</v>
      </c>
      <c r="S168" s="14" t="str" cm="1">
        <f t="array" ref="S168">INDEX('Subj-ConceptMap-1'!$I$15:$N$205,Q168+1,R168)</f>
        <v>* group[=].element[=].target.display = ##34###34#</v>
      </c>
    </row>
    <row r="169" spans="16:19" x14ac:dyDescent="0.75">
      <c r="P169" s="9">
        <v>155</v>
      </c>
      <c r="Q169" s="9">
        <f t="shared" si="19"/>
        <v>25</v>
      </c>
      <c r="R169" s="9">
        <f t="shared" si="20"/>
        <v>5</v>
      </c>
      <c r="S169" s="14" t="str" cm="1">
        <f t="array" ref="S169">INDEX('Subj-ConceptMap-1'!$I$15:$N$205,Q169+1,R169)</f>
        <v>* group[=].element[=].target.equivalence = #equivalent</v>
      </c>
    </row>
    <row r="170" spans="16:19" x14ac:dyDescent="0.75">
      <c r="P170" s="9">
        <v>156</v>
      </c>
      <c r="Q170" s="9">
        <f t="shared" si="19"/>
        <v>25</v>
      </c>
      <c r="R170" s="9">
        <f t="shared" si="20"/>
        <v>6</v>
      </c>
      <c r="S170" s="14" t="str" cm="1">
        <f t="array" ref="S170">INDEX('Subj-ConceptMap-1'!$I$15:$N$205,Q170+1,R170)</f>
        <v/>
      </c>
    </row>
    <row r="171" spans="16:19" x14ac:dyDescent="0.75">
      <c r="P171" s="9">
        <v>157</v>
      </c>
      <c r="Q171" s="9">
        <f t="shared" si="19"/>
        <v>26</v>
      </c>
      <c r="R171" s="9">
        <f t="shared" si="20"/>
        <v>1</v>
      </c>
      <c r="S171" s="14" t="str" cm="1">
        <f t="array" ref="S171">INDEX('Subj-ConceptMap-1'!$I$15:$N$205,Q171+1,R171)</f>
        <v>* group[=].element[+].code = #Subject.contactPerson.email</v>
      </c>
    </row>
    <row r="172" spans="16:19" x14ac:dyDescent="0.75">
      <c r="P172" s="9">
        <v>158</v>
      </c>
      <c r="Q172" s="9">
        <f t="shared" si="19"/>
        <v>26</v>
      </c>
      <c r="R172" s="9">
        <f t="shared" si="20"/>
        <v>2</v>
      </c>
      <c r="S172" s="14" t="str" cm="1">
        <f t="array" ref="S172">INDEX('Subj-ConceptMap-1'!$I$15:$N$205,Q172+1,R172)</f>
        <v>* group[=].element[=].display = ##34#A.1.2.3.6 Email##34#</v>
      </c>
    </row>
    <row r="173" spans="16:19" x14ac:dyDescent="0.75">
      <c r="P173" s="9">
        <v>159</v>
      </c>
      <c r="Q173" s="9">
        <f t="shared" si="19"/>
        <v>26</v>
      </c>
      <c r="R173" s="9">
        <f t="shared" si="20"/>
        <v>3</v>
      </c>
      <c r="S173" s="14" t="str" cm="1">
        <f t="array" ref="S173">INDEX('Subj-ConceptMap-1'!$I$15:$N$205,Q173+1,R173)</f>
        <v>* group[=].element[=].target.code = #Patient.contact.telecom</v>
      </c>
    </row>
    <row r="174" spans="16:19" x14ac:dyDescent="0.75">
      <c r="P174" s="9">
        <v>160</v>
      </c>
      <c r="Q174" s="9">
        <f t="shared" si="19"/>
        <v>26</v>
      </c>
      <c r="R174" s="9">
        <f t="shared" si="20"/>
        <v>4</v>
      </c>
      <c r="S174" s="14" t="str" cm="1">
        <f t="array" ref="S174">INDEX('Subj-ConceptMap-1'!$I$15:$N$205,Q174+1,R174)</f>
        <v>* group[=].element[=].target.display = ##34###34#</v>
      </c>
    </row>
    <row r="175" spans="16:19" x14ac:dyDescent="0.75">
      <c r="P175" s="9">
        <v>161</v>
      </c>
      <c r="Q175" s="9">
        <f t="shared" si="19"/>
        <v>26</v>
      </c>
      <c r="R175" s="9">
        <f t="shared" si="20"/>
        <v>5</v>
      </c>
      <c r="S175" s="14" t="str" cm="1">
        <f t="array" ref="S175">INDEX('Subj-ConceptMap-1'!$I$15:$N$205,Q175+1,R175)</f>
        <v>* group[=].element[=].target.equivalence = #equivalent</v>
      </c>
    </row>
    <row r="176" spans="16:19" x14ac:dyDescent="0.75">
      <c r="P176" s="9">
        <v>162</v>
      </c>
      <c r="Q176" s="9">
        <f t="shared" si="19"/>
        <v>26</v>
      </c>
      <c r="R176" s="9">
        <f t="shared" si="20"/>
        <v>6</v>
      </c>
      <c r="S176" s="14" t="str" cm="1">
        <f t="array" ref="S176">INDEX('Subj-ConceptMap-1'!$I$15:$N$205,Q176+1,R176)</f>
        <v/>
      </c>
    </row>
    <row r="177" spans="16:19" x14ac:dyDescent="0.75">
      <c r="P177" s="9">
        <v>163</v>
      </c>
      <c r="Q177" s="9">
        <f t="shared" si="19"/>
        <v>27</v>
      </c>
      <c r="R177" s="9">
        <f t="shared" si="20"/>
        <v>1</v>
      </c>
      <c r="S177" s="14" cm="1">
        <f t="array" ref="S177">INDEX('Subj-ConceptMap-1'!$I$15:$N$205,Q177+1,R177)</f>
        <v>0</v>
      </c>
    </row>
    <row r="178" spans="16:19" x14ac:dyDescent="0.75">
      <c r="P178" s="9">
        <v>164</v>
      </c>
      <c r="Q178" s="9">
        <f t="shared" si="19"/>
        <v>27</v>
      </c>
      <c r="R178" s="9">
        <f t="shared" si="20"/>
        <v>2</v>
      </c>
      <c r="S178" s="14" cm="1">
        <f t="array" ref="S178">INDEX('Subj-ConceptMap-1'!$I$15:$N$205,Q178+1,R178)</f>
        <v>0</v>
      </c>
    </row>
    <row r="179" spans="16:19" x14ac:dyDescent="0.75">
      <c r="P179" s="9">
        <v>165</v>
      </c>
      <c r="Q179" s="9">
        <f t="shared" si="19"/>
        <v>27</v>
      </c>
      <c r="R179" s="9">
        <f t="shared" si="20"/>
        <v>3</v>
      </c>
      <c r="S179" s="14" cm="1">
        <f t="array" ref="S179">INDEX('Subj-ConceptMap-1'!$I$15:$N$205,Q179+1,R179)</f>
        <v>0</v>
      </c>
    </row>
    <row r="180" spans="16:19" x14ac:dyDescent="0.75">
      <c r="P180" s="9">
        <v>166</v>
      </c>
      <c r="Q180" s="9">
        <f t="shared" si="19"/>
        <v>27</v>
      </c>
      <c r="R180" s="9">
        <f t="shared" si="20"/>
        <v>4</v>
      </c>
      <c r="S180" s="14" cm="1">
        <f t="array" ref="S180">INDEX('Subj-ConceptMap-1'!$I$15:$N$205,Q180+1,R180)</f>
        <v>0</v>
      </c>
    </row>
    <row r="181" spans="16:19" x14ac:dyDescent="0.75">
      <c r="P181" s="9">
        <v>167</v>
      </c>
      <c r="Q181" s="9">
        <f t="shared" si="19"/>
        <v>27</v>
      </c>
      <c r="R181" s="9">
        <f t="shared" si="20"/>
        <v>5</v>
      </c>
      <c r="S181" s="14" cm="1">
        <f t="array" ref="S181">INDEX('Subj-ConceptMap-1'!$I$15:$N$205,Q181+1,R181)</f>
        <v>0</v>
      </c>
    </row>
    <row r="182" spans="16:19" x14ac:dyDescent="0.75">
      <c r="P182" s="9">
        <v>168</v>
      </c>
      <c r="Q182" s="9">
        <f t="shared" si="19"/>
        <v>27</v>
      </c>
      <c r="R182" s="9">
        <f t="shared" si="20"/>
        <v>6</v>
      </c>
      <c r="S182" s="14" cm="1">
        <f t="array" ref="S182">INDEX('Subj-ConceptMap-1'!$I$15:$N$205,Q182+1,R182)</f>
        <v>0</v>
      </c>
    </row>
    <row r="183" spans="16:19" x14ac:dyDescent="0.75">
      <c r="P183" s="9">
        <v>169</v>
      </c>
      <c r="Q183" s="9">
        <f t="shared" si="19"/>
        <v>28</v>
      </c>
      <c r="R183" s="9">
        <f t="shared" si="20"/>
        <v>1</v>
      </c>
      <c r="S183" s="14" cm="1">
        <f t="array" ref="S183">INDEX('Subj-ConceptMap-1'!$I$15:$N$205,Q183+1,R183)</f>
        <v>0</v>
      </c>
    </row>
    <row r="184" spans="16:19" x14ac:dyDescent="0.75">
      <c r="P184" s="9">
        <v>170</v>
      </c>
      <c r="Q184" s="9">
        <f t="shared" si="19"/>
        <v>28</v>
      </c>
      <c r="R184" s="9">
        <f t="shared" si="20"/>
        <v>2</v>
      </c>
      <c r="S184" s="14" cm="1">
        <f t="array" ref="S184">INDEX('Subj-ConceptMap-1'!$I$15:$N$205,Q184+1,R184)</f>
        <v>0</v>
      </c>
    </row>
    <row r="185" spans="16:19" x14ac:dyDescent="0.75">
      <c r="P185" s="9">
        <v>171</v>
      </c>
      <c r="Q185" s="9">
        <f t="shared" si="19"/>
        <v>28</v>
      </c>
      <c r="R185" s="9">
        <f t="shared" si="20"/>
        <v>3</v>
      </c>
      <c r="S185" s="14" cm="1">
        <f t="array" ref="S185">INDEX('Subj-ConceptMap-1'!$I$15:$N$205,Q185+1,R185)</f>
        <v>0</v>
      </c>
    </row>
    <row r="186" spans="16:19" x14ac:dyDescent="0.75">
      <c r="P186" s="9">
        <v>172</v>
      </c>
      <c r="Q186" s="9">
        <f t="shared" si="19"/>
        <v>28</v>
      </c>
      <c r="R186" s="9">
        <f t="shared" si="20"/>
        <v>4</v>
      </c>
      <c r="S186" s="14" cm="1">
        <f t="array" ref="S186">INDEX('Subj-ConceptMap-1'!$I$15:$N$205,Q186+1,R186)</f>
        <v>0</v>
      </c>
    </row>
    <row r="187" spans="16:19" x14ac:dyDescent="0.75">
      <c r="P187" s="9">
        <v>173</v>
      </c>
      <c r="Q187" s="9">
        <f t="shared" si="19"/>
        <v>28</v>
      </c>
      <c r="R187" s="9">
        <f t="shared" si="20"/>
        <v>5</v>
      </c>
      <c r="S187" s="14" cm="1">
        <f t="array" ref="S187">INDEX('Subj-ConceptMap-1'!$I$15:$N$205,Q187+1,R187)</f>
        <v>0</v>
      </c>
    </row>
    <row r="188" spans="16:19" x14ac:dyDescent="0.75">
      <c r="P188" s="9">
        <v>174</v>
      </c>
      <c r="Q188" s="9">
        <f t="shared" si="19"/>
        <v>28</v>
      </c>
      <c r="R188" s="9">
        <f t="shared" si="20"/>
        <v>6</v>
      </c>
      <c r="S188" s="14" cm="1">
        <f t="array" ref="S188">INDEX('Subj-ConceptMap-1'!$I$15:$N$205,Q188+1,R188)</f>
        <v>0</v>
      </c>
    </row>
    <row r="189" spans="16:19" x14ac:dyDescent="0.75">
      <c r="P189" s="9">
        <v>175</v>
      </c>
      <c r="Q189" s="9">
        <f t="shared" si="19"/>
        <v>29</v>
      </c>
      <c r="R189" s="9">
        <f t="shared" si="20"/>
        <v>1</v>
      </c>
      <c r="S189" s="14" cm="1">
        <f t="array" ref="S189">INDEX('Subj-ConceptMap-1'!$I$15:$N$205,Q189+1,R189)</f>
        <v>0</v>
      </c>
    </row>
    <row r="190" spans="16:19" x14ac:dyDescent="0.75">
      <c r="P190" s="9">
        <v>176</v>
      </c>
      <c r="Q190" s="9">
        <f t="shared" si="19"/>
        <v>29</v>
      </c>
      <c r="R190" s="9">
        <f t="shared" si="20"/>
        <v>2</v>
      </c>
      <c r="S190" s="14" cm="1">
        <f t="array" ref="S190">INDEX('Subj-ConceptMap-1'!$I$15:$N$205,Q190+1,R190)</f>
        <v>0</v>
      </c>
    </row>
    <row r="191" spans="16:19" x14ac:dyDescent="0.75">
      <c r="P191" s="9">
        <v>177</v>
      </c>
      <c r="Q191" s="9">
        <f t="shared" si="19"/>
        <v>29</v>
      </c>
      <c r="R191" s="9">
        <f t="shared" si="20"/>
        <v>3</v>
      </c>
      <c r="S191" s="14" cm="1">
        <f t="array" ref="S191">INDEX('Subj-ConceptMap-1'!$I$15:$N$205,Q191+1,R191)</f>
        <v>0</v>
      </c>
    </row>
    <row r="192" spans="16:19" x14ac:dyDescent="0.75">
      <c r="P192" s="9">
        <v>178</v>
      </c>
      <c r="Q192" s="9">
        <f t="shared" si="19"/>
        <v>29</v>
      </c>
      <c r="R192" s="9">
        <f t="shared" si="20"/>
        <v>4</v>
      </c>
      <c r="S192" s="14" cm="1">
        <f t="array" ref="S192">INDEX('Subj-ConceptMap-1'!$I$15:$N$205,Q192+1,R192)</f>
        <v>0</v>
      </c>
    </row>
    <row r="193" spans="16:19" x14ac:dyDescent="0.75">
      <c r="P193" s="9">
        <v>179</v>
      </c>
      <c r="Q193" s="9">
        <f t="shared" si="19"/>
        <v>29</v>
      </c>
      <c r="R193" s="9">
        <f t="shared" si="20"/>
        <v>5</v>
      </c>
      <c r="S193" s="14" cm="1">
        <f t="array" ref="S193">INDEX('Subj-ConceptMap-1'!$I$15:$N$205,Q193+1,R193)</f>
        <v>0</v>
      </c>
    </row>
    <row r="194" spans="16:19" x14ac:dyDescent="0.75">
      <c r="P194" s="9">
        <v>180</v>
      </c>
      <c r="Q194" s="9">
        <f t="shared" si="19"/>
        <v>29</v>
      </c>
      <c r="R194" s="9">
        <f t="shared" si="20"/>
        <v>6</v>
      </c>
      <c r="S194" s="14" cm="1">
        <f t="array" ref="S194">INDEX('Subj-ConceptMap-1'!$I$15:$N$205,Q194+1,R194)</f>
        <v>0</v>
      </c>
    </row>
    <row r="195" spans="16:19" x14ac:dyDescent="0.75">
      <c r="P195" s="9">
        <v>181</v>
      </c>
      <c r="Q195" s="9">
        <f t="shared" si="19"/>
        <v>30</v>
      </c>
      <c r="R195" s="9">
        <f t="shared" si="20"/>
        <v>1</v>
      </c>
      <c r="S195" s="14" cm="1">
        <f t="array" ref="S195">INDEX('Subj-ConceptMap-1'!$I$15:$N$205,Q195+1,R195)</f>
        <v>0</v>
      </c>
    </row>
    <row r="196" spans="16:19" x14ac:dyDescent="0.75">
      <c r="P196" s="9">
        <v>182</v>
      </c>
      <c r="Q196" s="9">
        <f t="shared" si="19"/>
        <v>30</v>
      </c>
      <c r="R196" s="9">
        <f t="shared" si="20"/>
        <v>2</v>
      </c>
      <c r="S196" s="14" cm="1">
        <f t="array" ref="S196">INDEX('Subj-ConceptMap-1'!$I$15:$N$205,Q196+1,R196)</f>
        <v>0</v>
      </c>
    </row>
    <row r="197" spans="16:19" x14ac:dyDescent="0.75">
      <c r="P197" s="9">
        <v>183</v>
      </c>
      <c r="Q197" s="9">
        <f t="shared" si="19"/>
        <v>30</v>
      </c>
      <c r="R197" s="9">
        <f t="shared" si="20"/>
        <v>3</v>
      </c>
      <c r="S197" s="14" cm="1">
        <f t="array" ref="S197">INDEX('Subj-ConceptMap-1'!$I$15:$N$205,Q197+1,R197)</f>
        <v>0</v>
      </c>
    </row>
    <row r="198" spans="16:19" x14ac:dyDescent="0.75">
      <c r="P198" s="9">
        <v>184</v>
      </c>
      <c r="Q198" s="9">
        <f t="shared" si="19"/>
        <v>30</v>
      </c>
      <c r="R198" s="9">
        <f t="shared" si="20"/>
        <v>4</v>
      </c>
      <c r="S198" s="14" cm="1">
        <f t="array" ref="S198">INDEX('Subj-ConceptMap-1'!$I$15:$N$205,Q198+1,R198)</f>
        <v>0</v>
      </c>
    </row>
    <row r="199" spans="16:19" x14ac:dyDescent="0.75">
      <c r="P199" s="9">
        <v>185</v>
      </c>
      <c r="Q199" s="9">
        <f t="shared" si="19"/>
        <v>30</v>
      </c>
      <c r="R199" s="9">
        <f t="shared" si="20"/>
        <v>5</v>
      </c>
      <c r="S199" s="14" cm="1">
        <f t="array" ref="S199">INDEX('Subj-ConceptMap-1'!$I$15:$N$205,Q199+1,R199)</f>
        <v>0</v>
      </c>
    </row>
    <row r="200" spans="16:19" x14ac:dyDescent="0.75">
      <c r="P200" s="9">
        <v>186</v>
      </c>
      <c r="Q200" s="9">
        <f t="shared" si="19"/>
        <v>30</v>
      </c>
      <c r="R200" s="9">
        <f t="shared" si="20"/>
        <v>6</v>
      </c>
      <c r="S200" s="14" cm="1">
        <f t="array" ref="S200">INDEX('Subj-ConceptMap-1'!$I$15:$N$205,Q200+1,R200)</f>
        <v>0</v>
      </c>
    </row>
    <row r="201" spans="16:19" x14ac:dyDescent="0.75">
      <c r="P201" s="9">
        <v>187</v>
      </c>
      <c r="Q201" s="9">
        <f t="shared" si="19"/>
        <v>31</v>
      </c>
      <c r="R201" s="9">
        <f t="shared" si="20"/>
        <v>1</v>
      </c>
      <c r="S201" s="14" cm="1">
        <f t="array" ref="S201">INDEX('Subj-ConceptMap-1'!$I$15:$N$205,Q201+1,R201)</f>
        <v>0</v>
      </c>
    </row>
    <row r="202" spans="16:19" x14ac:dyDescent="0.75">
      <c r="P202" s="9">
        <v>188</v>
      </c>
      <c r="Q202" s="9">
        <f t="shared" si="19"/>
        <v>31</v>
      </c>
      <c r="R202" s="9">
        <f t="shared" si="20"/>
        <v>2</v>
      </c>
      <c r="S202" s="14" cm="1">
        <f t="array" ref="S202">INDEX('Subj-ConceptMap-1'!$I$15:$N$205,Q202+1,R202)</f>
        <v>0</v>
      </c>
    </row>
    <row r="203" spans="16:19" x14ac:dyDescent="0.75">
      <c r="P203" s="9">
        <v>189</v>
      </c>
      <c r="Q203" s="9">
        <f t="shared" si="19"/>
        <v>31</v>
      </c>
      <c r="R203" s="9">
        <f t="shared" si="20"/>
        <v>3</v>
      </c>
      <c r="S203" s="14" cm="1">
        <f t="array" ref="S203">INDEX('Subj-ConceptMap-1'!$I$15:$N$205,Q203+1,R203)</f>
        <v>0</v>
      </c>
    </row>
    <row r="204" spans="16:19" x14ac:dyDescent="0.75">
      <c r="P204" s="9">
        <v>190</v>
      </c>
      <c r="Q204" s="9">
        <f t="shared" si="19"/>
        <v>31</v>
      </c>
      <c r="R204" s="9">
        <f t="shared" si="20"/>
        <v>4</v>
      </c>
      <c r="S204" s="14" cm="1">
        <f t="array" ref="S204">INDEX('Subj-ConceptMap-1'!$I$15:$N$205,Q204+1,R204)</f>
        <v>0</v>
      </c>
    </row>
    <row r="205" spans="16:19" x14ac:dyDescent="0.75">
      <c r="P205" s="9">
        <v>191</v>
      </c>
      <c r="Q205" s="9">
        <f t="shared" si="19"/>
        <v>31</v>
      </c>
      <c r="R205" s="9">
        <f t="shared" si="20"/>
        <v>5</v>
      </c>
      <c r="S205" s="14" cm="1">
        <f t="array" ref="S205">INDEX('Subj-ConceptMap-1'!$I$15:$N$205,Q205+1,R205)</f>
        <v>0</v>
      </c>
    </row>
    <row r="206" spans="16:19" x14ac:dyDescent="0.75">
      <c r="P206" s="9">
        <v>192</v>
      </c>
      <c r="Q206" s="9">
        <f t="shared" si="19"/>
        <v>31</v>
      </c>
      <c r="R206" s="9">
        <f t="shared" si="20"/>
        <v>6</v>
      </c>
      <c r="S206" s="14" cm="1">
        <f t="array" ref="S206">INDEX('Subj-ConceptMap-1'!$I$15:$N$205,Q206+1,R206)</f>
        <v>0</v>
      </c>
    </row>
    <row r="207" spans="16:19" x14ac:dyDescent="0.75">
      <c r="P207" s="9">
        <v>193</v>
      </c>
      <c r="Q207" s="9">
        <f t="shared" si="19"/>
        <v>32</v>
      </c>
      <c r="R207" s="9">
        <f t="shared" si="20"/>
        <v>1</v>
      </c>
      <c r="S207" s="14" cm="1">
        <f t="array" ref="S207">INDEX('Subj-ConceptMap-1'!$I$15:$N$205,Q207+1,R207)</f>
        <v>0</v>
      </c>
    </row>
    <row r="208" spans="16:19" x14ac:dyDescent="0.75">
      <c r="P208" s="9">
        <v>194</v>
      </c>
      <c r="Q208" s="9">
        <f t="shared" ref="Q208:Q242" si="21">IF(MOD(P208,$Q$8)=0,P208/$Q$8-1,INT(P208/$Q$8))</f>
        <v>32</v>
      </c>
      <c r="R208" s="9">
        <f t="shared" ref="R208:R242" si="22">IF(MOD(P208,$Q$8)=0,$Q$8,MOD(P208,$Q$8))</f>
        <v>2</v>
      </c>
      <c r="S208" s="14" cm="1">
        <f t="array" ref="S208">INDEX('Subj-ConceptMap-1'!$I$15:$N$205,Q208+1,R208)</f>
        <v>0</v>
      </c>
    </row>
    <row r="209" spans="16:19" x14ac:dyDescent="0.75">
      <c r="P209" s="9">
        <v>195</v>
      </c>
      <c r="Q209" s="9">
        <f t="shared" si="21"/>
        <v>32</v>
      </c>
      <c r="R209" s="9">
        <f t="shared" si="22"/>
        <v>3</v>
      </c>
      <c r="S209" s="14" cm="1">
        <f t="array" ref="S209">INDEX('Subj-ConceptMap-1'!$I$15:$N$205,Q209+1,R209)</f>
        <v>0</v>
      </c>
    </row>
    <row r="210" spans="16:19" x14ac:dyDescent="0.75">
      <c r="P210" s="9">
        <v>196</v>
      </c>
      <c r="Q210" s="9">
        <f t="shared" si="21"/>
        <v>32</v>
      </c>
      <c r="R210" s="9">
        <f t="shared" si="22"/>
        <v>4</v>
      </c>
      <c r="S210" s="14" cm="1">
        <f t="array" ref="S210">INDEX('Subj-ConceptMap-1'!$I$15:$N$205,Q210+1,R210)</f>
        <v>0</v>
      </c>
    </row>
    <row r="211" spans="16:19" x14ac:dyDescent="0.75">
      <c r="P211" s="9">
        <v>197</v>
      </c>
      <c r="Q211" s="9">
        <f t="shared" si="21"/>
        <v>32</v>
      </c>
      <c r="R211" s="9">
        <f t="shared" si="22"/>
        <v>5</v>
      </c>
      <c r="S211" s="14" cm="1">
        <f t="array" ref="S211">INDEX('Subj-ConceptMap-1'!$I$15:$N$205,Q211+1,R211)</f>
        <v>0</v>
      </c>
    </row>
    <row r="212" spans="16:19" x14ac:dyDescent="0.75">
      <c r="P212" s="9">
        <v>198</v>
      </c>
      <c r="Q212" s="9">
        <f t="shared" si="21"/>
        <v>32</v>
      </c>
      <c r="R212" s="9">
        <f t="shared" si="22"/>
        <v>6</v>
      </c>
      <c r="S212" s="14" cm="1">
        <f t="array" ref="S212">INDEX('Subj-ConceptMap-1'!$I$15:$N$205,Q212+1,R212)</f>
        <v>0</v>
      </c>
    </row>
    <row r="213" spans="16:19" x14ac:dyDescent="0.75">
      <c r="P213" s="9">
        <v>199</v>
      </c>
      <c r="Q213" s="9">
        <f t="shared" si="21"/>
        <v>33</v>
      </c>
      <c r="R213" s="9">
        <f t="shared" si="22"/>
        <v>1</v>
      </c>
      <c r="S213" s="14" cm="1">
        <f t="array" ref="S213">INDEX('Subj-ConceptMap-1'!$I$15:$N$205,Q213+1,R213)</f>
        <v>0</v>
      </c>
    </row>
    <row r="214" spans="16:19" x14ac:dyDescent="0.75">
      <c r="P214" s="9">
        <v>200</v>
      </c>
      <c r="Q214" s="9">
        <f t="shared" si="21"/>
        <v>33</v>
      </c>
      <c r="R214" s="9">
        <f t="shared" si="22"/>
        <v>2</v>
      </c>
      <c r="S214" s="14" cm="1">
        <f t="array" ref="S214">INDEX('Subj-ConceptMap-1'!$I$15:$N$205,Q214+1,R214)</f>
        <v>0</v>
      </c>
    </row>
    <row r="215" spans="16:19" x14ac:dyDescent="0.75">
      <c r="P215" s="9">
        <v>201</v>
      </c>
      <c r="Q215" s="9">
        <f t="shared" si="21"/>
        <v>33</v>
      </c>
      <c r="R215" s="9">
        <f t="shared" si="22"/>
        <v>3</v>
      </c>
      <c r="S215" s="14" cm="1">
        <f t="array" ref="S215">INDEX('Subj-ConceptMap-1'!$I$15:$N$205,Q215+1,R215)</f>
        <v>0</v>
      </c>
    </row>
    <row r="216" spans="16:19" x14ac:dyDescent="0.75">
      <c r="P216" s="9">
        <v>202</v>
      </c>
      <c r="Q216" s="9">
        <f t="shared" si="21"/>
        <v>33</v>
      </c>
      <c r="R216" s="9">
        <f t="shared" si="22"/>
        <v>4</v>
      </c>
      <c r="S216" s="14" cm="1">
        <f t="array" ref="S216">INDEX('Subj-ConceptMap-1'!$I$15:$N$205,Q216+1,R216)</f>
        <v>0</v>
      </c>
    </row>
    <row r="217" spans="16:19" x14ac:dyDescent="0.75">
      <c r="P217" s="9">
        <v>203</v>
      </c>
      <c r="Q217" s="9">
        <f t="shared" si="21"/>
        <v>33</v>
      </c>
      <c r="R217" s="9">
        <f t="shared" si="22"/>
        <v>5</v>
      </c>
      <c r="S217" s="14" cm="1">
        <f t="array" ref="S217">INDEX('Subj-ConceptMap-1'!$I$15:$N$205,Q217+1,R217)</f>
        <v>0</v>
      </c>
    </row>
    <row r="218" spans="16:19" x14ac:dyDescent="0.75">
      <c r="P218" s="9">
        <v>204</v>
      </c>
      <c r="Q218" s="9">
        <f t="shared" si="21"/>
        <v>33</v>
      </c>
      <c r="R218" s="9">
        <f t="shared" si="22"/>
        <v>6</v>
      </c>
      <c r="S218" s="14" cm="1">
        <f t="array" ref="S218">INDEX('Subj-ConceptMap-1'!$I$15:$N$205,Q218+1,R218)</f>
        <v>0</v>
      </c>
    </row>
    <row r="219" spans="16:19" x14ac:dyDescent="0.75">
      <c r="P219" s="9">
        <v>205</v>
      </c>
      <c r="Q219" s="9">
        <f t="shared" si="21"/>
        <v>34</v>
      </c>
      <c r="R219" s="9">
        <f t="shared" si="22"/>
        <v>1</v>
      </c>
      <c r="S219" s="14" cm="1">
        <f t="array" ref="S219">INDEX('Subj-ConceptMap-1'!$I$15:$N$205,Q219+1,R219)</f>
        <v>0</v>
      </c>
    </row>
    <row r="220" spans="16:19" x14ac:dyDescent="0.75">
      <c r="P220" s="9">
        <v>206</v>
      </c>
      <c r="Q220" s="9">
        <f t="shared" si="21"/>
        <v>34</v>
      </c>
      <c r="R220" s="9">
        <f t="shared" si="22"/>
        <v>2</v>
      </c>
      <c r="S220" s="14" cm="1">
        <f t="array" ref="S220">INDEX('Subj-ConceptMap-1'!$I$15:$N$205,Q220+1,R220)</f>
        <v>0</v>
      </c>
    </row>
    <row r="221" spans="16:19" x14ac:dyDescent="0.75">
      <c r="P221" s="9">
        <v>207</v>
      </c>
      <c r="Q221" s="9">
        <f t="shared" si="21"/>
        <v>34</v>
      </c>
      <c r="R221" s="9">
        <f t="shared" si="22"/>
        <v>3</v>
      </c>
      <c r="S221" s="14" cm="1">
        <f t="array" ref="S221">INDEX('Subj-ConceptMap-1'!$I$15:$N$205,Q221+1,R221)</f>
        <v>0</v>
      </c>
    </row>
    <row r="222" spans="16:19" x14ac:dyDescent="0.75">
      <c r="P222" s="9">
        <v>208</v>
      </c>
      <c r="Q222" s="9">
        <f t="shared" si="21"/>
        <v>34</v>
      </c>
      <c r="R222" s="9">
        <f t="shared" si="22"/>
        <v>4</v>
      </c>
      <c r="S222" s="14" cm="1">
        <f t="array" ref="S222">INDEX('Subj-ConceptMap-1'!$I$15:$N$205,Q222+1,R222)</f>
        <v>0</v>
      </c>
    </row>
    <row r="223" spans="16:19" x14ac:dyDescent="0.75">
      <c r="P223" s="9">
        <v>209</v>
      </c>
      <c r="Q223" s="9">
        <f t="shared" si="21"/>
        <v>34</v>
      </c>
      <c r="R223" s="9">
        <f t="shared" si="22"/>
        <v>5</v>
      </c>
      <c r="S223" s="14" cm="1">
        <f t="array" ref="S223">INDEX('Subj-ConceptMap-1'!$I$15:$N$205,Q223+1,R223)</f>
        <v>0</v>
      </c>
    </row>
    <row r="224" spans="16:19" x14ac:dyDescent="0.75">
      <c r="P224" s="9">
        <v>210</v>
      </c>
      <c r="Q224" s="9">
        <f t="shared" si="21"/>
        <v>34</v>
      </c>
      <c r="R224" s="9">
        <f t="shared" si="22"/>
        <v>6</v>
      </c>
      <c r="S224" s="14" cm="1">
        <f t="array" ref="S224">INDEX('Subj-ConceptMap-1'!$I$15:$N$205,Q224+1,R224)</f>
        <v>0</v>
      </c>
    </row>
    <row r="225" spans="16:19" x14ac:dyDescent="0.75">
      <c r="P225" s="9">
        <v>211</v>
      </c>
      <c r="Q225" s="9">
        <f t="shared" si="21"/>
        <v>35</v>
      </c>
      <c r="R225" s="9">
        <f t="shared" si="22"/>
        <v>1</v>
      </c>
      <c r="S225" s="14" cm="1">
        <f t="array" ref="S225">INDEX('Subj-ConceptMap-1'!$I$15:$N$205,Q225+1,R225)</f>
        <v>0</v>
      </c>
    </row>
    <row r="226" spans="16:19" x14ac:dyDescent="0.75">
      <c r="P226" s="9">
        <v>212</v>
      </c>
      <c r="Q226" s="9">
        <f t="shared" si="21"/>
        <v>35</v>
      </c>
      <c r="R226" s="9">
        <f t="shared" si="22"/>
        <v>2</v>
      </c>
      <c r="S226" s="14" cm="1">
        <f t="array" ref="S226">INDEX('Subj-ConceptMap-1'!$I$15:$N$205,Q226+1,R226)</f>
        <v>0</v>
      </c>
    </row>
    <row r="227" spans="16:19" x14ac:dyDescent="0.75">
      <c r="P227" s="9">
        <v>213</v>
      </c>
      <c r="Q227" s="9">
        <f t="shared" si="21"/>
        <v>35</v>
      </c>
      <c r="R227" s="9">
        <f t="shared" si="22"/>
        <v>3</v>
      </c>
      <c r="S227" s="14" cm="1">
        <f t="array" ref="S227">INDEX('Subj-ConceptMap-1'!$I$15:$N$205,Q227+1,R227)</f>
        <v>0</v>
      </c>
    </row>
    <row r="228" spans="16:19" x14ac:dyDescent="0.75">
      <c r="P228" s="9">
        <v>214</v>
      </c>
      <c r="Q228" s="9">
        <f t="shared" si="21"/>
        <v>35</v>
      </c>
      <c r="R228" s="9">
        <f t="shared" si="22"/>
        <v>4</v>
      </c>
      <c r="S228" s="14" cm="1">
        <f t="array" ref="S228">INDEX('Subj-ConceptMap-1'!$I$15:$N$205,Q228+1,R228)</f>
        <v>0</v>
      </c>
    </row>
    <row r="229" spans="16:19" x14ac:dyDescent="0.75">
      <c r="P229" s="9">
        <v>215</v>
      </c>
      <c r="Q229" s="9">
        <f t="shared" si="21"/>
        <v>35</v>
      </c>
      <c r="R229" s="9">
        <f t="shared" si="22"/>
        <v>5</v>
      </c>
      <c r="S229" s="14" cm="1">
        <f t="array" ref="S229">INDEX('Subj-ConceptMap-1'!$I$15:$N$205,Q229+1,R229)</f>
        <v>0</v>
      </c>
    </row>
    <row r="230" spans="16:19" x14ac:dyDescent="0.75">
      <c r="P230" s="9">
        <v>216</v>
      </c>
      <c r="Q230" s="9">
        <f t="shared" si="21"/>
        <v>35</v>
      </c>
      <c r="R230" s="9">
        <f t="shared" si="22"/>
        <v>6</v>
      </c>
      <c r="S230" s="14" cm="1">
        <f t="array" ref="S230">INDEX('Subj-ConceptMap-1'!$I$15:$N$205,Q230+1,R230)</f>
        <v>0</v>
      </c>
    </row>
    <row r="231" spans="16:19" x14ac:dyDescent="0.75">
      <c r="P231" s="9">
        <v>217</v>
      </c>
      <c r="Q231" s="9">
        <f t="shared" si="21"/>
        <v>36</v>
      </c>
      <c r="R231" s="9">
        <f t="shared" si="22"/>
        <v>1</v>
      </c>
      <c r="S231" s="14" cm="1">
        <f t="array" ref="S231">INDEX('Subj-ConceptMap-1'!$I$15:$N$205,Q231+1,R231)</f>
        <v>0</v>
      </c>
    </row>
    <row r="232" spans="16:19" x14ac:dyDescent="0.75">
      <c r="P232" s="9">
        <v>218</v>
      </c>
      <c r="Q232" s="9">
        <f t="shared" si="21"/>
        <v>36</v>
      </c>
      <c r="R232" s="9">
        <f t="shared" si="22"/>
        <v>2</v>
      </c>
      <c r="S232" s="14" cm="1">
        <f t="array" ref="S232">INDEX('Subj-ConceptMap-1'!$I$15:$N$205,Q232+1,R232)</f>
        <v>0</v>
      </c>
    </row>
    <row r="233" spans="16:19" x14ac:dyDescent="0.75">
      <c r="P233" s="9">
        <v>219</v>
      </c>
      <c r="Q233" s="9">
        <f t="shared" si="21"/>
        <v>36</v>
      </c>
      <c r="R233" s="9">
        <f t="shared" si="22"/>
        <v>3</v>
      </c>
      <c r="S233" s="14" cm="1">
        <f t="array" ref="S233">INDEX('Subj-ConceptMap-1'!$I$15:$N$205,Q233+1,R233)</f>
        <v>0</v>
      </c>
    </row>
    <row r="234" spans="16:19" x14ac:dyDescent="0.75">
      <c r="P234" s="9">
        <v>220</v>
      </c>
      <c r="Q234" s="9">
        <f t="shared" si="21"/>
        <v>36</v>
      </c>
      <c r="R234" s="9">
        <f t="shared" si="22"/>
        <v>4</v>
      </c>
      <c r="S234" s="14" cm="1">
        <f t="array" ref="S234">INDEX('Subj-ConceptMap-1'!$I$15:$N$205,Q234+1,R234)</f>
        <v>0</v>
      </c>
    </row>
    <row r="235" spans="16:19" x14ac:dyDescent="0.75">
      <c r="P235" s="9">
        <v>221</v>
      </c>
      <c r="Q235" s="9">
        <f t="shared" si="21"/>
        <v>36</v>
      </c>
      <c r="R235" s="9">
        <f t="shared" si="22"/>
        <v>5</v>
      </c>
      <c r="S235" s="14" cm="1">
        <f t="array" ref="S235">INDEX('Subj-ConceptMap-1'!$I$15:$N$205,Q235+1,R235)</f>
        <v>0</v>
      </c>
    </row>
    <row r="236" spans="16:19" x14ac:dyDescent="0.75">
      <c r="P236" s="9">
        <v>222</v>
      </c>
      <c r="Q236" s="9">
        <f t="shared" si="21"/>
        <v>36</v>
      </c>
      <c r="R236" s="9">
        <f t="shared" si="22"/>
        <v>6</v>
      </c>
      <c r="S236" s="14" cm="1">
        <f t="array" ref="S236">INDEX('Subj-ConceptMap-1'!$I$15:$N$205,Q236+1,R236)</f>
        <v>0</v>
      </c>
    </row>
    <row r="237" spans="16:19" x14ac:dyDescent="0.75">
      <c r="P237" s="9">
        <v>223</v>
      </c>
      <c r="Q237" s="9">
        <f t="shared" si="21"/>
        <v>37</v>
      </c>
      <c r="R237" s="9">
        <f t="shared" si="22"/>
        <v>1</v>
      </c>
      <c r="S237" s="14" cm="1">
        <f t="array" ref="S237">INDEX('Subj-ConceptMap-1'!$I$15:$N$205,Q237+1,R237)</f>
        <v>0</v>
      </c>
    </row>
    <row r="238" spans="16:19" x14ac:dyDescent="0.75">
      <c r="P238" s="9">
        <v>224</v>
      </c>
      <c r="Q238" s="9">
        <f t="shared" si="21"/>
        <v>37</v>
      </c>
      <c r="R238" s="9">
        <f t="shared" si="22"/>
        <v>2</v>
      </c>
      <c r="S238" s="14" cm="1">
        <f t="array" ref="S238">INDEX('Subj-ConceptMap-1'!$I$15:$N$205,Q238+1,R238)</f>
        <v>0</v>
      </c>
    </row>
    <row r="239" spans="16:19" x14ac:dyDescent="0.75">
      <c r="P239" s="9">
        <v>225</v>
      </c>
      <c r="Q239" s="9">
        <f t="shared" si="21"/>
        <v>37</v>
      </c>
      <c r="R239" s="9">
        <f t="shared" si="22"/>
        <v>3</v>
      </c>
      <c r="S239" s="14" cm="1">
        <f t="array" ref="S239">INDEX('Subj-ConceptMap-1'!$I$15:$N$205,Q239+1,R239)</f>
        <v>0</v>
      </c>
    </row>
    <row r="240" spans="16:19" x14ac:dyDescent="0.75">
      <c r="P240" s="9">
        <v>226</v>
      </c>
      <c r="Q240" s="9">
        <f t="shared" si="21"/>
        <v>37</v>
      </c>
      <c r="R240" s="9">
        <f t="shared" si="22"/>
        <v>4</v>
      </c>
      <c r="S240" s="14" cm="1">
        <f t="array" ref="S240">INDEX('Subj-ConceptMap-1'!$I$15:$N$205,Q240+1,R240)</f>
        <v>0</v>
      </c>
    </row>
    <row r="241" spans="16:19" x14ac:dyDescent="0.75">
      <c r="P241" s="9">
        <v>227</v>
      </c>
      <c r="Q241" s="9">
        <f t="shared" si="21"/>
        <v>37</v>
      </c>
      <c r="R241" s="9">
        <f t="shared" si="22"/>
        <v>5</v>
      </c>
      <c r="S241" s="14" cm="1">
        <f t="array" ref="S241">INDEX('Subj-ConceptMap-1'!$I$15:$N$205,Q241+1,R241)</f>
        <v>0</v>
      </c>
    </row>
    <row r="242" spans="16:19" x14ac:dyDescent="0.75">
      <c r="P242" s="9">
        <v>228</v>
      </c>
      <c r="Q242" s="9">
        <f t="shared" si="21"/>
        <v>37</v>
      </c>
      <c r="R242" s="9">
        <f t="shared" si="22"/>
        <v>6</v>
      </c>
      <c r="S242" s="14" cm="1">
        <f t="array" ref="S242">INDEX('Subj-ConceptMap-1'!$I$15:$N$205,Q242+1,R242)</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8EAB-370A-45BC-ABC9-B184097D9C33}">
  <sheetPr codeName="Foglio76">
    <tabColor theme="0" tint="-0.499984740745262"/>
  </sheetPr>
  <dimension ref="A2:S224"/>
  <sheetViews>
    <sheetView topLeftCell="A12" zoomScaleNormal="100" workbookViewId="0">
      <selection activeCell="D16" sqref="D16"/>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845</v>
      </c>
      <c r="D3" s="61" t="s">
        <v>208</v>
      </c>
      <c r="E3" s="164" t="s">
        <v>453</v>
      </c>
      <c r="F3" s="164"/>
      <c r="G3" s="164"/>
    </row>
    <row r="4" spans="1:19" x14ac:dyDescent="0.75">
      <c r="B4" s="61" t="s">
        <v>19</v>
      </c>
      <c r="C4" s="47" t="s">
        <v>516</v>
      </c>
      <c r="D4" s="61" t="s">
        <v>209</v>
      </c>
      <c r="E4" s="165" t="s">
        <v>1324</v>
      </c>
      <c r="F4" s="164"/>
      <c r="G4" s="164"/>
    </row>
    <row r="5" spans="1:19" x14ac:dyDescent="0.75">
      <c r="B5" s="61" t="s">
        <v>13</v>
      </c>
      <c r="C5" s="10" t="s">
        <v>220</v>
      </c>
      <c r="D5" s="61"/>
      <c r="E5" s="10"/>
    </row>
    <row r="6" spans="1:19" x14ac:dyDescent="0.75">
      <c r="B6" s="61" t="s">
        <v>35</v>
      </c>
      <c r="C6" s="60" t="s">
        <v>453</v>
      </c>
      <c r="D6" s="61" t="s">
        <v>206</v>
      </c>
      <c r="E6" s="164" t="s">
        <v>453</v>
      </c>
      <c r="F6" s="164"/>
      <c r="G6" s="164"/>
    </row>
    <row r="7" spans="1:19" x14ac:dyDescent="0.75">
      <c r="B7" s="61" t="s">
        <v>18</v>
      </c>
      <c r="C7" s="60" t="s">
        <v>454</v>
      </c>
      <c r="D7" s="61" t="s">
        <v>207</v>
      </c>
      <c r="E7" s="165" t="s">
        <v>1308</v>
      </c>
      <c r="F7" s="164"/>
      <c r="G7" s="164"/>
    </row>
    <row r="8" spans="1:19" ht="44.25" x14ac:dyDescent="0.75">
      <c r="B8" s="61" t="s">
        <v>204</v>
      </c>
      <c r="C8" s="10" t="s">
        <v>221</v>
      </c>
      <c r="D8" s="61"/>
      <c r="E8"/>
      <c r="I8" s="14" t="s">
        <v>181</v>
      </c>
      <c r="J8" s="14" t="s">
        <v>182</v>
      </c>
      <c r="K8" s="14" t="s">
        <v>183</v>
      </c>
      <c r="L8" s="14" t="s">
        <v>184</v>
      </c>
      <c r="M8" s="9" t="s">
        <v>185</v>
      </c>
      <c r="P8" s="57" t="s">
        <v>186</v>
      </c>
      <c r="Q8" s="57">
        <v>6</v>
      </c>
    </row>
    <row r="9" spans="1:19" ht="29.5" x14ac:dyDescent="0.75">
      <c r="B9" s="61" t="s">
        <v>205</v>
      </c>
      <c r="C9" s="1" t="s">
        <v>457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Subj!B5</f>
        <v>Subject</v>
      </c>
      <c r="C14" s="9"/>
      <c r="D14" s="4" t="s">
        <v>1131</v>
      </c>
      <c r="E14" s="8"/>
      <c r="F14" s="9"/>
      <c r="G14" s="14"/>
      <c r="I14" s="14"/>
      <c r="J14" s="9"/>
      <c r="K14" s="9"/>
      <c r="L14" s="9"/>
      <c r="M14" s="59"/>
      <c r="N14" s="62"/>
    </row>
    <row r="15" spans="1:19" ht="44.25" x14ac:dyDescent="0.75">
      <c r="A15" s="22"/>
      <c r="B15" s="9" t="str">
        <f>Subj!B8</f>
        <v>identification</v>
      </c>
      <c r="C15" s="9" t="str">
        <f>Subj!C8</f>
        <v>A.1.1 Identification of the patient/subject</v>
      </c>
      <c r="D15" s="9" t="s">
        <v>201</v>
      </c>
      <c r="E15" s="54"/>
      <c r="F15" s="63" t="s">
        <v>193</v>
      </c>
      <c r="G15" s="70"/>
      <c r="H15" s="64"/>
      <c r="I15" s="14" t="str">
        <f>"* group[=].element[+].code = #"&amp;$B$14&amp;"."&amp;B15</f>
        <v>* group[=].element[+].code = #Subject.identification</v>
      </c>
      <c r="J15" s="14" t="str">
        <f t="shared" ref="J15:J16" si="0">"* group[=].element[=].display = ##34#"&amp;C15&amp;"##34#"</f>
        <v>* group[=].element[=].display = ##34#A.1.1 Identification of the patient/subject##34#</v>
      </c>
      <c r="K15" s="14" t="str">
        <f>IF(F15="unmatched","//-- unmatched",IF(D15="","* group[=].element[=].target.code = #"&amp;$D$14,"* group[=].element[=].target.code = #"&amp;$D$14&amp;"."&amp;D15))</f>
        <v>* group[=].element[=].target.code = #Condition.subject</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INDEX('Subj-ConceptMap-2'!$I$15:$N$187,Q15+1,R15)</f>
        <v>* group[=].element[+].code = #Subject.identification</v>
      </c>
    </row>
    <row r="16" spans="1:19" ht="118" x14ac:dyDescent="0.75">
      <c r="B16" s="9" t="str">
        <f>Subj!B25</f>
        <v>hpToContact</v>
      </c>
      <c r="C16" s="9" t="str">
        <f>Subj!C25</f>
        <v>A.1.2.2 Preferred HP to contact</v>
      </c>
      <c r="D16" s="14" t="s">
        <v>1334</v>
      </c>
      <c r="E16" s="14"/>
      <c r="F16" s="63" t="s">
        <v>193</v>
      </c>
      <c r="G16" s="70" t="s">
        <v>1335</v>
      </c>
      <c r="H16" s="64"/>
      <c r="I16" s="14" t="str">
        <f t="shared" ref="I16" si="4">"* group[=].element[+].code = #"&amp;$B$14&amp;"."&amp;B16</f>
        <v>* group[=].element[+].code = #Subject.hpToContact</v>
      </c>
      <c r="J16" s="14" t="str">
        <f t="shared" si="0"/>
        <v>* group[=].element[=].display = ##34#A.1.2.2 Preferred HP to contact##34#</v>
      </c>
      <c r="K16" s="14" t="str">
        <f t="shared" ref="K16" si="5">IF(F16="unmatched","//-- unmatched",IF(D16="","* group[=].element[=].target.code = #"&amp;$D$14,"* group[=].element[=].target.code = #"&amp;$D$14&amp;"."&amp;D16))</f>
        <v>* group[=].element[=].target.code = #Condition.extension:participantR5.actor</v>
      </c>
      <c r="L16" s="14" t="str">
        <f t="shared" si="1"/>
        <v>* group[=].element[=].target.display = ##34###34#</v>
      </c>
      <c r="M16" s="14" t="str">
        <f t="shared" si="2"/>
        <v>* group[=].element[=].target.equivalence = #relatedto</v>
      </c>
      <c r="N16" s="14" t="str">
        <f t="shared" si="3"/>
        <v>* group[=].element[=].target.comment = ##34#where extension:participantR5.function = http://terminology.hl7.org/CodeSystem/v2-0131#CP Contact Person AND extension:participantR5.actor of type PracticionerRole##34#</v>
      </c>
      <c r="P16" s="9">
        <v>2</v>
      </c>
      <c r="Q16" s="9">
        <f t="shared" ref="Q16:Q80" si="6">IF(MOD(P16,$Q$8)=0,P16/$Q$8-1,INT(P16/$Q$8))</f>
        <v>0</v>
      </c>
      <c r="R16" s="9">
        <f t="shared" ref="R16:R54" si="7">IF(MOD(P16,$Q$8)=0,$Q$8,MOD(P16,$Q$8))</f>
        <v>2</v>
      </c>
      <c r="S16" s="14" t="str" cm="1">
        <f t="array" ref="S16">INDEX('Subj-ConceptMap-2'!$I$15:$N$187,Q16+1,R16)</f>
        <v>* group[=].element[=].display = ##34#A.1.1 Identification of the patient/subject##34#</v>
      </c>
    </row>
    <row r="17" spans="1:19" ht="73.75" x14ac:dyDescent="0.75">
      <c r="B17" s="9" t="str">
        <f>Subj!B26</f>
        <v>hpToContact.name</v>
      </c>
      <c r="C17" s="9" t="str">
        <f>Subj!C26</f>
        <v>A.1.2.2.1 Name of the HP</v>
      </c>
      <c r="D17" s="14" t="s">
        <v>1336</v>
      </c>
      <c r="E17" s="14"/>
      <c r="F17" s="63" t="s">
        <v>193</v>
      </c>
      <c r="G17" s="70" t="s">
        <v>1335</v>
      </c>
      <c r="H17" s="64"/>
      <c r="I17" s="14" t="str">
        <f t="shared" ref="I17:I23" si="8">"* group[=].element[+].code = #"&amp;$B$14&amp;"."&amp;B17</f>
        <v>* group[=].element[+].code = #Subject.hpToContact.name</v>
      </c>
      <c r="J17" s="14" t="str">
        <f t="shared" ref="J17:J23" si="9">"* group[=].element[=].display = ##34#"&amp;C17&amp;"##34#"</f>
        <v>* group[=].element[=].display = ##34#A.1.2.2.1 Name of the HP##34#</v>
      </c>
      <c r="K17" s="14" t="str">
        <f t="shared" ref="K17:K23" si="10">IF(F17="unmatched","//-- unmatched",IF(D17="","* group[=].element[=].target.code = #"&amp;$D$14,"* group[=].element[=].target.code = #"&amp;$D$14&amp;"."&amp;D17))</f>
        <v>* group[=].element[=].target.code = #Condition.extension:participantR5.actor.practitioner.name</v>
      </c>
      <c r="L17" s="14" t="str">
        <f t="shared" ref="L17:L23" si="11">IF(F17="unmatched","//-- unmatched","* group[=].element[=].target.display = ##34#"&amp;E17&amp;"##34#")</f>
        <v>* group[=].element[=].target.display = ##34###34#</v>
      </c>
      <c r="M17" s="14" t="str">
        <f t="shared" ref="M17:M23" si="12">"* group[=].element[=].target.equivalence = #"&amp;F17</f>
        <v>* group[=].element[=].target.equivalence = #relatedto</v>
      </c>
      <c r="N17" s="14" t="str">
        <f t="shared" ref="N17:N23" si="13">IF(G17&lt;&gt;"",CONCATENATE("* group[=].element[=].target.comment = ","##34#",G17,"##34#"),"")</f>
        <v>* group[=].element[=].target.comment = ##34#where extension:participantR5.function = http://terminology.hl7.org/CodeSystem/v2-0131#CP Contact Person AND extension:participantR5.actor of type PracticionerRole##34#</v>
      </c>
      <c r="P17" s="9">
        <v>3</v>
      </c>
      <c r="Q17" s="9">
        <f t="shared" si="6"/>
        <v>0</v>
      </c>
      <c r="R17" s="9">
        <f t="shared" si="7"/>
        <v>3</v>
      </c>
      <c r="S17" s="14" t="str" cm="1">
        <f t="array" ref="S17">INDEX('Subj-ConceptMap-2'!$I$15:$N$187,Q17+1,R17)</f>
        <v>* group[=].element[=].target.code = #Condition.subject</v>
      </c>
    </row>
    <row r="18" spans="1:19" ht="73.75" x14ac:dyDescent="0.75">
      <c r="B18" s="9" t="str">
        <f>Subj!B27</f>
        <v>hpToContact.role</v>
      </c>
      <c r="C18" s="9" t="str">
        <f>Subj!C27</f>
        <v>A.1.2.2.2 Role of the HP</v>
      </c>
      <c r="D18" s="14" t="s">
        <v>1337</v>
      </c>
      <c r="E18" s="14"/>
      <c r="F18" s="63" t="s">
        <v>193</v>
      </c>
      <c r="G18" s="70" t="s">
        <v>1335</v>
      </c>
      <c r="H18" s="64"/>
      <c r="I18" s="14" t="str">
        <f t="shared" si="8"/>
        <v>* group[=].element[+].code = #Subject.hpToContact.role</v>
      </c>
      <c r="J18" s="14" t="str">
        <f t="shared" si="9"/>
        <v>* group[=].element[=].display = ##34#A.1.2.2.2 Role of the HP##34#</v>
      </c>
      <c r="K18" s="14" t="str">
        <f t="shared" si="10"/>
        <v>* group[=].element[=].target.code = #Condition.extension:participantR5.actor.code</v>
      </c>
      <c r="L18" s="14" t="str">
        <f t="shared" si="11"/>
        <v>* group[=].element[=].target.display = ##34###34#</v>
      </c>
      <c r="M18" s="14" t="str">
        <f t="shared" si="12"/>
        <v>* group[=].element[=].target.equivalence = #relatedto</v>
      </c>
      <c r="N18" s="14" t="str">
        <f t="shared" si="13"/>
        <v>* group[=].element[=].target.comment = ##34#where extension:participantR5.function = http://terminology.hl7.org/CodeSystem/v2-0131#CP Contact Person AND extension:participantR5.actor of type PracticionerRole##34#</v>
      </c>
      <c r="P18" s="9">
        <v>4</v>
      </c>
      <c r="Q18" s="9">
        <f t="shared" si="6"/>
        <v>0</v>
      </c>
      <c r="R18" s="9">
        <f t="shared" si="7"/>
        <v>4</v>
      </c>
      <c r="S18" s="14" t="str" cm="1">
        <f t="array" ref="S18">INDEX('Subj-ConceptMap-2'!$I$15:$N$187,Q18+1,R18)</f>
        <v>* group[=].element[=].target.display = ##34###34#</v>
      </c>
    </row>
    <row r="19" spans="1:19" ht="73.75" x14ac:dyDescent="0.75">
      <c r="B19" s="9" t="str">
        <f>Subj!B28</f>
        <v>hpToContact.organization</v>
      </c>
      <c r="C19" s="9" t="str">
        <f>Subj!C28</f>
        <v>A.1.2.2.3 HP Organisation</v>
      </c>
      <c r="D19" s="14" t="s">
        <v>1338</v>
      </c>
      <c r="E19" s="14"/>
      <c r="F19" s="63" t="s">
        <v>193</v>
      </c>
      <c r="G19" s="70" t="s">
        <v>1335</v>
      </c>
      <c r="H19" s="64"/>
      <c r="I19" s="14" t="str">
        <f t="shared" si="8"/>
        <v>* group[=].element[+].code = #Subject.hpToContact.organization</v>
      </c>
      <c r="J19" s="14" t="str">
        <f t="shared" si="9"/>
        <v>* group[=].element[=].display = ##34#A.1.2.2.3 HP Organisation##34#</v>
      </c>
      <c r="K19" s="14" t="str">
        <f t="shared" si="10"/>
        <v>* group[=].element[=].target.code = #Condition.extension:participantR5.actor.organization</v>
      </c>
      <c r="L19" s="14" t="str">
        <f t="shared" si="11"/>
        <v>* group[=].element[=].target.display = ##34###34#</v>
      </c>
      <c r="M19" s="14" t="str">
        <f t="shared" si="12"/>
        <v>* group[=].element[=].target.equivalence = #relatedto</v>
      </c>
      <c r="N19" s="14" t="str">
        <f t="shared" si="13"/>
        <v>* group[=].element[=].target.comment = ##34#where extension:participantR5.function = http://terminology.hl7.org/CodeSystem/v2-0131#CP Contact Person AND extension:participantR5.actor of type PracticionerRole##34#</v>
      </c>
      <c r="P19" s="9">
        <v>5</v>
      </c>
      <c r="Q19" s="9">
        <f t="shared" si="6"/>
        <v>0</v>
      </c>
      <c r="R19" s="9">
        <f t="shared" si="7"/>
        <v>5</v>
      </c>
      <c r="S19" s="14" t="str" cm="1">
        <f t="array" ref="S19">INDEX('Subj-ConceptMap-2'!$I$15:$N$187,Q19+1,R19)</f>
        <v>* group[=].element[=].target.equivalence = #relatedto</v>
      </c>
    </row>
    <row r="20" spans="1:19" ht="73.75" x14ac:dyDescent="0.75">
      <c r="B20" s="9" t="str">
        <f>Subj!B29</f>
        <v>hpToContact.telephone</v>
      </c>
      <c r="C20" s="9" t="str">
        <f>Subj!C29</f>
        <v>A.1.2.2.4 Telephone no.</v>
      </c>
      <c r="D20" s="14" t="s">
        <v>1339</v>
      </c>
      <c r="E20" s="14"/>
      <c r="F20" s="63" t="s">
        <v>193</v>
      </c>
      <c r="G20" s="70" t="s">
        <v>1335</v>
      </c>
      <c r="H20" s="64"/>
      <c r="I20" s="14" t="str">
        <f t="shared" si="8"/>
        <v>* group[=].element[+].code = #Subject.hpToContact.telephone</v>
      </c>
      <c r="J20" s="14" t="str">
        <f t="shared" si="9"/>
        <v>* group[=].element[=].display = ##34#A.1.2.2.4 Telephone no.##34#</v>
      </c>
      <c r="K20" s="14" t="str">
        <f t="shared" si="10"/>
        <v>* group[=].element[=].target.code = #Condition.extension:participantR5.actor.telecom</v>
      </c>
      <c r="L20" s="14" t="str">
        <f t="shared" si="11"/>
        <v>* group[=].element[=].target.display = ##34###34#</v>
      </c>
      <c r="M20" s="14" t="str">
        <f t="shared" si="12"/>
        <v>* group[=].element[=].target.equivalence = #relatedto</v>
      </c>
      <c r="N20" s="14" t="str">
        <f t="shared" si="13"/>
        <v>* group[=].element[=].target.comment = ##34#where extension:participantR5.function = http://terminology.hl7.org/CodeSystem/v2-0131#CP Contact Person AND extension:participantR5.actor of type PracticionerRole##34#</v>
      </c>
      <c r="P20" s="9">
        <v>6</v>
      </c>
      <c r="Q20" s="9">
        <f t="shared" si="6"/>
        <v>0</v>
      </c>
      <c r="R20" s="9">
        <f t="shared" si="7"/>
        <v>6</v>
      </c>
      <c r="S20" s="14" t="str" cm="1">
        <f t="array" ref="S20">INDEX('Subj-ConceptMap-2'!$I$15:$N$187,Q20+1,R20)</f>
        <v/>
      </c>
    </row>
    <row r="21" spans="1:19" s="1" customFormat="1" ht="73.75" x14ac:dyDescent="0.75">
      <c r="A21"/>
      <c r="B21" s="9" t="str">
        <f>Subj!B30</f>
        <v>hpToContact.email</v>
      </c>
      <c r="C21" s="9" t="str">
        <f>Subj!C30</f>
        <v>A.1.2.2.5 Email</v>
      </c>
      <c r="D21" s="14" t="s">
        <v>1339</v>
      </c>
      <c r="E21" s="14"/>
      <c r="F21" s="63" t="s">
        <v>193</v>
      </c>
      <c r="G21" s="70" t="s">
        <v>1335</v>
      </c>
      <c r="H21" s="64"/>
      <c r="I21" s="14" t="str">
        <f t="shared" si="8"/>
        <v>* group[=].element[+].code = #Subject.hpToContact.email</v>
      </c>
      <c r="J21" s="14" t="str">
        <f t="shared" si="9"/>
        <v>* group[=].element[=].display = ##34#A.1.2.2.5 Email##34#</v>
      </c>
      <c r="K21" s="14" t="str">
        <f t="shared" si="10"/>
        <v>* group[=].element[=].target.code = #Condition.extension:participantR5.actor.telecom</v>
      </c>
      <c r="L21" s="14" t="str">
        <f t="shared" si="11"/>
        <v>* group[=].element[=].target.display = ##34###34#</v>
      </c>
      <c r="M21" s="14" t="str">
        <f t="shared" si="12"/>
        <v>* group[=].element[=].target.equivalence = #relatedto</v>
      </c>
      <c r="N21" s="14" t="str">
        <f t="shared" si="13"/>
        <v>* group[=].element[=].target.comment = ##34#where extension:participantR5.function = http://terminology.hl7.org/CodeSystem/v2-0131#CP Contact Person AND extension:participantR5.actor of type PracticionerRole##34#</v>
      </c>
      <c r="P21" s="9">
        <v>7</v>
      </c>
      <c r="Q21" s="9">
        <f t="shared" si="6"/>
        <v>1</v>
      </c>
      <c r="R21" s="9">
        <f t="shared" si="7"/>
        <v>1</v>
      </c>
      <c r="S21" s="14" t="str" cm="1">
        <f t="array" ref="S21">INDEX('Subj-ConceptMap-2'!$I$15:$N$187,Q21+1,R21)</f>
        <v>* group[=].element[+].code = #Subject.hpToContact</v>
      </c>
    </row>
    <row r="22" spans="1:19" s="1" customFormat="1" ht="88.5" x14ac:dyDescent="0.75">
      <c r="A22"/>
      <c r="B22" s="9" t="str">
        <f>Subj!B31</f>
        <v>hpToContact.affiliatedNetwork</v>
      </c>
      <c r="C22" s="9" t="str">
        <f>Subj!C31</f>
        <v>A.1.2.2.6 Network affiliation</v>
      </c>
      <c r="D22" s="14" t="s">
        <v>1334</v>
      </c>
      <c r="E22" s="14"/>
      <c r="F22" s="63" t="s">
        <v>193</v>
      </c>
      <c r="G22" s="79" t="s">
        <v>1340</v>
      </c>
      <c r="H22" s="64"/>
      <c r="I22" s="14" t="str">
        <f t="shared" si="8"/>
        <v>* group[=].element[+].code = #Subject.hpToContact.affiliatedNetwork</v>
      </c>
      <c r="J22" s="14" t="str">
        <f t="shared" si="9"/>
        <v>* group[=].element[=].display = ##34#A.1.2.2.6 Network affiliation##34#</v>
      </c>
      <c r="K22" s="14" t="str">
        <f t="shared" si="10"/>
        <v>* group[=].element[=].target.code = #Condition.extension:participantR5.actor</v>
      </c>
      <c r="L22" s="14" t="str">
        <f t="shared" si="11"/>
        <v>* group[=].element[=].target.display = ##34###34#</v>
      </c>
      <c r="M22" s="14" t="str">
        <f t="shared" si="12"/>
        <v>* group[=].element[=].target.equivalence = #relatedto</v>
      </c>
      <c r="N22" s="14" t="str">
        <f t="shared" si="13"/>
        <v>* group[=].element[=].target.comment = ##34#This might be described by using a CareTeam having this organization and/or this practitioner as extension:participantR5.member##34#</v>
      </c>
      <c r="P22" s="9">
        <v>8</v>
      </c>
      <c r="Q22" s="9">
        <f t="shared" si="6"/>
        <v>1</v>
      </c>
      <c r="R22" s="9">
        <f t="shared" si="7"/>
        <v>2</v>
      </c>
      <c r="S22" s="14" t="str" cm="1">
        <f t="array" ref="S22">INDEX('Subj-ConceptMap-2'!$I$15:$N$187,Q22+1,R22)</f>
        <v>* group[=].element[=].display = ##34#A.1.2.2 Preferred HP to contact##34#</v>
      </c>
    </row>
    <row r="23" spans="1:19" s="1" customFormat="1" ht="73.75" x14ac:dyDescent="0.75">
      <c r="A23"/>
      <c r="B23" s="9" t="str">
        <f>Subj!B32</f>
        <v>hpToContact.relatedWith</v>
      </c>
      <c r="C23" s="9" t="str">
        <f>Subj!C32</f>
        <v>A.1.2.2.7 Related with</v>
      </c>
      <c r="D23" s="14"/>
      <c r="E23" s="14"/>
      <c r="F23" s="63" t="s">
        <v>193</v>
      </c>
      <c r="G23" s="79" t="s">
        <v>1325</v>
      </c>
      <c r="H23" s="64"/>
      <c r="I23" s="14" t="str">
        <f t="shared" si="8"/>
        <v>* group[=].element[+].code = #Subject.hpToContact.relatedWith</v>
      </c>
      <c r="J23" s="14" t="str">
        <f t="shared" si="9"/>
        <v>* group[=].element[=].display = ##34#A.1.2.2.7 Related with##34#</v>
      </c>
      <c r="K23" s="14" t="str">
        <f t="shared" si="10"/>
        <v>* group[=].element[=].target.code = #Condition</v>
      </c>
      <c r="L23" s="14" t="str">
        <f t="shared" si="11"/>
        <v>* group[=].element[=].target.display = ##34###34#</v>
      </c>
      <c r="M23" s="14" t="str">
        <f t="shared" si="12"/>
        <v>* group[=].element[=].target.equivalence = #relatedto</v>
      </c>
      <c r="N23" s="14" t="str">
        <f t="shared" si="13"/>
        <v>* group[=].element[=].target.comment = ##34#The contact is intrinsically connected with the Condition##34#</v>
      </c>
      <c r="P23" s="9">
        <v>9</v>
      </c>
      <c r="Q23" s="9">
        <f t="shared" si="6"/>
        <v>1</v>
      </c>
      <c r="R23" s="9">
        <f t="shared" si="7"/>
        <v>3</v>
      </c>
      <c r="S23" s="14" t="str" cm="1">
        <f t="array" ref="S23">INDEX('Subj-ConceptMap-2'!$I$15:$N$187,Q23+1,R23)</f>
        <v>* group[=].element[=].target.code = #Condition.extension:participantR5.actor</v>
      </c>
    </row>
    <row r="24" spans="1:19" s="1" customFormat="1" x14ac:dyDescent="0.75">
      <c r="A24"/>
      <c r="B24" s="51">
        <f>Subj!B40</f>
        <v>0</v>
      </c>
      <c r="C24" s="51"/>
      <c r="F24" s="64"/>
      <c r="G24" s="81"/>
      <c r="H24" s="64"/>
      <c r="I24" s="64"/>
      <c r="J24" s="64"/>
      <c r="K24" s="64"/>
      <c r="L24" s="64"/>
      <c r="M24" s="64"/>
      <c r="N24" s="64"/>
      <c r="P24" s="9">
        <v>10</v>
      </c>
      <c r="Q24" s="9">
        <f t="shared" si="6"/>
        <v>1</v>
      </c>
      <c r="R24" s="9">
        <f t="shared" si="7"/>
        <v>4</v>
      </c>
      <c r="S24" s="14" t="str" cm="1">
        <f t="array" ref="S24">INDEX('Subj-ConceptMap-2'!$I$15:$N$187,Q24+1,R24)</f>
        <v>* group[=].element[=].target.display = ##34###34#</v>
      </c>
    </row>
    <row r="25" spans="1:19" s="1" customFormat="1" x14ac:dyDescent="0.75">
      <c r="A25"/>
      <c r="B25" s="9">
        <f>Subj!B41</f>
        <v>0</v>
      </c>
      <c r="C25" s="9"/>
      <c r="F25" s="64"/>
      <c r="G25" s="81"/>
      <c r="H25" s="64"/>
      <c r="I25" s="64"/>
      <c r="J25" s="64"/>
      <c r="K25" s="64"/>
      <c r="L25" s="64"/>
      <c r="M25" s="64"/>
      <c r="N25" s="64"/>
      <c r="P25" s="9">
        <v>11</v>
      </c>
      <c r="Q25" s="9">
        <f t="shared" si="6"/>
        <v>1</v>
      </c>
      <c r="R25" s="9">
        <f t="shared" si="7"/>
        <v>5</v>
      </c>
      <c r="S25" s="14" t="str" cm="1">
        <f t="array" ref="S25">INDEX('Subj-ConceptMap-2'!$I$15:$N$187,Q25+1,R25)</f>
        <v>* group[=].element[=].target.equivalence = #relatedto</v>
      </c>
    </row>
    <row r="26" spans="1:19" x14ac:dyDescent="0.75">
      <c r="B26" s="9">
        <f>Subj!B42</f>
        <v>0</v>
      </c>
      <c r="C26" s="9"/>
      <c r="F26" s="64"/>
      <c r="G26" s="81"/>
      <c r="H26" s="64"/>
      <c r="J26" s="64"/>
      <c r="K26" s="64"/>
      <c r="L26" s="64"/>
      <c r="M26" s="64"/>
      <c r="N26" s="64"/>
      <c r="P26" s="9">
        <v>12</v>
      </c>
      <c r="Q26" s="9">
        <f t="shared" si="6"/>
        <v>1</v>
      </c>
      <c r="R26" s="9">
        <f t="shared" si="7"/>
        <v>6</v>
      </c>
      <c r="S26" s="14" t="str" cm="1">
        <f t="array" ref="S26">INDEX('Subj-ConceptMap-2'!$I$15:$N$187,Q26+1,R26)</f>
        <v>* group[=].element[=].target.comment = ##34#where extension:participantR5.function = http://terminology.hl7.org/CodeSystem/v2-0131#CP Contact Person AND extension:participantR5.actor of type PracticionerRole##34#</v>
      </c>
    </row>
    <row r="27" spans="1:19" x14ac:dyDescent="0.75">
      <c r="B27" s="9">
        <f>Subj!B43</f>
        <v>0</v>
      </c>
      <c r="C27" s="9"/>
      <c r="F27" s="64"/>
      <c r="G27" s="81"/>
      <c r="H27" s="64"/>
      <c r="J27" s="64"/>
      <c r="K27" s="64"/>
      <c r="L27" s="64"/>
      <c r="M27" s="64"/>
      <c r="N27" s="64"/>
      <c r="P27" s="9">
        <v>13</v>
      </c>
      <c r="Q27" s="9">
        <f t="shared" si="6"/>
        <v>2</v>
      </c>
      <c r="R27" s="9">
        <f t="shared" si="7"/>
        <v>1</v>
      </c>
      <c r="S27" s="14" t="str" cm="1">
        <f t="array" ref="S27">INDEX('Subj-ConceptMap-2'!$I$15:$N$187,Q27+1,R27)</f>
        <v>* group[=].element[+].code = #Subject.hpToContact.name</v>
      </c>
    </row>
    <row r="28" spans="1:19" x14ac:dyDescent="0.75">
      <c r="B28" s="9">
        <f>Subj!B44</f>
        <v>0</v>
      </c>
      <c r="C28" s="9"/>
      <c r="F28" s="64"/>
      <c r="G28" s="81"/>
      <c r="H28" s="64"/>
      <c r="J28" s="64"/>
      <c r="K28" s="64"/>
      <c r="L28" s="64"/>
      <c r="M28" s="64"/>
      <c r="N28" s="64"/>
      <c r="P28" s="9">
        <v>14</v>
      </c>
      <c r="Q28" s="9">
        <f t="shared" si="6"/>
        <v>2</v>
      </c>
      <c r="R28" s="9">
        <f t="shared" si="7"/>
        <v>2</v>
      </c>
      <c r="S28" s="14" t="str" cm="1">
        <f t="array" ref="S28">INDEX('Subj-ConceptMap-2'!$I$15:$N$187,Q28+1,R28)</f>
        <v>* group[=].element[=].display = ##34#A.1.2.2.1 Name of the HP##34#</v>
      </c>
    </row>
    <row r="29" spans="1:19" x14ac:dyDescent="0.75">
      <c r="B29" s="9">
        <f>Subj!B45</f>
        <v>0</v>
      </c>
      <c r="C29" s="9"/>
      <c r="F29" s="64"/>
      <c r="G29" s="81"/>
      <c r="H29" s="64"/>
      <c r="J29" s="64"/>
      <c r="K29" s="64"/>
      <c r="L29" s="64"/>
      <c r="M29" s="64"/>
      <c r="N29" s="64"/>
      <c r="P29" s="9">
        <v>15</v>
      </c>
      <c r="Q29" s="9">
        <f t="shared" si="6"/>
        <v>2</v>
      </c>
      <c r="R29" s="9">
        <f t="shared" si="7"/>
        <v>3</v>
      </c>
      <c r="S29" s="14" t="str" cm="1">
        <f t="array" ref="S29">INDEX('Subj-ConceptMap-2'!$I$15:$N$187,Q29+1,R29)</f>
        <v>* group[=].element[=].target.code = #Condition.extension:participantR5.actor.practitioner.name</v>
      </c>
    </row>
    <row r="30" spans="1:19" x14ac:dyDescent="0.75">
      <c r="E30"/>
      <c r="P30" s="9">
        <v>16</v>
      </c>
      <c r="Q30" s="9">
        <f t="shared" si="6"/>
        <v>2</v>
      </c>
      <c r="R30" s="9">
        <f t="shared" si="7"/>
        <v>4</v>
      </c>
      <c r="S30" s="14" t="str" cm="1">
        <f t="array" ref="S30">INDEX('Subj-ConceptMap-2'!$I$15:$N$187,Q30+1,R30)</f>
        <v>* group[=].element[=].target.display = ##34###34#</v>
      </c>
    </row>
    <row r="31" spans="1:19" x14ac:dyDescent="0.75">
      <c r="P31" s="9">
        <v>17</v>
      </c>
      <c r="Q31" s="9">
        <f t="shared" si="6"/>
        <v>2</v>
      </c>
      <c r="R31" s="9">
        <f t="shared" si="7"/>
        <v>5</v>
      </c>
      <c r="S31" s="14" t="str" cm="1">
        <f t="array" ref="S31">INDEX('Subj-ConceptMap-2'!$I$15:$N$187,Q31+1,R31)</f>
        <v>* group[=].element[=].target.equivalence = #relatedto</v>
      </c>
    </row>
    <row r="32" spans="1:19" ht="29.5" x14ac:dyDescent="0.75">
      <c r="P32" s="9">
        <v>18</v>
      </c>
      <c r="Q32" s="9">
        <f t="shared" si="6"/>
        <v>2</v>
      </c>
      <c r="R32" s="9">
        <f t="shared" si="7"/>
        <v>6</v>
      </c>
      <c r="S32" s="14" t="str" cm="1">
        <f t="array" ref="S32">INDEX('Subj-ConceptMap-2'!$I$15:$N$187,Q32+1,R32)</f>
        <v>* group[=].element[=].target.comment = ##34#where extension:participantR5.function = http://terminology.hl7.org/CodeSystem/v2-0131#CP Contact Person AND extension:participantR5.actor of type PracticionerRole##34#</v>
      </c>
    </row>
    <row r="33" spans="16:19" x14ac:dyDescent="0.75">
      <c r="P33" s="9">
        <v>19</v>
      </c>
      <c r="Q33" s="9">
        <f t="shared" si="6"/>
        <v>3</v>
      </c>
      <c r="R33" s="9">
        <f t="shared" si="7"/>
        <v>1</v>
      </c>
      <c r="S33" s="14" t="str" cm="1">
        <f t="array" ref="S33">INDEX('Subj-ConceptMap-2'!$I$15:$N$187,Q33+1,R33)</f>
        <v>* group[=].element[+].code = #Subject.hpToContact.role</v>
      </c>
    </row>
    <row r="34" spans="16:19" x14ac:dyDescent="0.75">
      <c r="P34" s="9">
        <v>20</v>
      </c>
      <c r="Q34" s="9">
        <f t="shared" si="6"/>
        <v>3</v>
      </c>
      <c r="R34" s="9">
        <f t="shared" si="7"/>
        <v>2</v>
      </c>
      <c r="S34" s="14" t="str" cm="1">
        <f t="array" ref="S34">INDEX('Subj-ConceptMap-2'!$I$15:$N$187,Q34+1,R34)</f>
        <v>* group[=].element[=].display = ##34#A.1.2.2.2 Role of the HP##34#</v>
      </c>
    </row>
    <row r="35" spans="16:19" x14ac:dyDescent="0.75">
      <c r="P35" s="9">
        <v>21</v>
      </c>
      <c r="Q35" s="9">
        <f t="shared" si="6"/>
        <v>3</v>
      </c>
      <c r="R35" s="9">
        <f t="shared" si="7"/>
        <v>3</v>
      </c>
      <c r="S35" s="14" t="str" cm="1">
        <f t="array" ref="S35">INDEX('Subj-ConceptMap-2'!$I$15:$N$187,Q35+1,R35)</f>
        <v>* group[=].element[=].target.code = #Condition.extension:participantR5.actor.code</v>
      </c>
    </row>
    <row r="36" spans="16:19" x14ac:dyDescent="0.75">
      <c r="P36" s="9">
        <v>22</v>
      </c>
      <c r="Q36" s="9">
        <f t="shared" si="6"/>
        <v>3</v>
      </c>
      <c r="R36" s="9">
        <f t="shared" si="7"/>
        <v>4</v>
      </c>
      <c r="S36" s="14" t="str" cm="1">
        <f t="array" ref="S36">INDEX('Subj-ConceptMap-2'!$I$15:$N$187,Q36+1,R36)</f>
        <v>* group[=].element[=].target.display = ##34###34#</v>
      </c>
    </row>
    <row r="37" spans="16:19" x14ac:dyDescent="0.75">
      <c r="P37" s="9">
        <v>23</v>
      </c>
      <c r="Q37" s="9">
        <f t="shared" si="6"/>
        <v>3</v>
      </c>
      <c r="R37" s="9">
        <f t="shared" si="7"/>
        <v>5</v>
      </c>
      <c r="S37" s="14" t="str" cm="1">
        <f t="array" ref="S37">INDEX('Subj-ConceptMap-2'!$I$15:$N$187,Q37+1,R37)</f>
        <v>* group[=].element[=].target.equivalence = #relatedto</v>
      </c>
    </row>
    <row r="38" spans="16:19" ht="44.25" x14ac:dyDescent="0.75">
      <c r="P38" s="9">
        <v>24</v>
      </c>
      <c r="Q38" s="9">
        <f t="shared" si="6"/>
        <v>3</v>
      </c>
      <c r="R38" s="9">
        <f t="shared" si="7"/>
        <v>6</v>
      </c>
      <c r="S38" s="14" t="str" cm="1">
        <f t="array" ref="S38">INDEX('Subj-ConceptMap-2'!$I$15:$N$187,Q38+1,R38)</f>
        <v>* group[=].element[=].target.comment = ##34#where extension:participantR5.function = http://terminology.hl7.org/CodeSystem/v2-0131#CP Contact Person AND extension:participantR5.actor of type PracticionerRole##34#</v>
      </c>
    </row>
    <row r="39" spans="16:19" x14ac:dyDescent="0.75">
      <c r="P39" s="9">
        <v>25</v>
      </c>
      <c r="Q39" s="9">
        <f t="shared" si="6"/>
        <v>4</v>
      </c>
      <c r="R39" s="9">
        <f t="shared" si="7"/>
        <v>1</v>
      </c>
      <c r="S39" s="14" t="str" cm="1">
        <f t="array" ref="S39">INDEX('Subj-ConceptMap-2'!$I$15:$N$187,Q39+1,R39)</f>
        <v>* group[=].element[+].code = #Subject.hpToContact.organization</v>
      </c>
    </row>
    <row r="40" spans="16:19" x14ac:dyDescent="0.75">
      <c r="P40" s="9">
        <v>26</v>
      </c>
      <c r="Q40" s="9">
        <f t="shared" si="6"/>
        <v>4</v>
      </c>
      <c r="R40" s="9">
        <f t="shared" si="7"/>
        <v>2</v>
      </c>
      <c r="S40" s="14" t="str" cm="1">
        <f t="array" ref="S40">INDEX('Subj-ConceptMap-2'!$I$15:$N$187,Q40+1,R40)</f>
        <v>* group[=].element[=].display = ##34#A.1.2.2.3 HP Organisation##34#</v>
      </c>
    </row>
    <row r="41" spans="16:19" x14ac:dyDescent="0.75">
      <c r="P41" s="9">
        <v>27</v>
      </c>
      <c r="Q41" s="9">
        <f t="shared" si="6"/>
        <v>4</v>
      </c>
      <c r="R41" s="9">
        <f t="shared" si="7"/>
        <v>3</v>
      </c>
      <c r="S41" s="14" t="str" cm="1">
        <f t="array" ref="S41">INDEX('Subj-ConceptMap-2'!$I$15:$N$187,Q41+1,R41)</f>
        <v>* group[=].element[=].target.code = #Condition.extension:participantR5.actor.organization</v>
      </c>
    </row>
    <row r="42" spans="16:19" x14ac:dyDescent="0.75">
      <c r="P42" s="9">
        <v>28</v>
      </c>
      <c r="Q42" s="9">
        <f t="shared" si="6"/>
        <v>4</v>
      </c>
      <c r="R42" s="9">
        <f t="shared" si="7"/>
        <v>4</v>
      </c>
      <c r="S42" s="14" t="str" cm="1">
        <f t="array" ref="S42">INDEX('Subj-ConceptMap-2'!$I$15:$N$187,Q42+1,R42)</f>
        <v>* group[=].element[=].target.display = ##34###34#</v>
      </c>
    </row>
    <row r="43" spans="16:19" x14ac:dyDescent="0.75">
      <c r="P43" s="9">
        <v>29</v>
      </c>
      <c r="Q43" s="9">
        <f t="shared" si="6"/>
        <v>4</v>
      </c>
      <c r="R43" s="9">
        <f t="shared" si="7"/>
        <v>5</v>
      </c>
      <c r="S43" s="14" t="str" cm="1">
        <f t="array" ref="S43">INDEX('Subj-ConceptMap-2'!$I$15:$N$187,Q43+1,R43)</f>
        <v>* group[=].element[=].target.equivalence = #relatedto</v>
      </c>
    </row>
    <row r="44" spans="16:19" ht="44.25" x14ac:dyDescent="0.75">
      <c r="P44" s="9">
        <v>30</v>
      </c>
      <c r="Q44" s="9">
        <f t="shared" si="6"/>
        <v>4</v>
      </c>
      <c r="R44" s="9">
        <f t="shared" si="7"/>
        <v>6</v>
      </c>
      <c r="S44" s="14" t="str" cm="1">
        <f t="array" ref="S44">INDEX('Subj-ConceptMap-2'!$I$15:$N$187,Q44+1,R44)</f>
        <v>* group[=].element[=].target.comment = ##34#where extension:participantR5.function = http://terminology.hl7.org/CodeSystem/v2-0131#CP Contact Person AND extension:participantR5.actor of type PracticionerRole##34#</v>
      </c>
    </row>
    <row r="45" spans="16:19" x14ac:dyDescent="0.75">
      <c r="P45" s="9">
        <v>31</v>
      </c>
      <c r="Q45" s="9">
        <f t="shared" si="6"/>
        <v>5</v>
      </c>
      <c r="R45" s="9">
        <f t="shared" si="7"/>
        <v>1</v>
      </c>
      <c r="S45" s="14" t="str" cm="1">
        <f t="array" ref="S45">INDEX('Subj-ConceptMap-2'!$I$15:$N$187,Q45+1,R45)</f>
        <v>* group[=].element[+].code = #Subject.hpToContact.telephone</v>
      </c>
    </row>
    <row r="46" spans="16:19" x14ac:dyDescent="0.75">
      <c r="P46" s="9">
        <v>32</v>
      </c>
      <c r="Q46" s="9">
        <f t="shared" si="6"/>
        <v>5</v>
      </c>
      <c r="R46" s="9">
        <f t="shared" si="7"/>
        <v>2</v>
      </c>
      <c r="S46" s="14" t="str" cm="1">
        <f t="array" ref="S46">INDEX('Subj-ConceptMap-2'!$I$15:$N$187,Q46+1,R46)</f>
        <v>* group[=].element[=].display = ##34#A.1.2.2.4 Telephone no.##34#</v>
      </c>
    </row>
    <row r="47" spans="16:19" x14ac:dyDescent="0.75">
      <c r="P47" s="9">
        <v>33</v>
      </c>
      <c r="Q47" s="9">
        <f t="shared" si="6"/>
        <v>5</v>
      </c>
      <c r="R47" s="9">
        <f t="shared" si="7"/>
        <v>3</v>
      </c>
      <c r="S47" s="14" t="str" cm="1">
        <f t="array" ref="S47">INDEX('Subj-ConceptMap-2'!$I$15:$N$187,Q47+1,R47)</f>
        <v>* group[=].element[=].target.code = #Condition.extension:participantR5.actor.telecom</v>
      </c>
    </row>
    <row r="48" spans="16:19" x14ac:dyDescent="0.75">
      <c r="P48" s="9">
        <v>34</v>
      </c>
      <c r="Q48" s="9">
        <f t="shared" si="6"/>
        <v>5</v>
      </c>
      <c r="R48" s="9">
        <f t="shared" si="7"/>
        <v>4</v>
      </c>
      <c r="S48" s="14" t="str" cm="1">
        <f t="array" ref="S48">INDEX('Subj-ConceptMap-2'!$I$15:$N$187,Q48+1,R48)</f>
        <v>* group[=].element[=].target.display = ##34###34#</v>
      </c>
    </row>
    <row r="49" spans="16:19" x14ac:dyDescent="0.75">
      <c r="P49" s="9">
        <v>35</v>
      </c>
      <c r="Q49" s="9">
        <f t="shared" si="6"/>
        <v>5</v>
      </c>
      <c r="R49" s="9">
        <f t="shared" si="7"/>
        <v>5</v>
      </c>
      <c r="S49" s="14" t="str" cm="1">
        <f t="array" ref="S49">INDEX('Subj-ConceptMap-2'!$I$15:$N$187,Q49+1,R49)</f>
        <v>* group[=].element[=].target.equivalence = #relatedto</v>
      </c>
    </row>
    <row r="50" spans="16:19" ht="44.25" x14ac:dyDescent="0.75">
      <c r="P50" s="9">
        <v>36</v>
      </c>
      <c r="Q50" s="9">
        <f t="shared" si="6"/>
        <v>5</v>
      </c>
      <c r="R50" s="9">
        <f t="shared" si="7"/>
        <v>6</v>
      </c>
      <c r="S50" s="14" t="str" cm="1">
        <f t="array" ref="S50">INDEX('Subj-ConceptMap-2'!$I$15:$N$187,Q50+1,R50)</f>
        <v>* group[=].element[=].target.comment = ##34#where extension:participantR5.function = http://terminology.hl7.org/CodeSystem/v2-0131#CP Contact Person AND extension:participantR5.actor of type PracticionerRole##34#</v>
      </c>
    </row>
    <row r="51" spans="16:19" x14ac:dyDescent="0.75">
      <c r="P51" s="9">
        <v>37</v>
      </c>
      <c r="Q51" s="9">
        <f t="shared" si="6"/>
        <v>6</v>
      </c>
      <c r="R51" s="9">
        <f t="shared" si="7"/>
        <v>1</v>
      </c>
      <c r="S51" s="14" t="str" cm="1">
        <f t="array" ref="S51">INDEX('Subj-ConceptMap-2'!$I$15:$N$187,Q51+1,R51)</f>
        <v>* group[=].element[+].code = #Subject.hpToContact.email</v>
      </c>
    </row>
    <row r="52" spans="16:19" x14ac:dyDescent="0.75">
      <c r="P52" s="9">
        <v>38</v>
      </c>
      <c r="Q52" s="9">
        <f t="shared" si="6"/>
        <v>6</v>
      </c>
      <c r="R52" s="9">
        <f t="shared" si="7"/>
        <v>2</v>
      </c>
      <c r="S52" s="14" t="str" cm="1">
        <f t="array" ref="S52">INDEX('Subj-ConceptMap-2'!$I$15:$N$187,Q52+1,R52)</f>
        <v>* group[=].element[=].display = ##34#A.1.2.2.5 Email##34#</v>
      </c>
    </row>
    <row r="53" spans="16:19" x14ac:dyDescent="0.75">
      <c r="P53" s="9">
        <v>39</v>
      </c>
      <c r="Q53" s="9">
        <f t="shared" si="6"/>
        <v>6</v>
      </c>
      <c r="R53" s="9">
        <f t="shared" si="7"/>
        <v>3</v>
      </c>
      <c r="S53" s="14" t="str" cm="1">
        <f t="array" ref="S53">INDEX('Subj-ConceptMap-2'!$I$15:$N$187,Q53+1,R53)</f>
        <v>* group[=].element[=].target.code = #Condition.extension:participantR5.actor.telecom</v>
      </c>
    </row>
    <row r="54" spans="16:19" x14ac:dyDescent="0.75">
      <c r="P54" s="9">
        <v>40</v>
      </c>
      <c r="Q54" s="9">
        <f t="shared" si="6"/>
        <v>6</v>
      </c>
      <c r="R54" s="9">
        <f t="shared" si="7"/>
        <v>4</v>
      </c>
      <c r="S54" s="14" t="str" cm="1">
        <f t="array" ref="S54">INDEX('Subj-ConceptMap-2'!$I$15:$N$187,Q54+1,R54)</f>
        <v>* group[=].element[=].target.display = ##34###34#</v>
      </c>
    </row>
    <row r="55" spans="16:19" x14ac:dyDescent="0.75">
      <c r="P55" s="9">
        <v>41</v>
      </c>
      <c r="Q55" s="9">
        <f t="shared" si="6"/>
        <v>6</v>
      </c>
      <c r="R55" s="9">
        <f t="shared" ref="R55:R73" si="14">IF(MOD(P55,$Q$8)=0,$Q$8,MOD(P55,$Q$8))</f>
        <v>5</v>
      </c>
      <c r="S55" s="14" t="str" cm="1">
        <f t="array" ref="S55">INDEX('Subj-ConceptMap-2'!$I$15:$N$187,Q55+1,R55)</f>
        <v>* group[=].element[=].target.equivalence = #relatedto</v>
      </c>
    </row>
    <row r="56" spans="16:19" ht="44.25" x14ac:dyDescent="0.75">
      <c r="P56" s="9">
        <v>42</v>
      </c>
      <c r="Q56" s="9">
        <f t="shared" si="6"/>
        <v>6</v>
      </c>
      <c r="R56" s="9">
        <f t="shared" si="14"/>
        <v>6</v>
      </c>
      <c r="S56" s="14" t="str" cm="1">
        <f t="array" ref="S56">INDEX('Subj-ConceptMap-2'!$I$15:$N$187,Q56+1,R56)</f>
        <v>* group[=].element[=].target.comment = ##34#where extension:participantR5.function = http://terminology.hl7.org/CodeSystem/v2-0131#CP Contact Person AND extension:participantR5.actor of type PracticionerRole##34#</v>
      </c>
    </row>
    <row r="57" spans="16:19" x14ac:dyDescent="0.75">
      <c r="P57" s="9">
        <v>43</v>
      </c>
      <c r="Q57" s="9">
        <f t="shared" si="6"/>
        <v>7</v>
      </c>
      <c r="R57" s="9">
        <f t="shared" si="14"/>
        <v>1</v>
      </c>
      <c r="S57" s="14" t="str" cm="1">
        <f t="array" ref="S57">INDEX('Subj-ConceptMap-2'!$I$15:$N$187,Q57+1,R57)</f>
        <v>* group[=].element[+].code = #Subject.hpToContact.affiliatedNetwork</v>
      </c>
    </row>
    <row r="58" spans="16:19" x14ac:dyDescent="0.75">
      <c r="P58" s="9">
        <v>44</v>
      </c>
      <c r="Q58" s="9">
        <f t="shared" si="6"/>
        <v>7</v>
      </c>
      <c r="R58" s="9">
        <f t="shared" si="14"/>
        <v>2</v>
      </c>
      <c r="S58" s="14" t="str" cm="1">
        <f t="array" ref="S58">INDEX('Subj-ConceptMap-2'!$I$15:$N$187,Q58+1,R58)</f>
        <v>* group[=].element[=].display = ##34#A.1.2.2.6 Network affiliation##34#</v>
      </c>
    </row>
    <row r="59" spans="16:19" x14ac:dyDescent="0.75">
      <c r="P59" s="9">
        <v>45</v>
      </c>
      <c r="Q59" s="9">
        <f t="shared" si="6"/>
        <v>7</v>
      </c>
      <c r="R59" s="9">
        <f t="shared" si="14"/>
        <v>3</v>
      </c>
      <c r="S59" s="14" t="str" cm="1">
        <f t="array" ref="S59">INDEX('Subj-ConceptMap-2'!$I$15:$N$187,Q59+1,R59)</f>
        <v>* group[=].element[=].target.code = #Condition.extension:participantR5.actor</v>
      </c>
    </row>
    <row r="60" spans="16:19" x14ac:dyDescent="0.75">
      <c r="P60" s="9">
        <v>46</v>
      </c>
      <c r="Q60" s="9">
        <f t="shared" si="6"/>
        <v>7</v>
      </c>
      <c r="R60" s="9">
        <f t="shared" si="14"/>
        <v>4</v>
      </c>
      <c r="S60" s="14" t="str" cm="1">
        <f t="array" ref="S60">INDEX('Subj-ConceptMap-2'!$I$15:$N$187,Q60+1,R60)</f>
        <v>* group[=].element[=].target.display = ##34###34#</v>
      </c>
    </row>
    <row r="61" spans="16:19" x14ac:dyDescent="0.75">
      <c r="P61" s="9">
        <v>47</v>
      </c>
      <c r="Q61" s="9">
        <f t="shared" si="6"/>
        <v>7</v>
      </c>
      <c r="R61" s="9">
        <f t="shared" si="14"/>
        <v>5</v>
      </c>
      <c r="S61" s="14" t="str" cm="1">
        <f t="array" ref="S61">INDEX('Subj-ConceptMap-2'!$I$15:$N$187,Q61+1,R61)</f>
        <v>* group[=].element[=].target.equivalence = #relatedto</v>
      </c>
    </row>
    <row r="62" spans="16:19" ht="44.25" x14ac:dyDescent="0.75">
      <c r="P62" s="9">
        <v>48</v>
      </c>
      <c r="Q62" s="9">
        <f t="shared" si="6"/>
        <v>7</v>
      </c>
      <c r="R62" s="9">
        <f t="shared" si="14"/>
        <v>6</v>
      </c>
      <c r="S62" s="14" t="str" cm="1">
        <f t="array" ref="S62">INDEX('Subj-ConceptMap-2'!$I$15:$N$187,Q62+1,R62)</f>
        <v>* group[=].element[=].target.comment = ##34#This might be described by using a CareTeam having this organization and/or this practitioner as extension:participantR5.member##34#</v>
      </c>
    </row>
    <row r="63" spans="16:19" x14ac:dyDescent="0.75">
      <c r="P63" s="9">
        <v>49</v>
      </c>
      <c r="Q63" s="9">
        <f t="shared" si="6"/>
        <v>8</v>
      </c>
      <c r="R63" s="9">
        <f t="shared" si="14"/>
        <v>1</v>
      </c>
      <c r="S63" s="14" t="str" cm="1">
        <f t="array" ref="S63">INDEX('Subj-ConceptMap-2'!$I$15:$N$187,Q63+1,R63)</f>
        <v>* group[=].element[+].code = #Subject.hpToContact.relatedWith</v>
      </c>
    </row>
    <row r="64" spans="16:19" x14ac:dyDescent="0.75">
      <c r="P64" s="9">
        <v>50</v>
      </c>
      <c r="Q64" s="9">
        <f t="shared" si="6"/>
        <v>8</v>
      </c>
      <c r="R64" s="9">
        <f t="shared" si="14"/>
        <v>2</v>
      </c>
      <c r="S64" s="14" t="str" cm="1">
        <f t="array" ref="S64">INDEX('Subj-ConceptMap-2'!$I$15:$N$187,Q64+1,R64)</f>
        <v>* group[=].element[=].display = ##34#A.1.2.2.7 Related with##34#</v>
      </c>
    </row>
    <row r="65" spans="16:19" x14ac:dyDescent="0.75">
      <c r="P65" s="9">
        <v>51</v>
      </c>
      <c r="Q65" s="9">
        <f t="shared" si="6"/>
        <v>8</v>
      </c>
      <c r="R65" s="9">
        <f t="shared" si="14"/>
        <v>3</v>
      </c>
      <c r="S65" s="14" t="str" cm="1">
        <f t="array" ref="S65">INDEX('Subj-ConceptMap-2'!$I$15:$N$187,Q65+1,R65)</f>
        <v>* group[=].element[=].target.code = #Condition</v>
      </c>
    </row>
    <row r="66" spans="16:19" x14ac:dyDescent="0.75">
      <c r="P66" s="9">
        <v>52</v>
      </c>
      <c r="Q66" s="9">
        <f t="shared" si="6"/>
        <v>8</v>
      </c>
      <c r="R66" s="9">
        <f t="shared" si="14"/>
        <v>4</v>
      </c>
      <c r="S66" s="14" t="str" cm="1">
        <f t="array" ref="S66">INDEX('Subj-ConceptMap-2'!$I$15:$N$187,Q66+1,R66)</f>
        <v>* group[=].element[=].target.display = ##34###34#</v>
      </c>
    </row>
    <row r="67" spans="16:19" x14ac:dyDescent="0.75">
      <c r="P67" s="9">
        <v>53</v>
      </c>
      <c r="Q67" s="9">
        <f t="shared" si="6"/>
        <v>8</v>
      </c>
      <c r="R67" s="9">
        <f t="shared" si="14"/>
        <v>5</v>
      </c>
      <c r="S67" s="14" t="str" cm="1">
        <f t="array" ref="S67">INDEX('Subj-ConceptMap-2'!$I$15:$N$187,Q67+1,R67)</f>
        <v>* group[=].element[=].target.equivalence = #relatedto</v>
      </c>
    </row>
    <row r="68" spans="16:19" ht="29.5" x14ac:dyDescent="0.75">
      <c r="P68" s="9">
        <v>54</v>
      </c>
      <c r="Q68" s="9">
        <f t="shared" si="6"/>
        <v>8</v>
      </c>
      <c r="R68" s="9">
        <f t="shared" si="14"/>
        <v>6</v>
      </c>
      <c r="S68" s="14" t="str" cm="1">
        <f t="array" ref="S68">INDEX('Subj-ConceptMap-2'!$I$15:$N$187,Q68+1,R68)</f>
        <v>* group[=].element[=].target.comment = ##34#The contact is intrinsically connected with the Condition##34#</v>
      </c>
    </row>
    <row r="69" spans="16:19" x14ac:dyDescent="0.75">
      <c r="P69" s="9">
        <v>55</v>
      </c>
      <c r="Q69" s="9">
        <f t="shared" si="6"/>
        <v>9</v>
      </c>
      <c r="R69" s="9">
        <f t="shared" si="14"/>
        <v>1</v>
      </c>
      <c r="S69" s="14" cm="1">
        <f t="array" ref="S69">INDEX('Subj-ConceptMap-2'!$I$15:$N$187,Q69+1,R69)</f>
        <v>0</v>
      </c>
    </row>
    <row r="70" spans="16:19" x14ac:dyDescent="0.75">
      <c r="P70" s="9">
        <v>56</v>
      </c>
      <c r="Q70" s="9">
        <f t="shared" si="6"/>
        <v>9</v>
      </c>
      <c r="R70" s="9">
        <f t="shared" si="14"/>
        <v>2</v>
      </c>
      <c r="S70" s="14" cm="1">
        <f t="array" ref="S70">INDEX('Subj-ConceptMap-2'!$I$15:$N$187,Q70+1,R70)</f>
        <v>0</v>
      </c>
    </row>
    <row r="71" spans="16:19" x14ac:dyDescent="0.75">
      <c r="P71" s="9">
        <v>57</v>
      </c>
      <c r="Q71" s="9">
        <f t="shared" si="6"/>
        <v>9</v>
      </c>
      <c r="R71" s="9">
        <f t="shared" si="14"/>
        <v>3</v>
      </c>
      <c r="S71" s="14" cm="1">
        <f t="array" ref="S71">INDEX('Subj-ConceptMap-2'!$I$15:$N$187,Q71+1,R71)</f>
        <v>0</v>
      </c>
    </row>
    <row r="72" spans="16:19" x14ac:dyDescent="0.75">
      <c r="P72" s="9">
        <v>58</v>
      </c>
      <c r="Q72" s="9">
        <f t="shared" si="6"/>
        <v>9</v>
      </c>
      <c r="R72" s="9">
        <f t="shared" si="14"/>
        <v>4</v>
      </c>
      <c r="S72" s="14" cm="1">
        <f t="array" ref="S72">INDEX('Subj-ConceptMap-2'!$I$15:$N$187,Q72+1,R72)</f>
        <v>0</v>
      </c>
    </row>
    <row r="73" spans="16:19" x14ac:dyDescent="0.75">
      <c r="P73" s="9">
        <v>59</v>
      </c>
      <c r="Q73" s="9">
        <f t="shared" si="6"/>
        <v>9</v>
      </c>
      <c r="R73" s="9">
        <f t="shared" si="14"/>
        <v>5</v>
      </c>
      <c r="S73" s="14" cm="1">
        <f t="array" ref="S73">INDEX('Subj-ConceptMap-2'!$I$15:$N$187,Q73+1,R73)</f>
        <v>0</v>
      </c>
    </row>
    <row r="74" spans="16:19" x14ac:dyDescent="0.75">
      <c r="P74" s="9">
        <v>60</v>
      </c>
      <c r="Q74" s="9">
        <f t="shared" si="6"/>
        <v>9</v>
      </c>
      <c r="R74" s="9">
        <f t="shared" ref="R74:R80" si="15">IF(MOD(P74,$Q$8)=0,$Q$8,MOD(P74,$Q$8))</f>
        <v>6</v>
      </c>
      <c r="S74" s="14" cm="1">
        <f t="array" ref="S74">INDEX('Subj-ConceptMap-2'!$I$15:$N$187,Q74+1,R74)</f>
        <v>0</v>
      </c>
    </row>
    <row r="75" spans="16:19" x14ac:dyDescent="0.75">
      <c r="P75" s="9">
        <v>61</v>
      </c>
      <c r="Q75" s="9">
        <f t="shared" si="6"/>
        <v>10</v>
      </c>
      <c r="R75" s="9">
        <f t="shared" si="15"/>
        <v>1</v>
      </c>
      <c r="S75" s="14" cm="1">
        <f t="array" ref="S75">INDEX('Subj-ConceptMap-2'!$I$15:$N$187,Q75+1,R75)</f>
        <v>0</v>
      </c>
    </row>
    <row r="76" spans="16:19" x14ac:dyDescent="0.75">
      <c r="P76" s="9">
        <v>62</v>
      </c>
      <c r="Q76" s="9">
        <f t="shared" si="6"/>
        <v>10</v>
      </c>
      <c r="R76" s="9">
        <f t="shared" si="15"/>
        <v>2</v>
      </c>
      <c r="S76" s="14" cm="1">
        <f t="array" ref="S76">INDEX('Subj-ConceptMap-2'!$I$15:$N$187,Q76+1,R76)</f>
        <v>0</v>
      </c>
    </row>
    <row r="77" spans="16:19" x14ac:dyDescent="0.75">
      <c r="P77" s="9">
        <v>63</v>
      </c>
      <c r="Q77" s="9">
        <f t="shared" si="6"/>
        <v>10</v>
      </c>
      <c r="R77" s="9">
        <f t="shared" si="15"/>
        <v>3</v>
      </c>
      <c r="S77" s="14" cm="1">
        <f t="array" ref="S77">INDEX('Subj-ConceptMap-2'!$I$15:$N$187,Q77+1,R77)</f>
        <v>0</v>
      </c>
    </row>
    <row r="78" spans="16:19" x14ac:dyDescent="0.75">
      <c r="P78" s="9">
        <v>64</v>
      </c>
      <c r="Q78" s="9">
        <f t="shared" si="6"/>
        <v>10</v>
      </c>
      <c r="R78" s="9">
        <f t="shared" si="15"/>
        <v>4</v>
      </c>
      <c r="S78" s="14" cm="1">
        <f t="array" ref="S78">INDEX('Subj-ConceptMap-2'!$I$15:$N$187,Q78+1,R78)</f>
        <v>0</v>
      </c>
    </row>
    <row r="79" spans="16:19" x14ac:dyDescent="0.75">
      <c r="P79" s="9">
        <v>65</v>
      </c>
      <c r="Q79" s="9">
        <f t="shared" si="6"/>
        <v>10</v>
      </c>
      <c r="R79" s="9">
        <f t="shared" si="15"/>
        <v>5</v>
      </c>
      <c r="S79" s="14" cm="1">
        <f t="array" ref="S79">INDEX('Subj-ConceptMap-2'!$I$15:$N$187,Q79+1,R79)</f>
        <v>0</v>
      </c>
    </row>
    <row r="80" spans="16:19" x14ac:dyDescent="0.75">
      <c r="P80" s="9">
        <v>66</v>
      </c>
      <c r="Q80" s="9">
        <f t="shared" si="6"/>
        <v>10</v>
      </c>
      <c r="R80" s="9">
        <f t="shared" si="15"/>
        <v>6</v>
      </c>
      <c r="S80" s="14" cm="1">
        <f t="array" ref="S80">INDEX('Subj-ConceptMap-2'!$I$15:$N$187,Q80+1,R80)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c r="Q125" s="9"/>
      <c r="R125" s="9"/>
      <c r="S125" s="14"/>
    </row>
    <row r="126" spans="16:19" x14ac:dyDescent="0.75">
      <c r="P126" s="9"/>
      <c r="Q126" s="9"/>
      <c r="R126" s="9"/>
      <c r="S126" s="14"/>
    </row>
    <row r="127" spans="16:19" x14ac:dyDescent="0.75">
      <c r="P127" s="9"/>
      <c r="Q127" s="9"/>
      <c r="R127" s="9"/>
      <c r="S127" s="14"/>
    </row>
    <row r="128" spans="16:19" x14ac:dyDescent="0.75">
      <c r="P128" s="9"/>
      <c r="Q128" s="9"/>
      <c r="R128" s="9"/>
      <c r="S128" s="14"/>
    </row>
    <row r="129" spans="16:19" x14ac:dyDescent="0.75">
      <c r="P129" s="9"/>
      <c r="Q129" s="9"/>
      <c r="R129" s="9"/>
      <c r="S129" s="14"/>
    </row>
    <row r="130" spans="16:19" x14ac:dyDescent="0.75">
      <c r="P130" s="9"/>
      <c r="Q130" s="9"/>
      <c r="R130" s="9"/>
      <c r="S130" s="14"/>
    </row>
    <row r="131" spans="16:19" x14ac:dyDescent="0.75">
      <c r="P131" s="9"/>
      <c r="Q131" s="9"/>
      <c r="R131" s="9"/>
      <c r="S131" s="14"/>
    </row>
    <row r="132" spans="16:19" x14ac:dyDescent="0.75">
      <c r="P132" s="9"/>
      <c r="Q132" s="9"/>
      <c r="R132" s="9"/>
      <c r="S132" s="14"/>
    </row>
    <row r="133" spans="16:19" x14ac:dyDescent="0.75">
      <c r="P133" s="9"/>
      <c r="Q133" s="9"/>
      <c r="R133" s="9"/>
      <c r="S133" s="14"/>
    </row>
    <row r="134" spans="16:19" x14ac:dyDescent="0.75">
      <c r="P134" s="9"/>
      <c r="Q134" s="9"/>
      <c r="R134" s="9"/>
      <c r="S134" s="14"/>
    </row>
    <row r="135" spans="16:19" x14ac:dyDescent="0.75">
      <c r="P135" s="9"/>
      <c r="Q135" s="9"/>
      <c r="R135" s="9"/>
      <c r="S135" s="14"/>
    </row>
    <row r="136" spans="16:19" x14ac:dyDescent="0.75">
      <c r="P136" s="9"/>
      <c r="Q136" s="9"/>
      <c r="R136" s="9"/>
      <c r="S136" s="14"/>
    </row>
    <row r="137" spans="16:19" x14ac:dyDescent="0.75">
      <c r="P137" s="9"/>
      <c r="Q137" s="9"/>
      <c r="R137" s="9"/>
      <c r="S137" s="14"/>
    </row>
    <row r="138" spans="16:19" x14ac:dyDescent="0.75">
      <c r="P138" s="9"/>
      <c r="Q138" s="9"/>
      <c r="R138" s="9"/>
      <c r="S138" s="14"/>
    </row>
    <row r="139" spans="16:19" x14ac:dyDescent="0.75">
      <c r="P139" s="9"/>
      <c r="Q139" s="9"/>
      <c r="R139" s="9"/>
      <c r="S139" s="14"/>
    </row>
    <row r="140" spans="16:19" x14ac:dyDescent="0.75">
      <c r="P140" s="9"/>
      <c r="Q140" s="9"/>
      <c r="R140" s="9"/>
      <c r="S140" s="14"/>
    </row>
    <row r="141" spans="16:19" x14ac:dyDescent="0.75">
      <c r="P141" s="9"/>
      <c r="Q141" s="9"/>
      <c r="R141" s="9"/>
      <c r="S141" s="14"/>
    </row>
    <row r="142" spans="16:19" x14ac:dyDescent="0.75">
      <c r="P142" s="9"/>
      <c r="Q142" s="9"/>
      <c r="R142" s="9"/>
      <c r="S142" s="14"/>
    </row>
    <row r="143" spans="16:19" x14ac:dyDescent="0.75">
      <c r="P143" s="9"/>
      <c r="Q143" s="9"/>
      <c r="R143" s="9"/>
      <c r="S143" s="14"/>
    </row>
    <row r="144" spans="16:19" x14ac:dyDescent="0.75">
      <c r="P144" s="9"/>
      <c r="Q144" s="9"/>
      <c r="R144" s="9"/>
      <c r="S144" s="14"/>
    </row>
    <row r="145" spans="16:19" x14ac:dyDescent="0.75">
      <c r="P145" s="9"/>
      <c r="Q145" s="9"/>
      <c r="R145" s="9"/>
      <c r="S145" s="14"/>
    </row>
    <row r="146" spans="16:19" x14ac:dyDescent="0.75">
      <c r="P146" s="9"/>
      <c r="Q146" s="9"/>
      <c r="R146" s="9"/>
      <c r="S146" s="14"/>
    </row>
    <row r="147" spans="16:19" x14ac:dyDescent="0.75">
      <c r="P147" s="9"/>
      <c r="Q147" s="9"/>
      <c r="R147" s="9"/>
      <c r="S147" s="14"/>
    </row>
    <row r="148" spans="16:19" x14ac:dyDescent="0.75">
      <c r="P148" s="9"/>
      <c r="Q148" s="9"/>
      <c r="R148" s="9"/>
      <c r="S148" s="14"/>
    </row>
    <row r="149" spans="16:19" x14ac:dyDescent="0.75">
      <c r="P149" s="9"/>
      <c r="Q149" s="9"/>
      <c r="R149" s="9"/>
      <c r="S149" s="14"/>
    </row>
    <row r="150" spans="16:19" x14ac:dyDescent="0.75">
      <c r="P150" s="9"/>
      <c r="Q150" s="9"/>
      <c r="R150" s="9"/>
      <c r="S150" s="14"/>
    </row>
    <row r="151" spans="16:19" x14ac:dyDescent="0.75">
      <c r="P151" s="9"/>
      <c r="Q151" s="9"/>
      <c r="R151" s="9"/>
      <c r="S151" s="14"/>
    </row>
    <row r="152" spans="16:19" x14ac:dyDescent="0.75">
      <c r="P152" s="9"/>
      <c r="Q152" s="9"/>
      <c r="R152" s="9"/>
      <c r="S152" s="14"/>
    </row>
    <row r="153" spans="16:19" x14ac:dyDescent="0.75">
      <c r="P153" s="9"/>
      <c r="Q153" s="9"/>
      <c r="R153" s="9"/>
      <c r="S153" s="14"/>
    </row>
    <row r="154" spans="16:19" x14ac:dyDescent="0.75">
      <c r="P154" s="9"/>
      <c r="Q154" s="9"/>
      <c r="R154" s="9"/>
      <c r="S154" s="14"/>
    </row>
    <row r="155" spans="16:19" x14ac:dyDescent="0.75">
      <c r="P155" s="9"/>
      <c r="Q155" s="9"/>
      <c r="R155" s="9"/>
      <c r="S155" s="14"/>
    </row>
    <row r="156" spans="16:19" x14ac:dyDescent="0.75">
      <c r="P156" s="9"/>
      <c r="Q156" s="9"/>
      <c r="R156" s="9"/>
      <c r="S156" s="14"/>
    </row>
    <row r="157" spans="16:19" x14ac:dyDescent="0.75">
      <c r="P157" s="9"/>
      <c r="Q157" s="9"/>
      <c r="R157" s="9"/>
      <c r="S157" s="14"/>
    </row>
    <row r="158" spans="16:19" x14ac:dyDescent="0.75">
      <c r="P158" s="9"/>
      <c r="Q158" s="9"/>
      <c r="R158" s="9"/>
      <c r="S158" s="14"/>
    </row>
    <row r="159" spans="16:19" x14ac:dyDescent="0.75">
      <c r="P159" s="9"/>
      <c r="Q159" s="9"/>
      <c r="R159" s="9"/>
      <c r="S159" s="14"/>
    </row>
    <row r="160" spans="16:19" x14ac:dyDescent="0.75">
      <c r="P160" s="9"/>
      <c r="Q160" s="9"/>
      <c r="R160" s="9"/>
      <c r="S160" s="14"/>
    </row>
    <row r="161" spans="16:19" x14ac:dyDescent="0.75">
      <c r="P161" s="9"/>
      <c r="Q161" s="9"/>
      <c r="R161" s="9"/>
      <c r="S161" s="14"/>
    </row>
    <row r="162" spans="16:19" x14ac:dyDescent="0.75">
      <c r="P162" s="9"/>
      <c r="Q162" s="9"/>
      <c r="R162" s="9"/>
      <c r="S162" s="14"/>
    </row>
    <row r="163" spans="16:19" x14ac:dyDescent="0.75">
      <c r="P163" s="9"/>
      <c r="Q163" s="9"/>
      <c r="R163" s="9"/>
      <c r="S163" s="14"/>
    </row>
    <row r="164" spans="16:19" x14ac:dyDescent="0.75">
      <c r="P164" s="9"/>
      <c r="Q164" s="9"/>
      <c r="R164" s="9"/>
      <c r="S164" s="14"/>
    </row>
    <row r="165" spans="16:19" x14ac:dyDescent="0.75">
      <c r="P165" s="9"/>
      <c r="Q165" s="9"/>
      <c r="R165" s="9"/>
      <c r="S165" s="14"/>
    </row>
    <row r="166" spans="16:19" x14ac:dyDescent="0.75">
      <c r="P166" s="9"/>
      <c r="Q166" s="9"/>
      <c r="R166" s="9"/>
      <c r="S166" s="14"/>
    </row>
    <row r="167" spans="16:19" x14ac:dyDescent="0.75">
      <c r="P167" s="9"/>
      <c r="Q167" s="9"/>
      <c r="R167" s="9"/>
      <c r="S167" s="14"/>
    </row>
    <row r="168" spans="16:19" x14ac:dyDescent="0.75">
      <c r="P168" s="9"/>
      <c r="Q168" s="9"/>
      <c r="R168" s="9"/>
      <c r="S168" s="14"/>
    </row>
    <row r="169" spans="16:19" x14ac:dyDescent="0.75">
      <c r="P169" s="9"/>
      <c r="Q169" s="9"/>
      <c r="R169" s="9"/>
      <c r="S169" s="14"/>
    </row>
    <row r="170" spans="16:19" x14ac:dyDescent="0.75">
      <c r="P170" s="9"/>
      <c r="Q170" s="9"/>
      <c r="R170" s="9"/>
      <c r="S170" s="14"/>
    </row>
    <row r="171" spans="16:19" x14ac:dyDescent="0.75">
      <c r="P171" s="9"/>
      <c r="Q171" s="9"/>
      <c r="R171" s="9"/>
      <c r="S171" s="14"/>
    </row>
    <row r="172" spans="16:19" x14ac:dyDescent="0.75">
      <c r="P172" s="9"/>
      <c r="Q172" s="9"/>
      <c r="R172" s="9"/>
      <c r="S172" s="14"/>
    </row>
    <row r="173" spans="16:19" x14ac:dyDescent="0.75">
      <c r="P173" s="9"/>
      <c r="Q173" s="9"/>
      <c r="R173" s="9"/>
      <c r="S173" s="14"/>
    </row>
    <row r="174" spans="16:19" x14ac:dyDescent="0.75">
      <c r="P174" s="9"/>
      <c r="Q174" s="9"/>
      <c r="R174" s="9"/>
      <c r="S174" s="14"/>
    </row>
    <row r="175" spans="16:19" x14ac:dyDescent="0.75">
      <c r="P175" s="9"/>
      <c r="Q175" s="9"/>
      <c r="R175" s="9"/>
      <c r="S175" s="14"/>
    </row>
    <row r="176" spans="16:19" x14ac:dyDescent="0.75">
      <c r="P176" s="9"/>
      <c r="Q176" s="9"/>
      <c r="R176" s="9"/>
      <c r="S176" s="14"/>
    </row>
    <row r="177" spans="16:19" x14ac:dyDescent="0.75">
      <c r="P177" s="9"/>
      <c r="Q177" s="9"/>
      <c r="R177" s="9"/>
      <c r="S177" s="14"/>
    </row>
    <row r="178" spans="16:19" x14ac:dyDescent="0.75">
      <c r="P178" s="9"/>
      <c r="Q178" s="9"/>
      <c r="R178" s="9"/>
      <c r="S178" s="14"/>
    </row>
    <row r="179" spans="16:19" x14ac:dyDescent="0.75">
      <c r="P179" s="9"/>
      <c r="Q179" s="9"/>
      <c r="R179" s="9"/>
      <c r="S179" s="14"/>
    </row>
    <row r="180" spans="16:19" x14ac:dyDescent="0.75">
      <c r="P180" s="9"/>
      <c r="Q180" s="9"/>
      <c r="R180" s="9"/>
      <c r="S180" s="14"/>
    </row>
    <row r="181" spans="16:19" x14ac:dyDescent="0.75">
      <c r="P181" s="9"/>
      <c r="Q181" s="9"/>
      <c r="R181" s="9"/>
      <c r="S181" s="14"/>
    </row>
    <row r="182" spans="16:19" x14ac:dyDescent="0.75">
      <c r="P182" s="9"/>
      <c r="Q182" s="9"/>
      <c r="R182" s="9"/>
      <c r="S182" s="14"/>
    </row>
    <row r="183" spans="16:19" x14ac:dyDescent="0.75">
      <c r="P183" s="9"/>
      <c r="Q183" s="9"/>
      <c r="R183" s="9"/>
      <c r="S183" s="14"/>
    </row>
    <row r="184" spans="16:19" x14ac:dyDescent="0.75">
      <c r="P184" s="9"/>
      <c r="Q184" s="9"/>
      <c r="R184" s="9"/>
      <c r="S184" s="14"/>
    </row>
    <row r="185" spans="16:19" x14ac:dyDescent="0.75">
      <c r="P185" s="9"/>
      <c r="Q185" s="9"/>
      <c r="R185" s="9"/>
      <c r="S185" s="14"/>
    </row>
    <row r="186" spans="16:19" x14ac:dyDescent="0.75">
      <c r="P186" s="9"/>
      <c r="Q186" s="9"/>
      <c r="R186" s="9"/>
      <c r="S186" s="14"/>
    </row>
    <row r="187" spans="16:19" x14ac:dyDescent="0.75">
      <c r="P187" s="9"/>
      <c r="Q187" s="9"/>
      <c r="R187" s="9"/>
      <c r="S187" s="14"/>
    </row>
    <row r="188" spans="16:19" x14ac:dyDescent="0.75">
      <c r="P188" s="9"/>
      <c r="Q188" s="9"/>
      <c r="R188" s="9"/>
      <c r="S188" s="14"/>
    </row>
    <row r="189" spans="16:19" x14ac:dyDescent="0.75">
      <c r="P189" s="9"/>
      <c r="Q189" s="9"/>
      <c r="R189" s="9"/>
      <c r="S189" s="14"/>
    </row>
    <row r="190" spans="16:19" x14ac:dyDescent="0.75">
      <c r="P190" s="9"/>
      <c r="Q190" s="9"/>
      <c r="R190" s="9"/>
      <c r="S190" s="14"/>
    </row>
    <row r="191" spans="16:19" x14ac:dyDescent="0.75">
      <c r="P191" s="9"/>
      <c r="Q191" s="9"/>
      <c r="R191" s="9"/>
      <c r="S191" s="14"/>
    </row>
    <row r="192" spans="16:19" x14ac:dyDescent="0.75">
      <c r="P192" s="9"/>
      <c r="Q192" s="9"/>
      <c r="R192" s="9"/>
      <c r="S192" s="14"/>
    </row>
    <row r="193" spans="16:19" x14ac:dyDescent="0.75">
      <c r="P193" s="9"/>
      <c r="Q193" s="9"/>
      <c r="R193" s="9"/>
      <c r="S193" s="14"/>
    </row>
    <row r="194" spans="16:19" x14ac:dyDescent="0.75">
      <c r="P194" s="9"/>
      <c r="Q194" s="9"/>
      <c r="R194" s="9"/>
      <c r="S194" s="14"/>
    </row>
    <row r="195" spans="16:19" x14ac:dyDescent="0.75">
      <c r="P195" s="9"/>
      <c r="Q195" s="9"/>
      <c r="R195" s="9"/>
      <c r="S195" s="14"/>
    </row>
    <row r="196" spans="16:19" x14ac:dyDescent="0.75">
      <c r="P196" s="9"/>
      <c r="Q196" s="9"/>
      <c r="R196" s="9"/>
      <c r="S196" s="14"/>
    </row>
    <row r="197" spans="16:19" x14ac:dyDescent="0.75">
      <c r="P197" s="9"/>
      <c r="Q197" s="9"/>
      <c r="R197" s="9"/>
      <c r="S197" s="14"/>
    </row>
    <row r="198" spans="16:19" x14ac:dyDescent="0.75">
      <c r="P198" s="9"/>
      <c r="Q198" s="9"/>
      <c r="R198" s="9"/>
      <c r="S198" s="14"/>
    </row>
    <row r="199" spans="16:19" x14ac:dyDescent="0.75">
      <c r="P199" s="9"/>
      <c r="Q199" s="9"/>
      <c r="R199" s="9"/>
      <c r="S199" s="14"/>
    </row>
    <row r="200" spans="16:19" x14ac:dyDescent="0.75">
      <c r="P200" s="9"/>
      <c r="Q200" s="9"/>
      <c r="R200" s="9"/>
      <c r="S200" s="14"/>
    </row>
    <row r="201" spans="16:19" x14ac:dyDescent="0.75">
      <c r="P201" s="9"/>
      <c r="Q201" s="9"/>
      <c r="R201" s="9"/>
      <c r="S201" s="14"/>
    </row>
    <row r="202" spans="16:19" x14ac:dyDescent="0.75">
      <c r="P202" s="9"/>
      <c r="Q202" s="9"/>
      <c r="R202" s="9"/>
      <c r="S202" s="14"/>
    </row>
    <row r="203" spans="16:19" x14ac:dyDescent="0.75">
      <c r="P203" s="9"/>
      <c r="Q203" s="9"/>
      <c r="R203" s="9"/>
      <c r="S203" s="14"/>
    </row>
    <row r="204" spans="16:19" x14ac:dyDescent="0.75">
      <c r="P204" s="9"/>
      <c r="Q204" s="9"/>
      <c r="R204" s="9"/>
      <c r="S204" s="14"/>
    </row>
    <row r="205" spans="16:19" x14ac:dyDescent="0.75">
      <c r="P205" s="9"/>
      <c r="Q205" s="9"/>
      <c r="R205" s="9"/>
      <c r="S205" s="14"/>
    </row>
    <row r="206" spans="16:19" x14ac:dyDescent="0.75">
      <c r="P206" s="9"/>
      <c r="Q206" s="9"/>
      <c r="R206" s="9"/>
      <c r="S206" s="14"/>
    </row>
    <row r="207" spans="16:19" x14ac:dyDescent="0.75">
      <c r="P207" s="9"/>
      <c r="Q207" s="9"/>
      <c r="R207" s="9"/>
      <c r="S207" s="14"/>
    </row>
    <row r="208" spans="16:19" x14ac:dyDescent="0.75">
      <c r="P208" s="9"/>
      <c r="Q208" s="9"/>
      <c r="R208" s="9"/>
      <c r="S208" s="14"/>
    </row>
    <row r="209" spans="16:19" x14ac:dyDescent="0.75">
      <c r="P209" s="9"/>
      <c r="Q209" s="9"/>
      <c r="R209" s="9"/>
      <c r="S209" s="14"/>
    </row>
    <row r="210" spans="16:19" x14ac:dyDescent="0.75">
      <c r="P210" s="9"/>
      <c r="Q210" s="9"/>
      <c r="R210" s="9"/>
      <c r="S210" s="14"/>
    </row>
    <row r="211" spans="16:19" x14ac:dyDescent="0.75">
      <c r="P211" s="9"/>
      <c r="Q211" s="9"/>
      <c r="R211" s="9"/>
      <c r="S211" s="14"/>
    </row>
    <row r="212" spans="16:19" x14ac:dyDescent="0.75">
      <c r="P212" s="9"/>
      <c r="Q212" s="9"/>
      <c r="R212" s="9"/>
      <c r="S212" s="14"/>
    </row>
    <row r="213" spans="16:19" x14ac:dyDescent="0.75">
      <c r="P213" s="9"/>
      <c r="Q213" s="9"/>
      <c r="R213" s="9"/>
      <c r="S213" s="14"/>
    </row>
    <row r="214" spans="16:19" x14ac:dyDescent="0.75">
      <c r="P214" s="9"/>
      <c r="Q214" s="9"/>
      <c r="R214" s="9"/>
      <c r="S214" s="14"/>
    </row>
    <row r="215" spans="16:19" x14ac:dyDescent="0.75">
      <c r="P215" s="9"/>
      <c r="Q215" s="9"/>
      <c r="R215" s="9"/>
      <c r="S215" s="14"/>
    </row>
    <row r="216" spans="16:19" x14ac:dyDescent="0.75">
      <c r="P216" s="9"/>
      <c r="Q216" s="9"/>
      <c r="R216" s="9"/>
      <c r="S216" s="14"/>
    </row>
    <row r="217" spans="16:19" x14ac:dyDescent="0.75">
      <c r="P217" s="9"/>
      <c r="Q217" s="9"/>
      <c r="R217" s="9"/>
      <c r="S217" s="14"/>
    </row>
    <row r="218" spans="16:19" x14ac:dyDescent="0.75">
      <c r="P218" s="9"/>
      <c r="Q218" s="9"/>
      <c r="R218" s="9"/>
      <c r="S218" s="14"/>
    </row>
    <row r="219" spans="16:19" x14ac:dyDescent="0.75">
      <c r="P219" s="9"/>
      <c r="Q219" s="9"/>
      <c r="R219" s="9"/>
      <c r="S219" s="14"/>
    </row>
    <row r="220" spans="16:19" x14ac:dyDescent="0.75">
      <c r="P220" s="9"/>
      <c r="Q220" s="9"/>
      <c r="R220" s="9"/>
      <c r="S220" s="14"/>
    </row>
    <row r="221" spans="16:19" x14ac:dyDescent="0.75">
      <c r="P221" s="9"/>
      <c r="Q221" s="9"/>
      <c r="R221" s="9"/>
      <c r="S221" s="14"/>
    </row>
    <row r="222" spans="16:19" x14ac:dyDescent="0.75">
      <c r="P222" s="9"/>
      <c r="Q222" s="9"/>
      <c r="R222" s="9"/>
      <c r="S222" s="14"/>
    </row>
    <row r="223" spans="16:19" x14ac:dyDescent="0.75">
      <c r="P223" s="9"/>
      <c r="Q223" s="9"/>
      <c r="R223" s="9"/>
      <c r="S223" s="14"/>
    </row>
    <row r="224" spans="16:19" x14ac:dyDescent="0.75">
      <c r="P224" s="9"/>
      <c r="Q224" s="9"/>
      <c r="R224" s="9"/>
      <c r="S224" s="14"/>
    </row>
  </sheetData>
  <mergeCells count="4">
    <mergeCell ref="E3:G3"/>
    <mergeCell ref="E4:G4"/>
    <mergeCell ref="E6:G6"/>
    <mergeCell ref="E7:G7"/>
  </mergeCells>
  <hyperlinks>
    <hyperlink ref="E4" r:id="rId1" xr:uid="{F99E3215-30AC-4761-B427-16CD60633C37}"/>
    <hyperlink ref="E7" r:id="rId2" xr:uid="{C2D072FD-36D9-4D50-824F-7856171BF92F}"/>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2"/>
  <sheetViews>
    <sheetView tabSelected="1" workbookViewId="0">
      <selection activeCell="B194" sqref="B194:B25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219</v>
      </c>
    </row>
    <row r="3" spans="2:7" x14ac:dyDescent="0.75">
      <c r="B3" s="32" t="s">
        <v>37</v>
      </c>
    </row>
    <row r="4" spans="2:7" x14ac:dyDescent="0.75">
      <c r="B4" s="65" t="str">
        <f>"Instance: "&amp;'Subj-ConceptMap-1'!C4</f>
        <v>Instance: subject2FHIR-eu-ps</v>
      </c>
    </row>
    <row r="5" spans="2:7" x14ac:dyDescent="0.75">
      <c r="B5" s="65" t="s">
        <v>196</v>
      </c>
    </row>
    <row r="6" spans="2:7" x14ac:dyDescent="0.75">
      <c r="B6" s="65" t="s">
        <v>197</v>
      </c>
    </row>
    <row r="7" spans="2:7" x14ac:dyDescent="0.75">
      <c r="B7" s="65" t="s">
        <v>203</v>
      </c>
    </row>
    <row r="8" spans="2:7" x14ac:dyDescent="0.75">
      <c r="B8" s="65" t="str">
        <f>"* name = ##34#"&amp;'Subj-ConceptMap-1'!C3&amp;"##34#"</f>
        <v>* name = ##34#PatientSummarySubject2Fhir##34#</v>
      </c>
    </row>
    <row r="9" spans="2:7" x14ac:dyDescent="0.75">
      <c r="B9" s="65" t="str">
        <f>"* title = ##34#"&amp;'Subj-ConceptMap-1'!C5&amp;"##34#"</f>
        <v>* title = ##34#eHN Subject to this guide Map##34#</v>
      </c>
    </row>
    <row r="10" spans="2:7" x14ac:dyDescent="0.75">
      <c r="B10" s="65" t="s">
        <v>198</v>
      </c>
    </row>
    <row r="11" spans="2:7" x14ac:dyDescent="0.75">
      <c r="B11" s="65" t="s">
        <v>199</v>
      </c>
    </row>
    <row r="12" spans="2:7" x14ac:dyDescent="0.75">
      <c r="B12" s="65" t="str">
        <f>"* description = ##34#"&amp;'Subj-ConceptMap-1'!C8&amp;"##34#"</f>
        <v>* description = ##34#eHN Subject Model to this guide Map##34#</v>
      </c>
    </row>
    <row r="13" spans="2:7" x14ac:dyDescent="0.75">
      <c r="B13" s="65" t="str">
        <f>"* purpose = ##34#"&amp;'Subj-ConceptMap-1'!C9&amp;"##34#"</f>
        <v>* purpose = ##34#It shows how the Patient Summary Subject data set defined by the EU eHN guidelines is mapped into this guide##34#</v>
      </c>
    </row>
    <row r="14" spans="2:7" x14ac:dyDescent="0.75">
      <c r="B14" s="66" t="str">
        <f>"* sourceUri = ##34#"&amp;'Subj-ConceptMap-1'!E3&amp;"##34#"</f>
        <v>* sourceUri = ##34#http://hl7.eu/fhir/ig/xpandh/ps/StructureDefinition/Subject##34#</v>
      </c>
    </row>
    <row r="15" spans="2:7" x14ac:dyDescent="0.75">
      <c r="B15" s="66" t="str">
        <f>"* targetUri = ##34#"&amp;'Subj-ConceptMap-1'!E4&amp;"##34#"</f>
        <v>* targetUri = ##34#http://hl7.eu/fhir/ig/xpandh/ps/StructureDefinition/Bundle-ps-xpandh##34#</v>
      </c>
    </row>
    <row r="16" spans="2:7" x14ac:dyDescent="0.75">
      <c r="B16" s="65"/>
    </row>
    <row r="17" spans="2:7" x14ac:dyDescent="0.75">
      <c r="B17" s="67" t="str">
        <f>"* group[+].source = ##34#"&amp;'Subj-ConceptMap-1'!E6&amp;"##34#"</f>
        <v>* group[+].source = ##34#http://hl7.eu/fhir/ig/xpandh/ps/StructureDefinition/Subject##34#</v>
      </c>
    </row>
    <row r="18" spans="2:7" x14ac:dyDescent="0.75">
      <c r="B18" s="67" t="str">
        <f>"* group[=].target = ##34#"&amp;'Subj-ConceptMap-1'!E7&amp;"##34#"</f>
        <v>* group[=].target = ##34#http://hl7.eu/fhir/ig/xpandh/ps/StructureDefinition/Patient-ps-xpandh##34#</v>
      </c>
    </row>
    <row r="19" spans="2:7" x14ac:dyDescent="0.75">
      <c r="B19" s="69"/>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4"/>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#Subject.contactPerson</v>
      </c>
    </row>
    <row r="141" spans="2:2" x14ac:dyDescent="0.75">
      <c r="B141" s="14" t="str">
        <f>IF('Subj-ConceptMap-1'!S136=0,"//---END",'Subj-ConceptMap-1'!S136)</f>
        <v>* group[=].element[=].display = ##34#A.1.2.3 Contact person/ legal guardian ##34#</v>
      </c>
    </row>
    <row r="142" spans="2:2" x14ac:dyDescent="0.75">
      <c r="B142" s="14" t="str">
        <f>IF('Subj-ConceptMap-1'!S137=0,"//---END",'Subj-ConceptMap-1'!S137)</f>
        <v>* group[=].element[=].target.code = #Patient.contact</v>
      </c>
    </row>
    <row r="143" spans="2:2" x14ac:dyDescent="0.75">
      <c r="B143" s="14" t="str">
        <f>IF('Subj-ConceptMap-1'!S138=0,"//---END",'Subj-ConceptMap-1'!S138)</f>
        <v>* group[=].element[=].target.display = ##34###34#</v>
      </c>
    </row>
    <row r="144" spans="2:2" x14ac:dyDescent="0.75">
      <c r="B144" s="14" t="str">
        <f>IF('Subj-ConceptMap-1'!S139=0,"//---END",'Subj-ConceptMap-1'!S139)</f>
        <v>* group[=].element[=].target.equivalence = #equivalent</v>
      </c>
    </row>
    <row r="145" spans="2:2" x14ac:dyDescent="0.75">
      <c r="B145" s="14" t="str">
        <f>IF('Subj-ConceptMap-1'!S140=0,"//---END",'Subj-ConceptMap-1'!S140)</f>
        <v/>
      </c>
    </row>
    <row r="146" spans="2:2" x14ac:dyDescent="0.75">
      <c r="B146" s="14" t="str">
        <f>IF('Subj-ConceptMap-1'!S141=0,"//---END",'Subj-ConceptMap-1'!S141)</f>
        <v>* group[=].element[+].code = #Subject.contactPerson.role</v>
      </c>
    </row>
    <row r="147" spans="2:2" x14ac:dyDescent="0.75">
      <c r="B147" s="14" t="str">
        <f>IF('Subj-ConceptMap-1'!S142=0,"//---END",'Subj-ConceptMap-1'!S142)</f>
        <v>* group[=].element[=].display = ##34#A.1.2.3.1 Role of that person##34#</v>
      </c>
    </row>
    <row r="148" spans="2:2" x14ac:dyDescent="0.75">
      <c r="B148" s="14" t="str">
        <f>IF('Subj-ConceptMap-1'!S143=0,"//---END",'Subj-ConceptMap-1'!S143)</f>
        <v>* group[=].element[=].target.code = #Patient.contact.relationship</v>
      </c>
    </row>
    <row r="149" spans="2:2" x14ac:dyDescent="0.75">
      <c r="B149" s="14" t="str">
        <f>IF('Subj-ConceptMap-1'!S144=0,"//---END",'Subj-ConceptMap-1'!S144)</f>
        <v>* group[=].element[=].target.display = ##34###34#</v>
      </c>
    </row>
    <row r="150" spans="2:2" x14ac:dyDescent="0.75">
      <c r="B150" s="14" t="str">
        <f>IF('Subj-ConceptMap-1'!S145=0,"//---END",'Subj-ConceptMap-1'!S145)</f>
        <v>* group[=].element[=].target.equivalence = #relatedto</v>
      </c>
    </row>
    <row r="151" spans="2:2" x14ac:dyDescent="0.75">
      <c r="B151" s="14" t="str">
        <f>IF('Subj-ConceptMap-1'!S146=0,"//---END",'Subj-ConceptMap-1'!S146)</f>
        <v>* group[=].element[=].target.comment = ##34#To be checked##34#</v>
      </c>
    </row>
    <row r="152" spans="2:2" x14ac:dyDescent="0.75">
      <c r="B152" s="14" t="str">
        <f>IF('Subj-ConceptMap-1'!S147=0,"//---END",'Subj-ConceptMap-1'!S147)</f>
        <v>* group[=].element[+].code = #Subject.contactPerson.relationship</v>
      </c>
    </row>
    <row r="153" spans="2:2" x14ac:dyDescent="0.75">
      <c r="B153" s="14" t="str">
        <f>IF('Subj-ConceptMap-1'!S148=0,"//---END",'Subj-ConceptMap-1'!S148)</f>
        <v>* group[=].element[=].display = ##34#A.1.2.3.2 Relationship level##34#</v>
      </c>
    </row>
    <row r="154" spans="2:2" x14ac:dyDescent="0.75">
      <c r="B154" s="14" t="str">
        <f>IF('Subj-ConceptMap-1'!S149=0,"//---END",'Subj-ConceptMap-1'!S149)</f>
        <v>* group[=].element[=].target.code = #Patient.contact.relationship</v>
      </c>
    </row>
    <row r="155" spans="2:2" x14ac:dyDescent="0.75">
      <c r="B155" s="14" t="str">
        <f>IF('Subj-ConceptMap-1'!S150=0,"//---END",'Subj-ConceptMap-1'!S150)</f>
        <v>* group[=].element[=].target.display = ##34###34#</v>
      </c>
    </row>
    <row r="156" spans="2:2" x14ac:dyDescent="0.75">
      <c r="B156" s="14" t="str">
        <f>IF('Subj-ConceptMap-1'!S151=0,"//---END",'Subj-ConceptMap-1'!S151)</f>
        <v>* group[=].element[=].target.equivalence = #equivalent</v>
      </c>
    </row>
    <row r="157" spans="2:2" x14ac:dyDescent="0.75">
      <c r="B157" s="14" t="str">
        <f>IF('Subj-ConceptMap-1'!S152=0,"//---END",'Subj-ConceptMap-1'!S152)</f>
        <v/>
      </c>
    </row>
    <row r="158" spans="2:2" x14ac:dyDescent="0.75">
      <c r="B158" s="14" t="str">
        <f>IF('Subj-ConceptMap-1'!S153=0,"//---END",'Subj-ConceptMap-1'!S153)</f>
        <v>* group[=].element[+].code = #Subject.contactPerson.givenName</v>
      </c>
    </row>
    <row r="159" spans="2:2" x14ac:dyDescent="0.75">
      <c r="B159" s="14" t="str">
        <f>IF('Subj-ConceptMap-1'!S154=0,"//---END",'Subj-ConceptMap-1'!S154)</f>
        <v>* group[=].element[=].display = ##34#A.1.2.3.3 Given name##34#</v>
      </c>
    </row>
    <row r="160" spans="2:2" x14ac:dyDescent="0.75">
      <c r="B160" s="14" t="str">
        <f>IF('Subj-ConceptMap-1'!S155=0,"//---END",'Subj-ConceptMap-1'!S155)</f>
        <v>* group[=].element[=].target.code = #Patient.contact.name.given</v>
      </c>
    </row>
    <row r="161" spans="2:2" x14ac:dyDescent="0.75">
      <c r="B161" s="14" t="str">
        <f>IF('Subj-ConceptMap-1'!S156=0,"//---END",'Subj-ConceptMap-1'!S156)</f>
        <v>* group[=].element[=].target.display = ##34###34#</v>
      </c>
    </row>
    <row r="162" spans="2:2" x14ac:dyDescent="0.75">
      <c r="B162" s="14" t="str">
        <f>IF('Subj-ConceptMap-1'!S157=0,"//---END",'Subj-ConceptMap-1'!S157)</f>
        <v>* group[=].element[=].target.equivalence = #equivalent</v>
      </c>
    </row>
    <row r="163" spans="2:2" x14ac:dyDescent="0.75">
      <c r="B163" s="14" t="str">
        <f>IF('Subj-ConceptMap-1'!S158=0,"//---END",'Subj-ConceptMap-1'!S158)</f>
        <v/>
      </c>
    </row>
    <row r="164" spans="2:2" x14ac:dyDescent="0.75">
      <c r="B164" s="14" t="str">
        <f>IF('Subj-ConceptMap-1'!S159=0,"//---END",'Subj-ConceptMap-1'!S159)</f>
        <v>* group[=].element[+].code = #Subject.contactPerson.familyName</v>
      </c>
    </row>
    <row r="165" spans="2:2" x14ac:dyDescent="0.75">
      <c r="B165" s="14" t="str">
        <f>IF('Subj-ConceptMap-1'!S160=0,"//---END",'Subj-ConceptMap-1'!S160)</f>
        <v>* group[=].element[=].display = ##34#A.1.2.3.4 Family name/surname##34#</v>
      </c>
    </row>
    <row r="166" spans="2:2" x14ac:dyDescent="0.75">
      <c r="B166" s="14" t="str">
        <f>IF('Subj-ConceptMap-1'!S161=0,"//---END",'Subj-ConceptMap-1'!S161)</f>
        <v>* group[=].element[=].target.code = #Patient.contact.name.family</v>
      </c>
    </row>
    <row r="167" spans="2:2" x14ac:dyDescent="0.75">
      <c r="B167" s="14" t="str">
        <f>IF('Subj-ConceptMap-1'!S162=0,"//---END",'Subj-ConceptMap-1'!S162)</f>
        <v>* group[=].element[=].target.display = ##34###34#</v>
      </c>
    </row>
    <row r="168" spans="2:2" x14ac:dyDescent="0.75">
      <c r="B168" s="14" t="str">
        <f>IF('Subj-ConceptMap-1'!S163=0,"//---END",'Subj-ConceptMap-1'!S163)</f>
        <v>* group[=].element[=].target.equivalence = #equivalent</v>
      </c>
    </row>
    <row r="169" spans="2:2" x14ac:dyDescent="0.75">
      <c r="B169" s="14" t="str">
        <f>IF('Subj-ConceptMap-1'!S164=0,"//---END",'Subj-ConceptMap-1'!S164)</f>
        <v/>
      </c>
    </row>
    <row r="170" spans="2:2" x14ac:dyDescent="0.75">
      <c r="B170" s="14" t="str">
        <f>IF('Subj-ConceptMap-1'!S165=0,"//---END",'Subj-ConceptMap-1'!S165)</f>
        <v>* group[=].element[+].code = #Subject.contactPerson.telephone</v>
      </c>
    </row>
    <row r="171" spans="2:2" x14ac:dyDescent="0.75">
      <c r="B171" s="14" t="str">
        <f>IF('Subj-ConceptMap-1'!S166=0,"//---END",'Subj-ConceptMap-1'!S166)</f>
        <v>* group[=].element[=].display = ##34#A.1.2.3.5 Telephone no.##34#</v>
      </c>
    </row>
    <row r="172" spans="2:2" x14ac:dyDescent="0.75">
      <c r="B172" s="14" t="str">
        <f>IF('Subj-ConceptMap-1'!S167=0,"//---END",'Subj-ConceptMap-1'!S167)</f>
        <v>* group[=].element[=].target.code = #Patient.contact.telecom</v>
      </c>
    </row>
    <row r="173" spans="2:2" x14ac:dyDescent="0.75">
      <c r="B173" s="14" t="str">
        <f>IF('Subj-ConceptMap-1'!S168=0,"//---END",'Subj-ConceptMap-1'!S168)</f>
        <v>* group[=].element[=].target.display = ##34###34#</v>
      </c>
    </row>
    <row r="174" spans="2:2" x14ac:dyDescent="0.75">
      <c r="B174" s="14" t="str">
        <f>IF('Subj-ConceptMap-1'!S169=0,"//---END",'Subj-ConceptMap-1'!S169)</f>
        <v>* group[=].element[=].target.equivalence = #equivalent</v>
      </c>
    </row>
    <row r="175" spans="2:2" x14ac:dyDescent="0.75">
      <c r="B175" s="14" t="str">
        <f>IF('Subj-ConceptMap-1'!S170=0,"//---END",'Subj-ConceptMap-1'!S170)</f>
        <v/>
      </c>
    </row>
    <row r="176" spans="2:2" x14ac:dyDescent="0.75">
      <c r="B176" s="14" t="str">
        <f>IF('Subj-ConceptMap-1'!S171=0,"//---END",'Subj-ConceptMap-1'!S171)</f>
        <v>* group[=].element[+].code = #Subject.contactPerson.email</v>
      </c>
    </row>
    <row r="177" spans="2:2" x14ac:dyDescent="0.75">
      <c r="B177" s="14" t="str">
        <f>IF('Subj-ConceptMap-1'!S172=0,"//---END",'Subj-ConceptMap-1'!S172)</f>
        <v>* group[=].element[=].display = ##34#A.1.2.3.6 Email##34#</v>
      </c>
    </row>
    <row r="178" spans="2:2" x14ac:dyDescent="0.75">
      <c r="B178" s="14" t="str">
        <f>IF('Subj-ConceptMap-1'!S173=0,"//---END",'Subj-ConceptMap-1'!S173)</f>
        <v>* group[=].element[=].target.code = #Patient.contact.telecom</v>
      </c>
    </row>
    <row r="179" spans="2:2" x14ac:dyDescent="0.75">
      <c r="B179" s="14" t="str">
        <f>IF('Subj-ConceptMap-1'!S174=0,"//---END",'Subj-ConceptMap-1'!S174)</f>
        <v>* group[=].element[=].target.display = ##34###34#</v>
      </c>
    </row>
    <row r="180" spans="2:2" x14ac:dyDescent="0.75">
      <c r="B180" s="14" t="str">
        <f>IF('Subj-ConceptMap-1'!S175=0,"//---END",'Subj-ConceptMap-1'!S175)</f>
        <v>* group[=].element[=].target.equivalence = #equivalent</v>
      </c>
    </row>
    <row r="181" spans="2:2" x14ac:dyDescent="0.75">
      <c r="B181" s="14" t="str">
        <f>IF('Subj-ConceptMap-1'!S176=0,"//---END",'Subj-ConceptMap-1'!S176)</f>
        <v/>
      </c>
    </row>
    <row r="182" spans="2:2" x14ac:dyDescent="0.75">
      <c r="B182" s="14" t="str">
        <f>IF('Subj-ConceptMap-1'!S177=0,"//---END",'Subj-ConceptMap-1'!S177)</f>
        <v>//---END</v>
      </c>
    </row>
    <row r="183" spans="2:2" x14ac:dyDescent="0.75">
      <c r="B183" s="14" t="str">
        <f>IF('Subj-ConceptMap-1'!S178=0,"//---END",'Subj-ConceptMap-1'!S178)</f>
        <v>//---END</v>
      </c>
    </row>
    <row r="184" spans="2:2" x14ac:dyDescent="0.75">
      <c r="B184" s="14" t="str">
        <f>IF('Subj-ConceptMap-1'!S179=0,"//---END",'Subj-ConceptMap-1'!S179)</f>
        <v>//---END</v>
      </c>
    </row>
    <row r="185" spans="2:2" x14ac:dyDescent="0.75">
      <c r="B185" s="14" t="str">
        <f>IF('Subj-ConceptMap-1'!S180=0,"//---END",'Subj-ConceptMap-1'!S180)</f>
        <v>//---END</v>
      </c>
    </row>
    <row r="186" spans="2:2" x14ac:dyDescent="0.75">
      <c r="B186" s="14" t="str">
        <f>IF('Subj-ConceptMap-1'!S181=0,"//---END",'Subj-ConceptMap-1'!S181)</f>
        <v>//---END</v>
      </c>
    </row>
    <row r="187" spans="2:2" x14ac:dyDescent="0.75">
      <c r="B187" s="14" t="str">
        <f>IF('Subj-ConceptMap-1'!S182=0,"//---END",'Subj-ConceptMap-1'!S182)</f>
        <v>//---END</v>
      </c>
    </row>
    <row r="188" spans="2:2" x14ac:dyDescent="0.75">
      <c r="B188" s="14" t="str">
        <f>IF('Subj-ConceptMap-1'!S183=0,"//---END",'Subj-ConceptMap-1'!S183)</f>
        <v>//---END</v>
      </c>
    </row>
    <row r="190" spans="2:2" x14ac:dyDescent="0.75">
      <c r="B190" s="65"/>
    </row>
    <row r="191" spans="2:2" x14ac:dyDescent="0.75">
      <c r="B191" s="67" t="str">
        <f>"* group[+].source = ##34#"&amp;'Subj-ConceptMap-2'!E6&amp;"##34#"</f>
        <v>* group[+].source = ##34#http://hl7.eu/fhir/ig/xpandh/ps/StructureDefinition/Subject##34#</v>
      </c>
    </row>
    <row r="192" spans="2:2" x14ac:dyDescent="0.75">
      <c r="B192" s="67" t="str">
        <f>"* group[=].target = ##34#"&amp;'Subj-ConceptMap-2'!E7&amp;"##34#"</f>
        <v>* group[=].target = ##34#http://hl7.eu/fhir/ig/xpandh/ps/StructureDefinition/Condition-ps-xpandh##34#</v>
      </c>
    </row>
    <row r="193" spans="2:2" x14ac:dyDescent="0.75">
      <c r="B193" s="69"/>
    </row>
    <row r="194" spans="2:2" x14ac:dyDescent="0.75">
      <c r="B194" t="str">
        <f>IF('Subj-ConceptMap-2'!S15=0,"//---END",'Subj-ConceptMap-2'!S15)</f>
        <v>* group[=].element[+].code = #Subject.identification</v>
      </c>
    </row>
    <row r="195" spans="2:2" x14ac:dyDescent="0.75">
      <c r="B195" t="str">
        <f>IF('Subj-ConceptMap-2'!S16=0,"//---END",'Subj-ConceptMap-2'!S16)</f>
        <v>* group[=].element[=].display = ##34#A.1.1 Identification of the patient/subject##34#</v>
      </c>
    </row>
    <row r="196" spans="2:2" x14ac:dyDescent="0.75">
      <c r="B196" t="str">
        <f>IF('Subj-ConceptMap-2'!S17=0,"//---END",'Subj-ConceptMap-2'!S17)</f>
        <v>* group[=].element[=].target.code = #Condition.subject</v>
      </c>
    </row>
    <row r="197" spans="2:2" x14ac:dyDescent="0.75">
      <c r="B197" t="str">
        <f>IF('Subj-ConceptMap-2'!S18=0,"//---END",'Subj-ConceptMap-2'!S18)</f>
        <v>* group[=].element[=].target.display = ##34###34#</v>
      </c>
    </row>
    <row r="198" spans="2:2" x14ac:dyDescent="0.75">
      <c r="B198" t="str">
        <f>IF('Subj-ConceptMap-2'!S19=0,"//---END",'Subj-ConceptMap-2'!S19)</f>
        <v>* group[=].element[=].target.equivalence = #relatedto</v>
      </c>
    </row>
    <row r="199" spans="2:2" x14ac:dyDescent="0.75">
      <c r="B199" t="str">
        <f>IF('Subj-ConceptMap-2'!S20=0,"//---END",'Subj-ConceptMap-2'!S20)</f>
        <v/>
      </c>
    </row>
    <row r="200" spans="2:2" x14ac:dyDescent="0.75">
      <c r="B200" t="str">
        <f>IF('Subj-ConceptMap-2'!S21=0,"//---END",'Subj-ConceptMap-2'!S21)</f>
        <v>* group[=].element[+].code = #Subject.hpToContact</v>
      </c>
    </row>
    <row r="201" spans="2:2" x14ac:dyDescent="0.75">
      <c r="B201" t="str">
        <f>IF('Subj-ConceptMap-2'!S22=0,"//---END",'Subj-ConceptMap-2'!S22)</f>
        <v>* group[=].element[=].display = ##34#A.1.2.2 Preferred HP to contact##34#</v>
      </c>
    </row>
    <row r="202" spans="2:2" x14ac:dyDescent="0.75">
      <c r="B202" t="str">
        <f>IF('Subj-ConceptMap-2'!S23=0,"//---END",'Subj-ConceptMap-2'!S23)</f>
        <v>* group[=].element[=].target.code = #Condition.extension:participantR5.actor</v>
      </c>
    </row>
    <row r="203" spans="2:2" x14ac:dyDescent="0.75">
      <c r="B203" t="str">
        <f>IF('Subj-ConceptMap-2'!S24=0,"//---END",'Subj-ConceptMap-2'!S24)</f>
        <v>* group[=].element[=].target.display = ##34###34#</v>
      </c>
    </row>
    <row r="204" spans="2:2" x14ac:dyDescent="0.75">
      <c r="B204" t="str">
        <f>IF('Subj-ConceptMap-2'!S25=0,"//---END",'Subj-ConceptMap-2'!S25)</f>
        <v>* group[=].element[=].target.equivalence = #relatedto</v>
      </c>
    </row>
    <row r="205" spans="2:2" x14ac:dyDescent="0.75">
      <c r="B205" t="str">
        <f>IF('Subj-ConceptMap-2'!S26=0,"//---END",'Subj-ConceptMap-2'!S26)</f>
        <v>* group[=].element[=].target.comment = ##34#where extension:participantR5.function = http://terminology.hl7.org/CodeSystem/v2-0131#CP Contact Person AND extension:participantR5.actor of type PracticionerRole##34#</v>
      </c>
    </row>
    <row r="206" spans="2:2" x14ac:dyDescent="0.75">
      <c r="B206" t="str">
        <f>IF('Subj-ConceptMap-2'!S27=0,"//---END",'Subj-ConceptMap-2'!S27)</f>
        <v>* group[=].element[+].code = #Subject.hpToContact.name</v>
      </c>
    </row>
    <row r="207" spans="2:2" x14ac:dyDescent="0.75">
      <c r="B207" t="str">
        <f>IF('Subj-ConceptMap-2'!S28=0,"//---END",'Subj-ConceptMap-2'!S28)</f>
        <v>* group[=].element[=].display = ##34#A.1.2.2.1 Name of the HP##34#</v>
      </c>
    </row>
    <row r="208" spans="2:2" x14ac:dyDescent="0.75">
      <c r="B208" t="str">
        <f>IF('Subj-ConceptMap-2'!S29=0,"//---END",'Subj-ConceptMap-2'!S29)</f>
        <v>* group[=].element[=].target.code = #Condition.extension:participantR5.actor.practitioner.name</v>
      </c>
    </row>
    <row r="209" spans="2:2" x14ac:dyDescent="0.75">
      <c r="B209" t="str">
        <f>IF('Subj-ConceptMap-2'!S30=0,"//---END",'Subj-ConceptMap-2'!S30)</f>
        <v>* group[=].element[=].target.display = ##34###34#</v>
      </c>
    </row>
    <row r="210" spans="2:2" x14ac:dyDescent="0.75">
      <c r="B210" t="str">
        <f>IF('Subj-ConceptMap-2'!S31=0,"//---END",'Subj-ConceptMap-2'!S31)</f>
        <v>* group[=].element[=].target.equivalence = #relatedto</v>
      </c>
    </row>
    <row r="211" spans="2:2" x14ac:dyDescent="0.75">
      <c r="B211" t="str">
        <f>IF('Subj-ConceptMap-2'!S32=0,"//---END",'Subj-ConceptMap-2'!S32)</f>
        <v>* group[=].element[=].target.comment = ##34#where extension:participantR5.function = http://terminology.hl7.org/CodeSystem/v2-0131#CP Contact Person AND extension:participantR5.actor of type PracticionerRole##34#</v>
      </c>
    </row>
    <row r="212" spans="2:2" x14ac:dyDescent="0.75">
      <c r="B212" t="str">
        <f>IF('Subj-ConceptMap-2'!S33=0,"//---END",'Subj-ConceptMap-2'!S33)</f>
        <v>* group[=].element[+].code = #Subject.hpToContact.role</v>
      </c>
    </row>
    <row r="213" spans="2:2" x14ac:dyDescent="0.75">
      <c r="B213" t="str">
        <f>IF('Subj-ConceptMap-2'!S34=0,"//---END",'Subj-ConceptMap-2'!S34)</f>
        <v>* group[=].element[=].display = ##34#A.1.2.2.2 Role of the HP##34#</v>
      </c>
    </row>
    <row r="214" spans="2:2" x14ac:dyDescent="0.75">
      <c r="B214" t="str">
        <f>IF('Subj-ConceptMap-2'!S35=0,"//---END",'Subj-ConceptMap-2'!S35)</f>
        <v>* group[=].element[=].target.code = #Condition.extension:participantR5.actor.code</v>
      </c>
    </row>
    <row r="215" spans="2:2" x14ac:dyDescent="0.75">
      <c r="B215" t="str">
        <f>IF('Subj-ConceptMap-2'!S36=0,"//---END",'Subj-ConceptMap-2'!S36)</f>
        <v>* group[=].element[=].target.display = ##34###34#</v>
      </c>
    </row>
    <row r="216" spans="2:2" x14ac:dyDescent="0.75">
      <c r="B216" t="str">
        <f>IF('Subj-ConceptMap-2'!S37=0,"//---END",'Subj-ConceptMap-2'!S37)</f>
        <v>* group[=].element[=].target.equivalence = #relatedto</v>
      </c>
    </row>
    <row r="217" spans="2:2" x14ac:dyDescent="0.75">
      <c r="B217" t="str">
        <f>IF('Subj-ConceptMap-2'!S38=0,"//---END",'Subj-ConceptMap-2'!S38)</f>
        <v>* group[=].element[=].target.comment = ##34#where extension:participantR5.function = http://terminology.hl7.org/CodeSystem/v2-0131#CP Contact Person AND extension:participantR5.actor of type PracticionerRole##34#</v>
      </c>
    </row>
    <row r="218" spans="2:2" x14ac:dyDescent="0.75">
      <c r="B218" t="str">
        <f>IF('Subj-ConceptMap-2'!S39=0,"//---END",'Subj-ConceptMap-2'!S39)</f>
        <v>* group[=].element[+].code = #Subject.hpToContact.organization</v>
      </c>
    </row>
    <row r="219" spans="2:2" x14ac:dyDescent="0.75">
      <c r="B219" t="str">
        <f>IF('Subj-ConceptMap-2'!S40=0,"//---END",'Subj-ConceptMap-2'!S40)</f>
        <v>* group[=].element[=].display = ##34#A.1.2.2.3 HP Organisation##34#</v>
      </c>
    </row>
    <row r="220" spans="2:2" x14ac:dyDescent="0.75">
      <c r="B220" t="str">
        <f>IF('Subj-ConceptMap-2'!S41=0,"//---END",'Subj-ConceptMap-2'!S41)</f>
        <v>* group[=].element[=].target.code = #Condition.extension:participantR5.actor.organization</v>
      </c>
    </row>
    <row r="221" spans="2:2" x14ac:dyDescent="0.75">
      <c r="B221" t="str">
        <f>IF('Subj-ConceptMap-2'!S42=0,"//---END",'Subj-ConceptMap-2'!S42)</f>
        <v>* group[=].element[=].target.display = ##34###34#</v>
      </c>
    </row>
    <row r="222" spans="2:2" x14ac:dyDescent="0.75">
      <c r="B222" t="str">
        <f>IF('Subj-ConceptMap-2'!S43=0,"//---END",'Subj-ConceptMap-2'!S43)</f>
        <v>* group[=].element[=].target.equivalence = #relatedto</v>
      </c>
    </row>
    <row r="223" spans="2:2" x14ac:dyDescent="0.75">
      <c r="B223" t="str">
        <f>IF('Subj-ConceptMap-2'!S44=0,"//---END",'Subj-ConceptMap-2'!S44)</f>
        <v>* group[=].element[=].target.comment = ##34#where extension:participantR5.function = http://terminology.hl7.org/CodeSystem/v2-0131#CP Contact Person AND extension:participantR5.actor of type PracticionerRole##34#</v>
      </c>
    </row>
    <row r="224" spans="2:2" x14ac:dyDescent="0.75">
      <c r="B224" t="str">
        <f>IF('Subj-ConceptMap-2'!S45=0,"//---END",'Subj-ConceptMap-2'!S45)</f>
        <v>* group[=].element[+].code = #Subject.hpToContact.telephone</v>
      </c>
    </row>
    <row r="225" spans="2:2" x14ac:dyDescent="0.75">
      <c r="B225" t="str">
        <f>IF('Subj-ConceptMap-2'!S46=0,"//---END",'Subj-ConceptMap-2'!S46)</f>
        <v>* group[=].element[=].display = ##34#A.1.2.2.4 Telephone no.##34#</v>
      </c>
    </row>
    <row r="226" spans="2:2" x14ac:dyDescent="0.75">
      <c r="B226" t="str">
        <f>IF('Subj-ConceptMap-2'!S47=0,"//---END",'Subj-ConceptMap-2'!S47)</f>
        <v>* group[=].element[=].target.code = #Condition.extension:participantR5.actor.telecom</v>
      </c>
    </row>
    <row r="227" spans="2:2" x14ac:dyDescent="0.75">
      <c r="B227" t="str">
        <f>IF('Subj-ConceptMap-2'!S48=0,"//---END",'Subj-ConceptMap-2'!S48)</f>
        <v>* group[=].element[=].target.display = ##34###34#</v>
      </c>
    </row>
    <row r="228" spans="2:2" x14ac:dyDescent="0.75">
      <c r="B228" t="str">
        <f>IF('Subj-ConceptMap-2'!S49=0,"//---END",'Subj-ConceptMap-2'!S49)</f>
        <v>* group[=].element[=].target.equivalence = #relatedto</v>
      </c>
    </row>
    <row r="229" spans="2:2" x14ac:dyDescent="0.75">
      <c r="B229" t="str">
        <f>IF('Subj-ConceptMap-2'!S50=0,"//---END",'Subj-ConceptMap-2'!S50)</f>
        <v>* group[=].element[=].target.comment = ##34#where extension:participantR5.function = http://terminology.hl7.org/CodeSystem/v2-0131#CP Contact Person AND extension:participantR5.actor of type PracticionerRole##34#</v>
      </c>
    </row>
    <row r="230" spans="2:2" x14ac:dyDescent="0.75">
      <c r="B230" t="str">
        <f>IF('Subj-ConceptMap-2'!S51=0,"//---END",'Subj-ConceptMap-2'!S51)</f>
        <v>* group[=].element[+].code = #Subject.hpToContact.email</v>
      </c>
    </row>
    <row r="231" spans="2:2" x14ac:dyDescent="0.75">
      <c r="B231" t="str">
        <f>IF('Subj-ConceptMap-2'!S52=0,"//---END",'Subj-ConceptMap-2'!S52)</f>
        <v>* group[=].element[=].display = ##34#A.1.2.2.5 Email##34#</v>
      </c>
    </row>
    <row r="232" spans="2:2" x14ac:dyDescent="0.75">
      <c r="B232" t="str">
        <f>IF('Subj-ConceptMap-2'!S53=0,"//---END",'Subj-ConceptMap-2'!S53)</f>
        <v>* group[=].element[=].target.code = #Condition.extension:participantR5.actor.telecom</v>
      </c>
    </row>
    <row r="233" spans="2:2" x14ac:dyDescent="0.75">
      <c r="B233" t="str">
        <f>IF('Subj-ConceptMap-2'!S54=0,"//---END",'Subj-ConceptMap-2'!S54)</f>
        <v>* group[=].element[=].target.display = ##34###34#</v>
      </c>
    </row>
    <row r="234" spans="2:2" x14ac:dyDescent="0.75">
      <c r="B234" t="str">
        <f>IF('Subj-ConceptMap-2'!S55=0,"//---END",'Subj-ConceptMap-2'!S55)</f>
        <v>* group[=].element[=].target.equivalence = #relatedto</v>
      </c>
    </row>
    <row r="235" spans="2:2" x14ac:dyDescent="0.75">
      <c r="B235" t="str">
        <f>IF('Subj-ConceptMap-2'!S56=0,"//---END",'Subj-ConceptMap-2'!S56)</f>
        <v>* group[=].element[=].target.comment = ##34#where extension:participantR5.function = http://terminology.hl7.org/CodeSystem/v2-0131#CP Contact Person AND extension:participantR5.actor of type PracticionerRole##34#</v>
      </c>
    </row>
    <row r="236" spans="2:2" x14ac:dyDescent="0.75">
      <c r="B236" t="str">
        <f>IF('Subj-ConceptMap-2'!S57=0,"//---END",'Subj-ConceptMap-2'!S57)</f>
        <v>* group[=].element[+].code = #Subject.hpToContact.affiliatedNetwork</v>
      </c>
    </row>
    <row r="237" spans="2:2" x14ac:dyDescent="0.75">
      <c r="B237" t="str">
        <f>IF('Subj-ConceptMap-2'!S58=0,"//---END",'Subj-ConceptMap-2'!S58)</f>
        <v>* group[=].element[=].display = ##34#A.1.2.2.6 Network affiliation##34#</v>
      </c>
    </row>
    <row r="238" spans="2:2" x14ac:dyDescent="0.75">
      <c r="B238" t="str">
        <f>IF('Subj-ConceptMap-2'!S59=0,"//---END",'Subj-ConceptMap-2'!S59)</f>
        <v>* group[=].element[=].target.code = #Condition.extension:participantR5.actor</v>
      </c>
    </row>
    <row r="239" spans="2:2" x14ac:dyDescent="0.75">
      <c r="B239" t="str">
        <f>IF('Subj-ConceptMap-2'!S60=0,"//---END",'Subj-ConceptMap-2'!S60)</f>
        <v>* group[=].element[=].target.display = ##34###34#</v>
      </c>
    </row>
    <row r="240" spans="2:2" x14ac:dyDescent="0.75">
      <c r="B240" t="str">
        <f>IF('Subj-ConceptMap-2'!S61=0,"//---END",'Subj-ConceptMap-2'!S61)</f>
        <v>* group[=].element[=].target.equivalence = #relatedto</v>
      </c>
    </row>
    <row r="241" spans="2:2" x14ac:dyDescent="0.75">
      <c r="B241" t="str">
        <f>IF('Subj-ConceptMap-2'!S62=0,"//---END",'Subj-ConceptMap-2'!S62)</f>
        <v>* group[=].element[=].target.comment = ##34#This might be described by using a CareTeam having this organization and/or this practitioner as extension:participantR5.member##34#</v>
      </c>
    </row>
    <row r="242" spans="2:2" x14ac:dyDescent="0.75">
      <c r="B242" t="str">
        <f>IF('Subj-ConceptMap-2'!S63=0,"//---END",'Subj-ConceptMap-2'!S63)</f>
        <v>* group[=].element[+].code = #Subject.hpToContact.relatedWith</v>
      </c>
    </row>
    <row r="243" spans="2:2" x14ac:dyDescent="0.75">
      <c r="B243" t="str">
        <f>IF('Subj-ConceptMap-2'!S64=0,"//---END",'Subj-ConceptMap-2'!S64)</f>
        <v>* group[=].element[=].display = ##34#A.1.2.2.7 Related with##34#</v>
      </c>
    </row>
    <row r="244" spans="2:2" x14ac:dyDescent="0.75">
      <c r="B244" t="str">
        <f>IF('Subj-ConceptMap-2'!S65=0,"//---END",'Subj-ConceptMap-2'!S65)</f>
        <v>* group[=].element[=].target.code = #Condition</v>
      </c>
    </row>
    <row r="245" spans="2:2" x14ac:dyDescent="0.75">
      <c r="B245" t="str">
        <f>IF('Subj-ConceptMap-2'!S66=0,"//---END",'Subj-ConceptMap-2'!S66)</f>
        <v>* group[=].element[=].target.display = ##34###34#</v>
      </c>
    </row>
    <row r="246" spans="2:2" x14ac:dyDescent="0.75">
      <c r="B246" t="str">
        <f>IF('Subj-ConceptMap-2'!S67=0,"//---END",'Subj-ConceptMap-2'!S67)</f>
        <v>* group[=].element[=].target.equivalence = #relatedto</v>
      </c>
    </row>
    <row r="247" spans="2:2" x14ac:dyDescent="0.75">
      <c r="B247" t="str">
        <f>IF('Subj-ConceptMap-2'!S68=0,"//---END",'Subj-ConceptMap-2'!S68)</f>
        <v>* group[=].element[=].target.comment = ##34#The contact is intrinsically connected with the Condition##34#</v>
      </c>
    </row>
    <row r="248" spans="2:2" x14ac:dyDescent="0.75">
      <c r="B248" t="str">
        <f>IF('Subj-ConceptMap-2'!S69=0,"//---END",'Subj-ConceptMap-2'!S69)</f>
        <v>//---END</v>
      </c>
    </row>
    <row r="249" spans="2:2" x14ac:dyDescent="0.75">
      <c r="B249" t="str">
        <f>IF('Subj-ConceptMap-2'!S70=0,"//---END",'Subj-ConceptMap-2'!S70)</f>
        <v>//---END</v>
      </c>
    </row>
    <row r="250" spans="2:2" x14ac:dyDescent="0.75">
      <c r="B250" t="str">
        <f>IF('Subj-ConceptMap-2'!S71=0,"//---END",'Subj-ConceptMap-2'!S71)</f>
        <v>//---END</v>
      </c>
    </row>
    <row r="251" spans="2:2" x14ac:dyDescent="0.75">
      <c r="B251" t="str">
        <f>IF('Subj-ConceptMap-2'!S72=0,"//---END",'Subj-ConceptMap-2'!S72)</f>
        <v>//---END</v>
      </c>
    </row>
    <row r="252" spans="2:2" x14ac:dyDescent="0.75">
      <c r="B252" t="str">
        <f>IF('Subj-ConceptMap-2'!S73=0,"//---END",'Subj-ConceptMap-2'!S73)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391</v>
      </c>
      <c r="I4" s="24" t="str">
        <f>CONCATENATE("Logical: ",B4)</f>
        <v>Logical: PayerPsEhn</v>
      </c>
    </row>
    <row r="5" spans="1:11" x14ac:dyDescent="0.75">
      <c r="A5" s="17" t="s">
        <v>19</v>
      </c>
      <c r="B5" s="33" t="s">
        <v>135</v>
      </c>
      <c r="I5" s="24" t="str">
        <f>CONCATENATE("Id: ",B5)</f>
        <v>Id: Payer</v>
      </c>
    </row>
    <row r="6" spans="1:11" x14ac:dyDescent="0.75">
      <c r="A6" s="17" t="s">
        <v>13</v>
      </c>
      <c r="B6" s="18" t="s">
        <v>286</v>
      </c>
      <c r="I6" s="25" t="str">
        <f>CONCATENATE("Title: ##34#",B6,"##34#")</f>
        <v>Title: ##34#A.1.3 - Health insurance and payment information##34#</v>
      </c>
    </row>
    <row r="7" spans="1:11" ht="15.5" customHeight="1" thickBot="1" x14ac:dyDescent="0.9">
      <c r="A7" s="19" t="s">
        <v>5</v>
      </c>
      <c r="B7" s="20" t="s">
        <v>282</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126</v>
      </c>
      <c r="C8" t="s">
        <v>122</v>
      </c>
      <c r="D8" s="14" t="s">
        <v>146</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130</v>
      </c>
      <c r="C9" t="s">
        <v>123</v>
      </c>
      <c r="D9" s="14" t="s">
        <v>127</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131</v>
      </c>
      <c r="C10" t="s">
        <v>124</v>
      </c>
      <c r="D10" s="14" t="s">
        <v>128</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132</v>
      </c>
      <c r="C11" t="s">
        <v>125</v>
      </c>
      <c r="D11" s="14" t="s">
        <v>129</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70" t="s">
        <v>120</v>
      </c>
      <c r="D23" s="152"/>
      <c r="E23" s="152"/>
      <c r="F23" s="153"/>
      <c r="I23"/>
    </row>
    <row r="24" spans="2:9" ht="400.75" thickBot="1" x14ac:dyDescent="0.9">
      <c r="B24" t="str">
        <f t="shared" si="1"/>
        <v>A.1.3.1 Health insurance information</v>
      </c>
      <c r="C24" s="35" t="s">
        <v>60</v>
      </c>
      <c r="D24" s="38" t="s">
        <v>61</v>
      </c>
      <c r="E24" s="36" t="s">
        <v>147</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B7" sqref="B7"/>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133</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134</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432</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171</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176</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177</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172</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173</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175</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174</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48" t="s">
        <v>433</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116</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5" t="s">
        <v>903</v>
      </c>
      <c r="F3" s="164"/>
      <c r="G3" s="164"/>
    </row>
    <row r="4" spans="1:19" x14ac:dyDescent="0.75">
      <c r="B4" s="61" t="s">
        <v>19</v>
      </c>
      <c r="C4" s="47" t="s">
        <v>517</v>
      </c>
      <c r="D4" s="61" t="s">
        <v>209</v>
      </c>
      <c r="E4" s="165" t="s">
        <v>901</v>
      </c>
      <c r="F4" s="164"/>
      <c r="G4" s="164"/>
    </row>
    <row r="5" spans="1:19" x14ac:dyDescent="0.75">
      <c r="B5" s="61" t="s">
        <v>13</v>
      </c>
      <c r="C5" s="10" t="s">
        <v>224</v>
      </c>
      <c r="D5" s="61"/>
      <c r="E5" s="10"/>
    </row>
    <row r="6" spans="1:19" x14ac:dyDescent="0.75">
      <c r="B6" s="61" t="s">
        <v>35</v>
      </c>
      <c r="C6" s="60" t="s">
        <v>900</v>
      </c>
      <c r="D6" s="61" t="s">
        <v>206</v>
      </c>
      <c r="E6" s="165" t="s">
        <v>903</v>
      </c>
      <c r="F6" s="164"/>
      <c r="G6" s="164"/>
    </row>
    <row r="7" spans="1:19" x14ac:dyDescent="0.75">
      <c r="B7" s="61" t="s">
        <v>18</v>
      </c>
      <c r="C7" s="68" t="s">
        <v>540</v>
      </c>
      <c r="D7" s="61" t="s">
        <v>207</v>
      </c>
      <c r="E7" s="165" t="s">
        <v>904</v>
      </c>
      <c r="F7" s="164"/>
      <c r="G7" s="164"/>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238</v>
      </c>
      <c r="E14" s="8"/>
      <c r="F14" s="9"/>
      <c r="G14" s="9" t="s">
        <v>250</v>
      </c>
      <c r="I14" s="14"/>
      <c r="J14" s="9"/>
      <c r="K14" s="9"/>
      <c r="L14" s="9"/>
      <c r="M14" s="59"/>
      <c r="N14" s="62"/>
    </row>
    <row r="15" spans="1:19" ht="73.75" x14ac:dyDescent="0.75">
      <c r="A15" s="22"/>
      <c r="B15" s="9" t="str">
        <f>'A1.3 Payer'!B8</f>
        <v>insurance</v>
      </c>
      <c r="C15" s="9" t="str">
        <f>'A1.3 Payer'!C8</f>
        <v>A.1.3.1 Health insurance information</v>
      </c>
      <c r="D15" s="14" t="s">
        <v>126</v>
      </c>
      <c r="E15" s="54"/>
      <c r="F15" s="63" t="s">
        <v>193</v>
      </c>
      <c r="G15" s="9" t="s">
        <v>311</v>
      </c>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126</v>
      </c>
      <c r="E16" s="9"/>
      <c r="F16" s="63" t="s">
        <v>193</v>
      </c>
      <c r="G16" s="9" t="s">
        <v>312</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126</v>
      </c>
      <c r="E17" s="9"/>
      <c r="F17" s="63" t="s">
        <v>193</v>
      </c>
      <c r="G17" s="9" t="s">
        <v>312</v>
      </c>
      <c r="H17" s="64"/>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126</v>
      </c>
      <c r="E18" s="9"/>
      <c r="F18" s="63" t="s">
        <v>193</v>
      </c>
      <c r="G18" s="9" t="s">
        <v>312</v>
      </c>
      <c r="H18" s="64"/>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6"/>
      <c r="E19" s="9"/>
      <c r="F19" s="63"/>
      <c r="G19" s="63"/>
      <c r="H19" s="64"/>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3"/>
      <c r="G20" s="63"/>
      <c r="H20" s="64"/>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3"/>
      <c r="G21" s="63"/>
      <c r="H21" s="64"/>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3"/>
      <c r="G22" s="63"/>
      <c r="H22" s="64"/>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3"/>
      <c r="G23" s="63"/>
      <c r="H23" s="64"/>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3"/>
      <c r="G24" s="63"/>
      <c r="H24" s="64"/>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3"/>
      <c r="G29" s="63"/>
      <c r="H29" s="64"/>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3"/>
      <c r="G30" s="63"/>
      <c r="H30" s="64"/>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3"/>
      <c r="G31" s="63"/>
      <c r="H31" s="64"/>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3"/>
      <c r="G32" s="63"/>
      <c r="H32" s="64"/>
      <c r="K32" s="64"/>
      <c r="L32" s="64"/>
      <c r="M32" s="62"/>
      <c r="N32" s="62"/>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3"/>
      <c r="G33" s="63"/>
      <c r="H33" s="64"/>
      <c r="K33" s="64"/>
      <c r="L33" s="64"/>
      <c r="M33" s="62"/>
      <c r="N33" s="62"/>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3"/>
      <c r="G34" s="64"/>
      <c r="H34" s="64"/>
      <c r="J34"/>
      <c r="K34" s="64"/>
      <c r="L34" s="64"/>
      <c r="M34" s="62"/>
      <c r="N34" s="62"/>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2"/>
      <c r="F35" s="64"/>
      <c r="G35" s="64"/>
      <c r="H35" s="64"/>
      <c r="J35"/>
      <c r="K35" s="64"/>
      <c r="L35" s="64"/>
      <c r="M35" s="62"/>
      <c r="N35" s="62"/>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4"/>
      <c r="G36" s="64"/>
      <c r="H36" s="64"/>
      <c r="J36"/>
      <c r="K36" s="64"/>
      <c r="L36" s="64"/>
      <c r="M36" s="62"/>
      <c r="N36" s="62"/>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4"/>
      <c r="G37" s="64"/>
      <c r="H37" s="64"/>
      <c r="J37" s="64"/>
      <c r="K37" s="64"/>
      <c r="L37" s="64"/>
      <c r="M37" s="62"/>
      <c r="N37" s="62"/>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4"/>
      <c r="G38" s="64"/>
      <c r="H38" s="64"/>
      <c r="J38" s="64"/>
      <c r="K38" s="64"/>
      <c r="L38" s="64"/>
      <c r="M38" s="62"/>
      <c r="N38" s="62"/>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4"/>
      <c r="G39" s="64"/>
      <c r="H39" s="64"/>
      <c r="J39" s="64"/>
      <c r="K39" s="64"/>
      <c r="L39" s="64"/>
      <c r="M39" s="62"/>
      <c r="N39" s="62"/>
      <c r="P39" s="9">
        <v>25</v>
      </c>
      <c r="Q39" s="9">
        <f t="shared" si="9"/>
        <v>4</v>
      </c>
      <c r="R39" s="9">
        <f t="shared" si="10"/>
        <v>1</v>
      </c>
      <c r="S39" s="14" cm="1">
        <f t="array" ref="S39">INDEX('Payer-ConceptMap-1'!$I$15:$N$267,Q39+1,R39)</f>
        <v>0</v>
      </c>
    </row>
    <row r="40" spans="1:19" s="1" customFormat="1" x14ac:dyDescent="0.75">
      <c r="A40"/>
      <c r="B40" s="9"/>
      <c r="C40" s="9"/>
      <c r="F40" s="64"/>
      <c r="G40" s="64"/>
      <c r="H40" s="64"/>
      <c r="J40" s="64"/>
      <c r="K40" s="64"/>
      <c r="L40" s="64"/>
      <c r="M40" s="64"/>
      <c r="N40" s="64"/>
      <c r="P40" s="9">
        <v>26</v>
      </c>
      <c r="Q40" s="9">
        <f t="shared" si="9"/>
        <v>4</v>
      </c>
      <c r="R40" s="9">
        <f t="shared" si="10"/>
        <v>2</v>
      </c>
      <c r="S40" s="14" cm="1">
        <f t="array" ref="S40">INDEX('Payer-ConceptMap-1'!$I$15:$N$267,Q40+1,R40)</f>
        <v>0</v>
      </c>
    </row>
    <row r="41" spans="1:19" s="1" customFormat="1" x14ac:dyDescent="0.75">
      <c r="A41"/>
      <c r="B41" s="9"/>
      <c r="C41"/>
      <c r="F41" s="64"/>
      <c r="G41" s="64"/>
      <c r="H41" s="64"/>
      <c r="J41" s="64"/>
      <c r="K41" s="64"/>
      <c r="L41" s="64"/>
      <c r="M41" s="64"/>
      <c r="N41" s="64"/>
      <c r="P41" s="9">
        <v>27</v>
      </c>
      <c r="Q41" s="9">
        <f t="shared" si="9"/>
        <v>4</v>
      </c>
      <c r="R41" s="9">
        <f t="shared" si="10"/>
        <v>3</v>
      </c>
      <c r="S41" s="14" cm="1">
        <f t="array" ref="S41">INDEX('Payer-ConceptMap-1'!$I$15:$N$267,Q41+1,R41)</f>
        <v>0</v>
      </c>
    </row>
    <row r="42" spans="1:19" s="1" customFormat="1" x14ac:dyDescent="0.75">
      <c r="A42"/>
      <c r="B42" s="9"/>
      <c r="C42"/>
      <c r="F42" s="64"/>
      <c r="G42" s="64"/>
      <c r="H42" s="64"/>
      <c r="J42" s="64"/>
      <c r="K42" s="64"/>
      <c r="L42" s="64"/>
      <c r="M42" s="64"/>
      <c r="N42" s="64"/>
      <c r="P42" s="9">
        <v>28</v>
      </c>
      <c r="Q42" s="9">
        <f t="shared" si="9"/>
        <v>4</v>
      </c>
      <c r="R42" s="9">
        <f t="shared" si="10"/>
        <v>4</v>
      </c>
      <c r="S42" s="14" cm="1">
        <f t="array" ref="S42">INDEX('Payer-ConceptMap-1'!$I$15:$N$267,Q42+1,R42)</f>
        <v>0</v>
      </c>
    </row>
    <row r="43" spans="1:19" s="1" customFormat="1" x14ac:dyDescent="0.75">
      <c r="A43"/>
      <c r="B43" s="9"/>
      <c r="C43"/>
      <c r="F43" s="64"/>
      <c r="G43" s="64"/>
      <c r="H43" s="64"/>
      <c r="J43" s="64"/>
      <c r="K43" s="64"/>
      <c r="L43" s="64"/>
      <c r="M43" s="64"/>
      <c r="N43" s="64"/>
      <c r="P43" s="9">
        <v>29</v>
      </c>
      <c r="Q43" s="9">
        <f t="shared" si="9"/>
        <v>4</v>
      </c>
      <c r="R43" s="9">
        <f t="shared" si="10"/>
        <v>5</v>
      </c>
      <c r="S43" s="14" cm="1">
        <f t="array" ref="S43">INDEX('Payer-ConceptMap-1'!$I$15:$N$267,Q43+1,R43)</f>
        <v>0</v>
      </c>
    </row>
    <row r="44" spans="1:19" s="1" customFormat="1" x14ac:dyDescent="0.75">
      <c r="A44"/>
      <c r="B44" s="9"/>
      <c r="C44"/>
      <c r="F44" s="64"/>
      <c r="G44" s="64"/>
      <c r="H44" s="64"/>
      <c r="J44" s="64"/>
      <c r="K44" s="64"/>
      <c r="L44" s="64"/>
      <c r="M44" s="64"/>
      <c r="N44" s="64"/>
      <c r="P44" s="9">
        <v>30</v>
      </c>
      <c r="Q44" s="9">
        <f t="shared" si="9"/>
        <v>4</v>
      </c>
      <c r="R44" s="9">
        <f t="shared" si="10"/>
        <v>6</v>
      </c>
      <c r="S44" s="14" cm="1">
        <f t="array" ref="S44">INDEX('Payer-ConceptMap-1'!$I$15:$N$267,Q44+1,R44)</f>
        <v>0</v>
      </c>
    </row>
    <row r="45" spans="1:19" s="1" customFormat="1" x14ac:dyDescent="0.75">
      <c r="A45"/>
      <c r="B45" s="9"/>
      <c r="C45"/>
      <c r="F45" s="64"/>
      <c r="G45" s="64"/>
      <c r="H45" s="64"/>
      <c r="J45" s="64"/>
      <c r="K45" s="64"/>
      <c r="L45" s="64"/>
      <c r="M45" s="64"/>
      <c r="N45" s="64"/>
      <c r="P45" s="9">
        <v>31</v>
      </c>
      <c r="Q45" s="9">
        <f t="shared" si="9"/>
        <v>5</v>
      </c>
      <c r="R45" s="9">
        <f t="shared" si="10"/>
        <v>1</v>
      </c>
      <c r="S45" s="14" cm="1">
        <f t="array" ref="S45">INDEX('Payer-ConceptMap-1'!$I$15:$N$267,Q45+1,R45)</f>
        <v>0</v>
      </c>
    </row>
    <row r="46" spans="1:19" x14ac:dyDescent="0.75">
      <c r="F46" s="64"/>
      <c r="G46" s="64"/>
      <c r="H46" s="64"/>
      <c r="J46" s="64"/>
      <c r="K46" s="64"/>
      <c r="L46" s="64"/>
      <c r="M46" s="64"/>
      <c r="N46" s="64"/>
      <c r="P46" s="9">
        <v>32</v>
      </c>
      <c r="Q46" s="9">
        <f t="shared" si="9"/>
        <v>5</v>
      </c>
      <c r="R46" s="9">
        <f t="shared" si="10"/>
        <v>2</v>
      </c>
      <c r="S46" s="14" cm="1">
        <f t="array" ref="S46">INDEX('Payer-ConceptMap-1'!$I$15:$N$267,Q46+1,R46)</f>
        <v>0</v>
      </c>
    </row>
    <row r="47" spans="1:19" x14ac:dyDescent="0.75">
      <c r="F47" s="64"/>
      <c r="G47" s="64"/>
      <c r="H47" s="64"/>
      <c r="J47" s="64"/>
      <c r="K47" s="64"/>
      <c r="L47" s="64"/>
      <c r="M47" s="64"/>
      <c r="N47" s="64"/>
      <c r="P47" s="9">
        <v>33</v>
      </c>
      <c r="Q47" s="9">
        <f t="shared" si="9"/>
        <v>5</v>
      </c>
      <c r="R47" s="9">
        <f t="shared" si="10"/>
        <v>3</v>
      </c>
      <c r="S47" s="14" cm="1">
        <f t="array" ref="S47">INDEX('Payer-ConceptMap-1'!$I$15:$N$267,Q47+1,R47)</f>
        <v>0</v>
      </c>
    </row>
    <row r="48" spans="1:19" x14ac:dyDescent="0.75">
      <c r="F48" s="64"/>
      <c r="G48" s="64"/>
      <c r="H48" s="64"/>
      <c r="J48" s="64"/>
      <c r="K48" s="64"/>
      <c r="L48" s="64"/>
      <c r="M48" s="64"/>
      <c r="N48" s="64"/>
      <c r="P48" s="9">
        <v>34</v>
      </c>
      <c r="Q48" s="9">
        <f t="shared" si="9"/>
        <v>5</v>
      </c>
      <c r="R48" s="9">
        <f t="shared" si="10"/>
        <v>4</v>
      </c>
      <c r="S48" s="14" cm="1">
        <f t="array" ref="S48">INDEX('Payer-ConceptMap-1'!$I$15:$N$267,Q48+1,R48)</f>
        <v>0</v>
      </c>
    </row>
    <row r="49" spans="5:19" x14ac:dyDescent="0.75">
      <c r="F49" s="64"/>
      <c r="G49" s="64"/>
      <c r="H49" s="64"/>
      <c r="J49" s="64"/>
      <c r="K49" s="64"/>
      <c r="L49" s="64"/>
      <c r="M49" s="64"/>
      <c r="N49" s="64"/>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5" t="s">
        <v>903</v>
      </c>
      <c r="F3" s="164"/>
      <c r="G3" s="164"/>
    </row>
    <row r="4" spans="1:19" x14ac:dyDescent="0.75">
      <c r="B4" s="61" t="s">
        <v>19</v>
      </c>
      <c r="C4" s="47" t="s">
        <v>517</v>
      </c>
      <c r="D4" s="61" t="s">
        <v>209</v>
      </c>
      <c r="E4" s="165" t="s">
        <v>901</v>
      </c>
      <c r="F4" s="164"/>
      <c r="G4" s="164"/>
    </row>
    <row r="5" spans="1:19" x14ac:dyDescent="0.75">
      <c r="B5" s="61" t="s">
        <v>13</v>
      </c>
      <c r="C5" s="10" t="s">
        <v>224</v>
      </c>
      <c r="D5" s="61"/>
      <c r="E5" s="10"/>
    </row>
    <row r="6" spans="1:19" x14ac:dyDescent="0.75">
      <c r="B6" s="61" t="s">
        <v>35</v>
      </c>
      <c r="C6" s="60" t="s">
        <v>900</v>
      </c>
      <c r="D6" s="61" t="s">
        <v>206</v>
      </c>
      <c r="E6" s="165" t="s">
        <v>903</v>
      </c>
      <c r="F6" s="164"/>
      <c r="G6" s="164"/>
    </row>
    <row r="7" spans="1:19" x14ac:dyDescent="0.75">
      <c r="B7" s="61" t="s">
        <v>18</v>
      </c>
      <c r="C7" s="68" t="s">
        <v>540</v>
      </c>
      <c r="D7" s="61" t="s">
        <v>207</v>
      </c>
      <c r="E7" s="165" t="s">
        <v>313</v>
      </c>
      <c r="F7" s="164"/>
      <c r="G7" s="164"/>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171</v>
      </c>
      <c r="E14" s="8"/>
      <c r="F14" s="9"/>
      <c r="G14" s="9" t="s">
        <v>250</v>
      </c>
      <c r="I14" s="14"/>
      <c r="J14" s="9"/>
      <c r="K14" s="9"/>
      <c r="L14" s="9"/>
      <c r="M14" s="59"/>
      <c r="N14" s="62"/>
    </row>
    <row r="15" spans="1:19" ht="44.25" x14ac:dyDescent="0.75">
      <c r="A15" s="22"/>
      <c r="B15" s="9" t="str">
        <f>'A1.3 Payer'!B8</f>
        <v>insurance</v>
      </c>
      <c r="C15" s="9" t="str">
        <f>'A1.3 Payer'!C8</f>
        <v>A.1.3.1 Health insurance information</v>
      </c>
      <c r="D15" s="14"/>
      <c r="E15" s="54"/>
      <c r="F15" s="63" t="s">
        <v>193</v>
      </c>
      <c r="G15" s="63"/>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251</v>
      </c>
      <c r="E16" s="9"/>
      <c r="F16" s="63" t="s">
        <v>192</v>
      </c>
      <c r="G16" s="9" t="s">
        <v>314</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252</v>
      </c>
      <c r="E17" s="9"/>
      <c r="F17" s="63" t="s">
        <v>192</v>
      </c>
      <c r="G17" s="9" t="s">
        <v>314</v>
      </c>
      <c r="H17" s="64"/>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253</v>
      </c>
      <c r="E18" s="9"/>
      <c r="F18" s="63" t="s">
        <v>192</v>
      </c>
      <c r="G18" s="63"/>
      <c r="H18" s="64"/>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254</v>
      </c>
      <c r="E19" s="9"/>
      <c r="F19" s="63" t="s">
        <v>192</v>
      </c>
      <c r="G19" s="63"/>
      <c r="H19" s="64"/>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222</v>
      </c>
      <c r="E20" s="9"/>
      <c r="F20" s="63" t="s">
        <v>192</v>
      </c>
      <c r="G20" s="63"/>
      <c r="H20" s="64"/>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255</v>
      </c>
      <c r="E21" s="9"/>
      <c r="F21" s="63" t="s">
        <v>192</v>
      </c>
      <c r="G21" s="63"/>
      <c r="H21" s="64"/>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6"/>
      <c r="E22" s="9"/>
      <c r="F22" s="63"/>
      <c r="G22" s="63"/>
      <c r="H22" s="64"/>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3"/>
      <c r="G23" s="63"/>
      <c r="H23" s="64"/>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3"/>
      <c r="G24" s="63"/>
      <c r="H24" s="64"/>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3"/>
      <c r="G29" s="63"/>
      <c r="H29" s="64"/>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3"/>
      <c r="G30" s="63"/>
      <c r="H30" s="64"/>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3"/>
      <c r="G31" s="63"/>
      <c r="H31" s="64"/>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3"/>
      <c r="G32" s="63"/>
      <c r="H32" s="64"/>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3"/>
      <c r="G33" s="63"/>
      <c r="H33" s="64"/>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3"/>
      <c r="G34" s="63"/>
      <c r="H34" s="64"/>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3"/>
      <c r="G35" s="63"/>
      <c r="H35" s="64"/>
      <c r="K35" s="64"/>
      <c r="L35" s="64"/>
      <c r="M35" s="62"/>
      <c r="N35" s="62"/>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3"/>
      <c r="G36" s="63"/>
      <c r="H36" s="64"/>
      <c r="K36" s="64"/>
      <c r="L36" s="64"/>
      <c r="M36" s="62"/>
      <c r="N36" s="62"/>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3"/>
      <c r="G37" s="64"/>
      <c r="H37" s="64"/>
      <c r="J37"/>
      <c r="K37" s="64"/>
      <c r="L37" s="64"/>
      <c r="M37" s="62"/>
      <c r="N37" s="62"/>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2"/>
      <c r="F38" s="64"/>
      <c r="G38" s="64"/>
      <c r="H38" s="64"/>
      <c r="J38"/>
      <c r="K38" s="64"/>
      <c r="L38" s="64"/>
      <c r="M38" s="62"/>
      <c r="N38" s="62"/>
      <c r="P38" s="9">
        <v>24</v>
      </c>
      <c r="Q38" s="9">
        <f t="shared" si="9"/>
        <v>3</v>
      </c>
      <c r="R38" s="9">
        <f t="shared" si="10"/>
        <v>6</v>
      </c>
      <c r="S38" s="14" t="str" cm="1">
        <f t="array" ref="S38">INDEX('Payer-ConceptMap-2'!$I$15:$N$270,Q38+1,R38)</f>
        <v/>
      </c>
    </row>
    <row r="39" spans="1:19" s="1" customFormat="1" x14ac:dyDescent="0.75">
      <c r="A39"/>
      <c r="B39" s="9"/>
      <c r="C39" s="9"/>
      <c r="F39" s="64"/>
      <c r="G39" s="64"/>
      <c r="H39" s="64"/>
      <c r="J39"/>
      <c r="K39" s="64"/>
      <c r="L39" s="64"/>
      <c r="M39" s="62"/>
      <c r="N39" s="62"/>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4"/>
      <c r="G40" s="64"/>
      <c r="H40" s="64"/>
      <c r="J40" s="64"/>
      <c r="K40" s="64"/>
      <c r="L40" s="64"/>
      <c r="M40" s="62"/>
      <c r="N40" s="62"/>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4"/>
      <c r="G41" s="64"/>
      <c r="H41" s="64"/>
      <c r="J41" s="64"/>
      <c r="K41" s="64"/>
      <c r="L41" s="64"/>
      <c r="M41" s="62"/>
      <c r="N41" s="62"/>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4"/>
      <c r="G42" s="64"/>
      <c r="H42" s="64"/>
      <c r="J42" s="64"/>
      <c r="K42" s="64"/>
      <c r="L42" s="64"/>
      <c r="M42" s="62"/>
      <c r="N42" s="62"/>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4"/>
      <c r="G43" s="64"/>
      <c r="H43" s="64"/>
      <c r="J43" s="64"/>
      <c r="K43" s="64"/>
      <c r="L43" s="64"/>
      <c r="M43" s="64"/>
      <c r="N43" s="64"/>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4"/>
      <c r="G44" s="64"/>
      <c r="H44" s="64"/>
      <c r="J44" s="64"/>
      <c r="K44" s="64"/>
      <c r="L44" s="64"/>
      <c r="M44" s="64"/>
      <c r="N44" s="64"/>
      <c r="P44" s="9">
        <v>30</v>
      </c>
      <c r="Q44" s="9">
        <f t="shared" si="9"/>
        <v>4</v>
      </c>
      <c r="R44" s="9">
        <f t="shared" si="10"/>
        <v>6</v>
      </c>
      <c r="S44" s="14" t="str" cm="1">
        <f t="array" ref="S44">INDEX('Payer-ConceptMap-2'!$I$15:$N$270,Q44+1,R44)</f>
        <v/>
      </c>
    </row>
    <row r="45" spans="1:19" s="1" customFormat="1" x14ac:dyDescent="0.75">
      <c r="A45"/>
      <c r="B45" s="9"/>
      <c r="C45"/>
      <c r="F45" s="64"/>
      <c r="G45" s="64"/>
      <c r="H45" s="64"/>
      <c r="J45" s="64"/>
      <c r="K45" s="64"/>
      <c r="L45" s="64"/>
      <c r="M45" s="64"/>
      <c r="N45" s="64"/>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4"/>
      <c r="G46" s="64"/>
      <c r="H46" s="64"/>
      <c r="J46" s="64"/>
      <c r="K46" s="64"/>
      <c r="L46" s="64"/>
      <c r="M46" s="64"/>
      <c r="N46" s="64"/>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4"/>
      <c r="G47" s="64"/>
      <c r="H47" s="64"/>
      <c r="J47" s="64"/>
      <c r="K47" s="64"/>
      <c r="L47" s="64"/>
      <c r="M47" s="64"/>
      <c r="N47" s="64"/>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4"/>
      <c r="G48" s="64"/>
      <c r="H48" s="64"/>
      <c r="J48" s="64"/>
      <c r="K48" s="64"/>
      <c r="L48" s="64"/>
      <c r="M48" s="64"/>
      <c r="N48" s="64"/>
      <c r="P48" s="9">
        <v>34</v>
      </c>
      <c r="Q48" s="9">
        <f t="shared" si="9"/>
        <v>5</v>
      </c>
      <c r="R48" s="9">
        <f t="shared" si="10"/>
        <v>4</v>
      </c>
      <c r="S48" s="14" t="str" cm="1">
        <f t="array" ref="S48">INDEX('Payer-ConceptMap-2'!$I$15:$N$270,Q48+1,R48)</f>
        <v>* group[=].element[=].target.display = ##34###34#</v>
      </c>
    </row>
    <row r="49" spans="5:19" x14ac:dyDescent="0.75">
      <c r="F49" s="64"/>
      <c r="G49" s="64"/>
      <c r="H49" s="64"/>
      <c r="J49" s="64"/>
      <c r="K49" s="64"/>
      <c r="L49" s="64"/>
      <c r="M49" s="64"/>
      <c r="N49" s="64"/>
      <c r="P49" s="9">
        <v>35</v>
      </c>
      <c r="Q49" s="9">
        <f t="shared" si="9"/>
        <v>5</v>
      </c>
      <c r="R49" s="9">
        <f t="shared" si="10"/>
        <v>5</v>
      </c>
      <c r="S49" s="14" t="str" cm="1">
        <f t="array" ref="S49">INDEX('Payer-ConceptMap-2'!$I$15:$N$270,Q49+1,R49)</f>
        <v>* group[=].element[=].target.equivalence = #equivalent</v>
      </c>
    </row>
    <row r="50" spans="5:19" x14ac:dyDescent="0.75">
      <c r="F50" s="64"/>
      <c r="G50" s="64"/>
      <c r="H50" s="64"/>
      <c r="J50" s="64"/>
      <c r="K50" s="64"/>
      <c r="L50" s="64"/>
      <c r="M50" s="64"/>
      <c r="N50" s="64"/>
      <c r="P50" s="9">
        <v>36</v>
      </c>
      <c r="Q50" s="9">
        <f t="shared" si="9"/>
        <v>5</v>
      </c>
      <c r="R50" s="9">
        <f t="shared" si="10"/>
        <v>6</v>
      </c>
      <c r="S50" s="14" t="str" cm="1">
        <f t="array" ref="S50">INDEX('Payer-ConceptMap-2'!$I$15:$N$270,Q50+1,R50)</f>
        <v/>
      </c>
    </row>
    <row r="51" spans="5:19" x14ac:dyDescent="0.75">
      <c r="F51" s="64"/>
      <c r="G51" s="64"/>
      <c r="H51" s="64"/>
      <c r="J51" s="64"/>
      <c r="K51" s="64"/>
      <c r="L51" s="64"/>
      <c r="M51" s="64"/>
      <c r="N51" s="64"/>
      <c r="P51" s="9">
        <v>37</v>
      </c>
      <c r="Q51" s="9">
        <f t="shared" si="9"/>
        <v>6</v>
      </c>
      <c r="R51" s="9">
        <f t="shared" si="10"/>
        <v>1</v>
      </c>
      <c r="S51" s="14" t="str" cm="1">
        <f t="array" ref="S51">INDEX('Payer-ConceptMap-2'!$I$15:$N$270,Q51+1,R51)</f>
        <v>* group[=].element[+].code = #Payer.insurance.subjectIdentifier</v>
      </c>
    </row>
    <row r="52" spans="5:19" x14ac:dyDescent="0.75">
      <c r="F52" s="64"/>
      <c r="G52" s="64"/>
      <c r="H52" s="64"/>
      <c r="J52" s="64"/>
      <c r="K52" s="64"/>
      <c r="L52" s="64"/>
      <c r="M52" s="64"/>
      <c r="N52" s="64"/>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tr">
        <f>'Payer-ConceptMap-1'!C3</f>
        <v>Payer2Fhir</v>
      </c>
      <c r="D3" s="61" t="s">
        <v>208</v>
      </c>
      <c r="E3" s="179" t="str">
        <f>'Payer-ConceptMap-1'!E3</f>
        <v>http://hl7.eu/fhir/ig/xpandh/ps/StructureDefinition/Payer</v>
      </c>
      <c r="F3" s="180"/>
      <c r="G3" s="180"/>
    </row>
    <row r="4" spans="1:19" x14ac:dyDescent="0.75">
      <c r="B4" s="61" t="s">
        <v>19</v>
      </c>
      <c r="C4" s="47" t="str">
        <f>'Payer-ConceptMap-1'!C4</f>
        <v>payer2FHIR-eu-ps</v>
      </c>
      <c r="D4" s="61" t="s">
        <v>209</v>
      </c>
      <c r="E4" s="165" t="str">
        <f>'Payer-ConceptMap-1'!E4</f>
        <v>http://hl7.eu/fhir/ig/xpandh/ps/StructureDefinition/Bundle-eu-ps</v>
      </c>
      <c r="F4" s="164"/>
      <c r="G4" s="164"/>
    </row>
    <row r="5" spans="1:19" x14ac:dyDescent="0.75">
      <c r="B5" s="61" t="s">
        <v>13</v>
      </c>
      <c r="C5" s="10" t="str">
        <f>'Payer-ConceptMap-1'!C5</f>
        <v>eHN Payer to this guide Map</v>
      </c>
      <c r="D5" s="61"/>
      <c r="E5" s="10"/>
    </row>
    <row r="6" spans="1:19" x14ac:dyDescent="0.75">
      <c r="B6" s="61" t="s">
        <v>35</v>
      </c>
      <c r="C6" s="60" t="str">
        <f>'Payer-ConceptMap-1'!C6</f>
        <v>http://hl7.eu/fhir/ig/xpandh/ps/StructureDefinition/PatientSummary</v>
      </c>
      <c r="D6" s="61" t="s">
        <v>206</v>
      </c>
      <c r="E6" s="165" t="str">
        <f>E3</f>
        <v>http://hl7.eu/fhir/ig/xpandh/ps/StructureDefinition/Payer</v>
      </c>
      <c r="F6" s="164"/>
      <c r="G6" s="164"/>
    </row>
    <row r="7" spans="1:19" x14ac:dyDescent="0.75">
      <c r="B7" s="61" t="s">
        <v>18</v>
      </c>
      <c r="C7" s="68" t="str">
        <f>'Payer-ConceptMap-1'!C7</f>
        <v>http://hl7.eu/fhir/ig/xpandh/ps</v>
      </c>
      <c r="D7" s="61" t="s">
        <v>207</v>
      </c>
      <c r="E7" s="165" t="s">
        <v>905</v>
      </c>
      <c r="F7" s="164"/>
      <c r="G7" s="164"/>
    </row>
    <row r="8" spans="1:19" ht="44.25" x14ac:dyDescent="0.75">
      <c r="B8" s="61" t="s">
        <v>204</v>
      </c>
      <c r="C8" s="10" t="str">
        <f>'Payer-ConceptMap-1'!C8</f>
        <v>eHN Payer Model to this guide Map</v>
      </c>
      <c r="D8" s="61"/>
      <c r="E8" s="10"/>
      <c r="I8" s="14" t="s">
        <v>181</v>
      </c>
      <c r="J8" s="14" t="s">
        <v>182</v>
      </c>
      <c r="K8" s="14" t="s">
        <v>183</v>
      </c>
      <c r="L8" s="14" t="s">
        <v>184</v>
      </c>
      <c r="M8" s="9" t="s">
        <v>185</v>
      </c>
      <c r="P8" s="57" t="s">
        <v>186</v>
      </c>
      <c r="Q8" s="57">
        <v>6</v>
      </c>
    </row>
    <row r="9" spans="1:19" ht="29.5" x14ac:dyDescent="0.75">
      <c r="B9" s="61" t="s">
        <v>205</v>
      </c>
      <c r="C9" s="1" t="str">
        <f>'Payer-ConceptMap-1'!C9</f>
        <v>It shows how the Patient Summary Payer data set defined by the EU eHN guidelines is mapped into this guide</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'A1.3 Payer'!B5</f>
        <v>Payer</v>
      </c>
      <c r="C14" s="9"/>
      <c r="D14" s="4" t="s">
        <v>17</v>
      </c>
      <c r="E14" s="8"/>
      <c r="F14" s="63" t="s">
        <v>194</v>
      </c>
      <c r="G14" s="14"/>
      <c r="I14" s="14"/>
      <c r="J14" s="9"/>
      <c r="K14" s="9"/>
      <c r="L14" s="9"/>
      <c r="M14" s="59"/>
      <c r="N14" s="62"/>
    </row>
    <row r="15" spans="1:19" ht="44.25" x14ac:dyDescent="0.75">
      <c r="A15" s="22"/>
      <c r="B15" s="9" t="str">
        <f>'A1.3 Payer'!B8</f>
        <v>insurance</v>
      </c>
      <c r="C15" s="9" t="str">
        <f>'A1.3 Payer'!C8</f>
        <v>A.1.3.1 Health insurance information</v>
      </c>
      <c r="D15" s="14"/>
      <c r="E15" s="9"/>
      <c r="F15" s="63" t="s">
        <v>194</v>
      </c>
      <c r="G15" s="70"/>
      <c r="H15" s="64"/>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3" t="s">
        <v>194</v>
      </c>
      <c r="G16" s="70"/>
      <c r="H16" s="64"/>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3" t="s">
        <v>194</v>
      </c>
      <c r="G17" s="70"/>
      <c r="H17" s="64"/>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136</v>
      </c>
      <c r="E18" s="9"/>
      <c r="F18" s="63" t="s">
        <v>193</v>
      </c>
      <c r="G18" s="70" t="s">
        <v>288</v>
      </c>
      <c r="H18" s="64"/>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6"/>
      <c r="E19" s="9"/>
      <c r="F19" s="63"/>
      <c r="G19" s="70"/>
      <c r="H19" s="64"/>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3"/>
      <c r="G20" s="70"/>
      <c r="H20" s="64"/>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3"/>
      <c r="G21" s="70"/>
      <c r="H21" s="64"/>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3"/>
      <c r="G22" s="70"/>
      <c r="H22" s="64"/>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3"/>
      <c r="G23" s="70"/>
      <c r="H23" s="64"/>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3"/>
      <c r="G24" s="70"/>
      <c r="H24" s="64"/>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3"/>
      <c r="G25" s="70"/>
      <c r="H25" s="64"/>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3"/>
      <c r="G26" s="70"/>
      <c r="H26" s="64"/>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3"/>
      <c r="G27" s="70"/>
      <c r="H27" s="64"/>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3"/>
      <c r="G28" s="70"/>
      <c r="H28" s="64"/>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3"/>
      <c r="G29" s="70"/>
      <c r="H29" s="64"/>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3"/>
      <c r="G30" s="70"/>
      <c r="H30" s="64"/>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3"/>
      <c r="G31" s="70"/>
      <c r="H31" s="64"/>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3"/>
      <c r="G32" s="70"/>
      <c r="H32" s="64"/>
      <c r="K32" s="64"/>
      <c r="L32" s="64"/>
      <c r="M32" s="62"/>
      <c r="N32" s="62"/>
      <c r="P32" s="9">
        <v>18</v>
      </c>
      <c r="Q32" s="9">
        <f t="shared" si="6"/>
        <v>2</v>
      </c>
      <c r="R32" s="9">
        <f t="shared" si="7"/>
        <v>6</v>
      </c>
      <c r="S32" s="14" t="str" cm="1">
        <f t="array" ref="S32">INDEX('Payer-ConceptMap-3'!$I$15:$N$267,Q32+1,R32)</f>
        <v/>
      </c>
    </row>
    <row r="33" spans="1:19" x14ac:dyDescent="0.75">
      <c r="B33" s="9"/>
      <c r="C33" s="9"/>
      <c r="D33" s="14"/>
      <c r="E33" s="14"/>
      <c r="F33" s="63"/>
      <c r="G33" s="70"/>
      <c r="H33" s="64"/>
      <c r="K33" s="64"/>
      <c r="L33" s="64"/>
      <c r="M33" s="62"/>
      <c r="N33" s="62"/>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3"/>
      <c r="G34" s="81"/>
      <c r="H34" s="64"/>
      <c r="J34"/>
      <c r="K34" s="64"/>
      <c r="L34" s="64"/>
      <c r="M34" s="62"/>
      <c r="N34" s="62"/>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2"/>
      <c r="F35" s="64"/>
      <c r="G35" s="81"/>
      <c r="H35" s="64"/>
      <c r="J35"/>
      <c r="K35" s="64"/>
      <c r="L35" s="64"/>
      <c r="M35" s="62"/>
      <c r="N35" s="62"/>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4"/>
      <c r="G36" s="81"/>
      <c r="H36" s="64"/>
      <c r="J36"/>
      <c r="K36" s="64"/>
      <c r="L36" s="64"/>
      <c r="M36" s="62"/>
      <c r="N36" s="62"/>
      <c r="P36" s="9">
        <v>22</v>
      </c>
      <c r="Q36" s="9">
        <f t="shared" si="6"/>
        <v>3</v>
      </c>
      <c r="R36" s="9">
        <f t="shared" si="7"/>
        <v>4</v>
      </c>
      <c r="S36" s="14" t="str" cm="1">
        <f t="array" ref="S36">INDEX('Payer-ConceptMap-3'!$I$15:$N$267,Q36+1,R36)</f>
        <v>* group[=].element[=].target.display = ##34###34#</v>
      </c>
    </row>
    <row r="37" spans="1:19" s="1" customFormat="1" x14ac:dyDescent="0.75">
      <c r="A37"/>
      <c r="B37" s="9"/>
      <c r="C37" s="9"/>
      <c r="F37" s="64"/>
      <c r="G37" s="81"/>
      <c r="H37" s="64"/>
      <c r="J37" s="64"/>
      <c r="K37" s="64"/>
      <c r="L37" s="64"/>
      <c r="M37" s="62"/>
      <c r="N37" s="62"/>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4"/>
      <c r="G38" s="81"/>
      <c r="H38" s="64"/>
      <c r="J38" s="64"/>
      <c r="K38" s="64"/>
      <c r="L38" s="64"/>
      <c r="M38" s="62"/>
      <c r="N38" s="62"/>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4"/>
      <c r="G39" s="81"/>
      <c r="H39" s="64"/>
      <c r="J39" s="64"/>
      <c r="K39" s="64"/>
      <c r="L39" s="64"/>
      <c r="M39" s="62"/>
      <c r="N39" s="62"/>
      <c r="P39" s="9">
        <v>25</v>
      </c>
      <c r="Q39" s="9">
        <f t="shared" si="6"/>
        <v>4</v>
      </c>
      <c r="R39" s="9">
        <f t="shared" si="7"/>
        <v>1</v>
      </c>
      <c r="S39" s="14" cm="1">
        <f t="array" ref="S39">INDEX('Payer-ConceptMap-3'!$I$15:$N$267,Q39+1,R39)</f>
        <v>0</v>
      </c>
    </row>
    <row r="40" spans="1:19" s="1" customFormat="1" x14ac:dyDescent="0.75">
      <c r="A40"/>
      <c r="B40" s="9"/>
      <c r="C40" s="9"/>
      <c r="F40" s="64"/>
      <c r="G40" s="81"/>
      <c r="H40" s="64"/>
      <c r="J40" s="64"/>
      <c r="K40" s="64"/>
      <c r="L40" s="64"/>
      <c r="M40" s="64"/>
      <c r="N40" s="64"/>
      <c r="P40" s="9">
        <v>26</v>
      </c>
      <c r="Q40" s="9">
        <f t="shared" si="6"/>
        <v>4</v>
      </c>
      <c r="R40" s="9">
        <f t="shared" si="7"/>
        <v>2</v>
      </c>
      <c r="S40" s="14" cm="1">
        <f t="array" ref="S40">INDEX('Payer-ConceptMap-3'!$I$15:$N$267,Q40+1,R40)</f>
        <v>0</v>
      </c>
    </row>
    <row r="41" spans="1:19" s="1" customFormat="1" x14ac:dyDescent="0.75">
      <c r="A41"/>
      <c r="B41" s="9"/>
      <c r="C41"/>
      <c r="F41" s="64"/>
      <c r="G41" s="81"/>
      <c r="H41" s="64"/>
      <c r="J41" s="64"/>
      <c r="K41" s="64"/>
      <c r="L41" s="64"/>
      <c r="M41" s="64"/>
      <c r="N41" s="64"/>
      <c r="P41" s="9">
        <v>27</v>
      </c>
      <c r="Q41" s="9">
        <f t="shared" si="6"/>
        <v>4</v>
      </c>
      <c r="R41" s="9">
        <f t="shared" si="7"/>
        <v>3</v>
      </c>
      <c r="S41" s="14" cm="1">
        <f t="array" ref="S41">INDEX('Payer-ConceptMap-3'!$I$15:$N$267,Q41+1,R41)</f>
        <v>0</v>
      </c>
    </row>
    <row r="42" spans="1:19" s="1" customFormat="1" x14ac:dyDescent="0.75">
      <c r="A42"/>
      <c r="B42" s="9"/>
      <c r="C42"/>
      <c r="F42" s="64"/>
      <c r="G42" s="81"/>
      <c r="H42" s="64"/>
      <c r="J42" s="64"/>
      <c r="K42" s="64"/>
      <c r="L42" s="64"/>
      <c r="M42" s="64"/>
      <c r="N42" s="64"/>
      <c r="P42" s="9">
        <v>28</v>
      </c>
      <c r="Q42" s="9">
        <f t="shared" si="6"/>
        <v>4</v>
      </c>
      <c r="R42" s="9">
        <f t="shared" si="7"/>
        <v>4</v>
      </c>
      <c r="S42" s="14" cm="1">
        <f t="array" ref="S42">INDEX('Payer-ConceptMap-3'!$I$15:$N$267,Q42+1,R42)</f>
        <v>0</v>
      </c>
    </row>
    <row r="43" spans="1:19" s="1" customFormat="1" x14ac:dyDescent="0.75">
      <c r="A43"/>
      <c r="B43" s="9"/>
      <c r="C43"/>
      <c r="F43" s="64"/>
      <c r="G43" s="81"/>
      <c r="H43" s="64"/>
      <c r="J43" s="64"/>
      <c r="K43" s="64"/>
      <c r="L43" s="64"/>
      <c r="M43" s="64"/>
      <c r="N43" s="64"/>
      <c r="P43" s="9">
        <v>29</v>
      </c>
      <c r="Q43" s="9">
        <f t="shared" si="6"/>
        <v>4</v>
      </c>
      <c r="R43" s="9">
        <f t="shared" si="7"/>
        <v>5</v>
      </c>
      <c r="S43" s="14" cm="1">
        <f t="array" ref="S43">INDEX('Payer-ConceptMap-3'!$I$15:$N$267,Q43+1,R43)</f>
        <v>0</v>
      </c>
    </row>
    <row r="44" spans="1:19" s="1" customFormat="1" x14ac:dyDescent="0.75">
      <c r="A44"/>
      <c r="B44" s="9"/>
      <c r="C44"/>
      <c r="F44" s="64"/>
      <c r="G44" s="81"/>
      <c r="H44" s="64"/>
      <c r="J44" s="64"/>
      <c r="K44" s="64"/>
      <c r="L44" s="64"/>
      <c r="M44" s="64"/>
      <c r="N44" s="64"/>
      <c r="P44" s="9">
        <v>30</v>
      </c>
      <c r="Q44" s="9">
        <f t="shared" si="6"/>
        <v>4</v>
      </c>
      <c r="R44" s="9">
        <f t="shared" si="7"/>
        <v>6</v>
      </c>
      <c r="S44" s="14" cm="1">
        <f t="array" ref="S44">INDEX('Payer-ConceptMap-3'!$I$15:$N$267,Q44+1,R44)</f>
        <v>0</v>
      </c>
    </row>
    <row r="45" spans="1:19" s="1" customFormat="1" x14ac:dyDescent="0.75">
      <c r="A45"/>
      <c r="B45" s="9"/>
      <c r="C45"/>
      <c r="F45" s="64"/>
      <c r="G45" s="81"/>
      <c r="H45" s="64"/>
      <c r="J45" s="64"/>
      <c r="K45" s="64"/>
      <c r="L45" s="64"/>
      <c r="M45" s="64"/>
      <c r="N45" s="64"/>
      <c r="P45" s="9">
        <v>31</v>
      </c>
      <c r="Q45" s="9">
        <f t="shared" si="6"/>
        <v>5</v>
      </c>
      <c r="R45" s="9">
        <f t="shared" si="7"/>
        <v>1</v>
      </c>
      <c r="S45" s="14" cm="1">
        <f t="array" ref="S45">INDEX('Payer-ConceptMap-3'!$I$15:$N$267,Q45+1,R45)</f>
        <v>0</v>
      </c>
    </row>
    <row r="46" spans="1:19" x14ac:dyDescent="0.75">
      <c r="F46" s="64"/>
      <c r="G46" s="81"/>
      <c r="H46" s="64"/>
      <c r="J46" s="64"/>
      <c r="K46" s="64"/>
      <c r="L46" s="64"/>
      <c r="M46" s="64"/>
      <c r="N46" s="64"/>
      <c r="P46" s="9">
        <v>32</v>
      </c>
      <c r="Q46" s="9">
        <f t="shared" si="6"/>
        <v>5</v>
      </c>
      <c r="R46" s="9">
        <f t="shared" si="7"/>
        <v>2</v>
      </c>
      <c r="S46" s="14" cm="1">
        <f t="array" ref="S46">INDEX('Payer-ConceptMap-3'!$I$15:$N$267,Q46+1,R46)</f>
        <v>0</v>
      </c>
    </row>
    <row r="47" spans="1:19" x14ac:dyDescent="0.75">
      <c r="F47" s="64"/>
      <c r="G47" s="81"/>
      <c r="H47" s="64"/>
      <c r="J47" s="64"/>
      <c r="K47" s="64"/>
      <c r="L47" s="64"/>
      <c r="M47" s="64"/>
      <c r="N47" s="64"/>
      <c r="P47" s="9">
        <v>33</v>
      </c>
      <c r="Q47" s="9">
        <f t="shared" si="6"/>
        <v>5</v>
      </c>
      <c r="R47" s="9">
        <f t="shared" si="7"/>
        <v>3</v>
      </c>
      <c r="S47" s="14" cm="1">
        <f t="array" ref="S47">INDEX('Payer-ConceptMap-3'!$I$15:$N$267,Q47+1,R47)</f>
        <v>0</v>
      </c>
    </row>
    <row r="48" spans="1:19" x14ac:dyDescent="0.75">
      <c r="F48" s="64"/>
      <c r="G48" s="81"/>
      <c r="H48" s="64"/>
      <c r="J48" s="64"/>
      <c r="K48" s="64"/>
      <c r="L48" s="64"/>
      <c r="M48" s="64"/>
      <c r="N48" s="64"/>
      <c r="P48" s="9">
        <v>34</v>
      </c>
      <c r="Q48" s="9">
        <f t="shared" si="6"/>
        <v>5</v>
      </c>
      <c r="R48" s="9">
        <f t="shared" si="7"/>
        <v>4</v>
      </c>
      <c r="S48" s="14" cm="1">
        <f t="array" ref="S48">INDEX('Payer-ConceptMap-3'!$I$15:$N$267,Q48+1,R48)</f>
        <v>0</v>
      </c>
    </row>
    <row r="49" spans="5:19" x14ac:dyDescent="0.75">
      <c r="F49" s="64"/>
      <c r="G49" s="81"/>
      <c r="H49" s="64"/>
      <c r="J49" s="64"/>
      <c r="K49" s="64"/>
      <c r="L49" s="64"/>
      <c r="M49" s="64"/>
      <c r="N49" s="64"/>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223</v>
      </c>
    </row>
    <row r="3" spans="2:7" x14ac:dyDescent="0.75">
      <c r="B3" s="32" t="s">
        <v>37</v>
      </c>
    </row>
    <row r="4" spans="2:7" x14ac:dyDescent="0.75">
      <c r="B4" s="65" t="str">
        <f>"Instance: "&amp;'Payer-ConceptMap-1'!C4</f>
        <v>Instance: payer2FHIR-eu-ps</v>
      </c>
    </row>
    <row r="5" spans="2:7" x14ac:dyDescent="0.75">
      <c r="B5" s="65" t="s">
        <v>196</v>
      </c>
    </row>
    <row r="6" spans="2:7" x14ac:dyDescent="0.75">
      <c r="B6" s="65" t="s">
        <v>197</v>
      </c>
    </row>
    <row r="7" spans="2:7" x14ac:dyDescent="0.75">
      <c r="B7" s="65" t="s">
        <v>203</v>
      </c>
    </row>
    <row r="8" spans="2:7" x14ac:dyDescent="0.75">
      <c r="B8" s="65" t="str">
        <f>"* name = ##34#"&amp;'Payer-ConceptMap-1'!C3&amp;"##34#"</f>
        <v>* name = ##34#Payer2Fhir##34#</v>
      </c>
    </row>
    <row r="9" spans="2:7" x14ac:dyDescent="0.75">
      <c r="B9" s="65" t="str">
        <f>"* title = ##34#"&amp;'Payer-ConceptMap-1'!C5&amp;"##34#"</f>
        <v>* title = ##34#eHN Payer to this guide Map##34#</v>
      </c>
    </row>
    <row r="10" spans="2:7" x14ac:dyDescent="0.75">
      <c r="B10" s="65" t="s">
        <v>198</v>
      </c>
    </row>
    <row r="11" spans="2:7" x14ac:dyDescent="0.75">
      <c r="B11" s="65" t="s">
        <v>199</v>
      </c>
    </row>
    <row r="12" spans="2:7" x14ac:dyDescent="0.75">
      <c r="B12" s="65" t="str">
        <f>"* description = ##34#"&amp;'Payer-ConceptMap-1'!C8&amp;"##34#"</f>
        <v>* description = ##34#eHN Payer Model to this guide Map##34#</v>
      </c>
    </row>
    <row r="13" spans="2:7" x14ac:dyDescent="0.75">
      <c r="B13" s="65" t="str">
        <f>"* purpose = ##34#"&amp;'Payer-ConceptMap-1'!C9&amp;"##34#"</f>
        <v>* purpose = ##34#It shows how the Patient Summary Payer data set defined by the EU eHN guidelines is mapped into this guide##34#</v>
      </c>
    </row>
    <row r="14" spans="2:7" x14ac:dyDescent="0.75">
      <c r="B14" s="66" t="str">
        <f>"* sourceUri = ##34#"&amp;'Payer-ConceptMap-1'!E3&amp;"##34#"</f>
        <v>* sourceUri = ##34#http://hl7.eu/fhir/ig/xpandh/ps/StructureDefinition/Payer##34#</v>
      </c>
    </row>
    <row r="15" spans="2:7" x14ac:dyDescent="0.75">
      <c r="B15" s="66" t="str">
        <f>"* targetUri = ##34#"&amp;'Payer-ConceptMap-1'!E4&amp;"##34#"</f>
        <v>* targetUri = ##34#http://hl7.eu/fhir/ig/xpandh/ps/StructureDefinition/Bundle-eu-ps##34#</v>
      </c>
    </row>
    <row r="16" spans="2:7" x14ac:dyDescent="0.75">
      <c r="B16" s="65"/>
    </row>
    <row r="17" spans="2:7" x14ac:dyDescent="0.75">
      <c r="B17" s="67" t="str">
        <f>"* group[+].source = ##34#"&amp;'Payer-ConceptMap-1'!E6&amp;"##34#"</f>
        <v>* group[+].source = ##34#http://hl7.eu/fhir/ig/xpandh/ps/StructureDefinition/Payer##34#</v>
      </c>
    </row>
    <row r="18" spans="2:7" x14ac:dyDescent="0.75">
      <c r="B18" s="67" t="str">
        <f>"* group[=].target = ##34#"&amp;'Payer-ConceptMap-1'!E7&amp;"##34#"</f>
        <v>* group[=].target = ##34#http://hl7.eu/fhir/ig/xpandh/ps/StructureDefinition/ServiceRequest-eu-ps##34#</v>
      </c>
    </row>
    <row r="19" spans="2:7" x14ac:dyDescent="0.75">
      <c r="B19" s="69"/>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69"/>
    </row>
    <row r="50" spans="2:2" x14ac:dyDescent="0.75">
      <c r="B50" s="67" t="str">
        <f>"* group[+].source = ##34#"&amp;'Payer-ConceptMap-2'!E6&amp;"##34#"</f>
        <v>* group[+].source = ##34#http://hl7.eu/fhir/ig/xpandh/ps/StructureDefinition/Payer##34#</v>
      </c>
    </row>
    <row r="51" spans="2:2" x14ac:dyDescent="0.75">
      <c r="B51" s="67" t="str">
        <f>"* group[=].target = ##34#"&amp;'Payer-ConceptMap-2'!E7&amp;"##34#"</f>
        <v>* group[=].target = ##34#http://hl7.org/fhir/StructureDefinition/Coverage##34#</v>
      </c>
    </row>
    <row r="52" spans="2:2" x14ac:dyDescent="0.75">
      <c r="B52" s="69"/>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4"/>
    </row>
    <row r="99" spans="2:4" x14ac:dyDescent="0.75">
      <c r="B99" s="14"/>
    </row>
    <row r="100" spans="2:4" x14ac:dyDescent="0.75">
      <c r="B100" s="69"/>
    </row>
    <row r="101" spans="2:4" x14ac:dyDescent="0.75">
      <c r="B101" s="67" t="str">
        <f>"* group[+].source = ##34#"&amp;'Payer-ConceptMap-3'!E6&amp;"##34#"</f>
        <v>* group[+].source = ##34#http://hl7.eu/fhir/ig/xpandh/ps/StructureDefinition/Payer##34#</v>
      </c>
    </row>
    <row r="102" spans="2:4" x14ac:dyDescent="0.75">
      <c r="B102" s="67" t="str">
        <f>"* group[=].target = ##34#"&amp;'Payer-ConceptMap-3'!E7&amp;"##34#"</f>
        <v>* group[=].target = ##34#http://hl7.eu/fhir/ig/xpandh/ps/StructureDefinition/Patient-eu-ps##34#</v>
      </c>
    </row>
    <row r="103" spans="2:4" x14ac:dyDescent="0.75">
      <c r="B103" s="69"/>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892</v>
      </c>
      <c r="I4" s="24" t="str">
        <f>CONCATENATE("Logical: ",B4)</f>
        <v>Logical: AllergyPsEhn</v>
      </c>
    </row>
    <row r="5" spans="1:11" x14ac:dyDescent="0.75">
      <c r="A5" s="17" t="s">
        <v>19</v>
      </c>
      <c r="B5" s="33" t="s">
        <v>572</v>
      </c>
      <c r="I5" s="24" t="str">
        <f>CONCATENATE("Id: ",B5)</f>
        <v>Id: Allergy</v>
      </c>
    </row>
    <row r="6" spans="1:11" x14ac:dyDescent="0.75">
      <c r="A6" s="17" t="s">
        <v>13</v>
      </c>
      <c r="B6" s="18" t="str">
        <f>PS!C24</f>
        <v>A.2.1.1 Allergy</v>
      </c>
      <c r="I6" s="25" t="str">
        <f>CONCATENATE("Title: ##34#",B6,"##34#")</f>
        <v>Title: ##34#A.2.1.1 Allergy##34#</v>
      </c>
    </row>
    <row r="7" spans="1:11" ht="59" x14ac:dyDescent="0.75">
      <c r="A7" s="43" t="s">
        <v>5</v>
      </c>
      <c r="B7" s="50" t="str">
        <f>PS!D24</f>
        <v>A.2.1.1 - Allergy</v>
      </c>
      <c r="C7" s="12"/>
      <c r="D7" s="2"/>
      <c r="E7" s="49"/>
      <c r="F7" s="3" t="s">
        <v>9</v>
      </c>
      <c r="G7" s="3" t="s">
        <v>10</v>
      </c>
      <c r="I7" s="25" t="str">
        <f>CONCATENATE("Description: "," ##334#",B7,"##334#",)</f>
        <v>Description:  ##334#A.2.1.1 - Allergy##334#</v>
      </c>
    </row>
    <row r="8" spans="1:11" ht="74.5" customHeight="1" x14ac:dyDescent="0.75">
      <c r="A8" s="9">
        <v>1</v>
      </c>
      <c r="B8" s="9" t="s">
        <v>204</v>
      </c>
      <c r="C8" s="9" t="s">
        <v>920</v>
      </c>
      <c r="D8" s="14" t="s">
        <v>931</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240</v>
      </c>
      <c r="C9" s="9" t="s">
        <v>921</v>
      </c>
      <c r="D9" s="14" t="s">
        <v>932</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887</v>
      </c>
      <c r="C10" s="9" t="s">
        <v>922</v>
      </c>
      <c r="D10" s="14" t="s">
        <v>930</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888</v>
      </c>
      <c r="C11" s="9" t="s">
        <v>923</v>
      </c>
      <c r="D11" s="14" t="s">
        <v>933</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889</v>
      </c>
      <c r="C12" s="9" t="s">
        <v>924</v>
      </c>
      <c r="D12" s="14" t="s">
        <v>934</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890</v>
      </c>
      <c r="C13" s="9" t="s">
        <v>925</v>
      </c>
      <c r="D13" s="14" t="s">
        <v>935</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891</v>
      </c>
      <c r="C14" s="9" t="s">
        <v>926</v>
      </c>
      <c r="D14" s="14" t="s">
        <v>936</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202</v>
      </c>
      <c r="C15" s="9" t="s">
        <v>927</v>
      </c>
      <c r="D15" s="14" t="s">
        <v>937</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885</v>
      </c>
      <c r="C16" s="9" t="s">
        <v>928</v>
      </c>
      <c r="D16" s="14" t="s">
        <v>938</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886</v>
      </c>
      <c r="C17" s="9" t="s">
        <v>929</v>
      </c>
      <c r="D17" s="14" t="s">
        <v>939</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70" t="s">
        <v>1005</v>
      </c>
      <c r="D25" s="152"/>
      <c r="E25" s="152"/>
      <c r="F25" s="153"/>
    </row>
    <row r="26" spans="1:9" ht="409.6" thickBot="1" x14ac:dyDescent="0.9">
      <c r="B26" t="str">
        <f t="shared" ref="B26:B28" si="1">CONCATENATE(C26," ",D26)</f>
        <v>A.1.4.1 Recipient identifier</v>
      </c>
      <c r="C26" s="35" t="s">
        <v>71</v>
      </c>
      <c r="D26" s="36" t="s">
        <v>72</v>
      </c>
      <c r="E26" s="36" t="s">
        <v>161</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162</v>
      </c>
      <c r="E28" s="36" t="s">
        <v>77</v>
      </c>
      <c r="F28" s="41"/>
      <c r="I28" s="1" t="str">
        <f t="shared" si="2"/>
        <v xml:space="preserve">The healthcare provider organization information. - Preferred system(s): </v>
      </c>
    </row>
    <row r="29" spans="1:9" ht="409.6" thickBot="1" x14ac:dyDescent="0.9">
      <c r="C29" s="35" t="s">
        <v>273</v>
      </c>
      <c r="D29" s="1" t="s">
        <v>57</v>
      </c>
      <c r="E29" s="1" t="s">
        <v>277</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274</v>
      </c>
      <c r="D30" t="s">
        <v>276</v>
      </c>
      <c r="E30" s="1" t="s">
        <v>278</v>
      </c>
      <c r="F30" t="s">
        <v>279</v>
      </c>
      <c r="H30" t="str">
        <f t="shared" ref="H30:H31" si="3">C30&amp;" "&amp;D30</f>
        <v>A.1.4.5 Country</v>
      </c>
      <c r="I30" s="1" t="str">
        <f t="shared" si="2"/>
        <v>Country of the recipient. - Preferred system(s): ISO 3166</v>
      </c>
    </row>
    <row r="31" spans="1:9" ht="192.5" thickBot="1" x14ac:dyDescent="0.9">
      <c r="C31" s="35" t="s">
        <v>275</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48" t="s">
        <v>893</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x14ac:dyDescent="0.75">
      <c r="C7" s="24" t="str">
        <f>'A.2.1.1 Allergy'!I7</f>
        <v>Description:  ##334#A.2.1.1 - Allergy##334#</v>
      </c>
    </row>
    <row r="8" spans="3:7" ht="29.5"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116</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894</v>
      </c>
      <c r="D3" s="61" t="s">
        <v>208</v>
      </c>
      <c r="E3" s="165" t="s">
        <v>906</v>
      </c>
      <c r="F3" s="164"/>
      <c r="G3" s="164"/>
    </row>
    <row r="4" spans="1:19" x14ac:dyDescent="0.75">
      <c r="B4" s="61" t="s">
        <v>19</v>
      </c>
      <c r="C4" s="47" t="s">
        <v>898</v>
      </c>
      <c r="D4" s="61" t="s">
        <v>209</v>
      </c>
      <c r="E4" s="72" t="s">
        <v>899</v>
      </c>
    </row>
    <row r="5" spans="1:19" x14ac:dyDescent="0.75">
      <c r="B5" s="61" t="s">
        <v>13</v>
      </c>
      <c r="C5" s="10" t="s">
        <v>895</v>
      </c>
      <c r="D5" s="61"/>
      <c r="E5" s="10"/>
    </row>
    <row r="6" spans="1:19" x14ac:dyDescent="0.75">
      <c r="B6" s="61" t="s">
        <v>35</v>
      </c>
      <c r="C6" s="60" t="s">
        <v>906</v>
      </c>
      <c r="D6" s="61" t="s">
        <v>206</v>
      </c>
      <c r="E6" s="165" t="s">
        <v>906</v>
      </c>
      <c r="F6" s="164"/>
      <c r="G6" s="164"/>
    </row>
    <row r="7" spans="1:19" x14ac:dyDescent="0.75">
      <c r="B7" s="61" t="s">
        <v>18</v>
      </c>
      <c r="C7" s="68" t="s">
        <v>540</v>
      </c>
      <c r="D7" s="61" t="s">
        <v>207</v>
      </c>
      <c r="E7" s="165" t="s">
        <v>899</v>
      </c>
      <c r="F7" s="164"/>
      <c r="G7" s="164"/>
    </row>
    <row r="8" spans="1:19" ht="44.25" x14ac:dyDescent="0.75">
      <c r="B8" s="61" t="s">
        <v>204</v>
      </c>
      <c r="C8" s="10" t="s">
        <v>896</v>
      </c>
      <c r="D8" s="61"/>
      <c r="E8"/>
      <c r="I8" s="14" t="s">
        <v>181</v>
      </c>
      <c r="J8" s="14" t="s">
        <v>182</v>
      </c>
      <c r="K8" s="14" t="s">
        <v>183</v>
      </c>
      <c r="L8" s="14" t="s">
        <v>184</v>
      </c>
      <c r="M8" s="9" t="s">
        <v>185</v>
      </c>
      <c r="P8" s="57" t="s">
        <v>186</v>
      </c>
      <c r="Q8" s="57">
        <v>6</v>
      </c>
    </row>
    <row r="9" spans="1:19" ht="29.5" x14ac:dyDescent="0.75">
      <c r="B9" s="61" t="s">
        <v>205</v>
      </c>
      <c r="C9" s="1" t="s">
        <v>897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'A.2.1.1 Allergy'!B5</f>
        <v>Allergy</v>
      </c>
      <c r="C14" s="9"/>
      <c r="D14" t="s">
        <v>918</v>
      </c>
      <c r="E14" s="9"/>
      <c r="F14" s="9"/>
      <c r="G14" s="14"/>
      <c r="I14" s="14"/>
      <c r="J14" s="9"/>
      <c r="K14" s="9"/>
      <c r="L14" s="9"/>
      <c r="M14" s="59"/>
      <c r="N14" s="62"/>
    </row>
    <row r="15" spans="1:19" ht="44.25" x14ac:dyDescent="0.75">
      <c r="A15" s="78"/>
      <c r="B15" s="9" t="str">
        <f>'A.2.1.1 Allergy'!B8</f>
        <v>description</v>
      </c>
      <c r="C15" s="9" t="str">
        <f>'A.2.1.1 Allergy'!C8</f>
        <v>A.2.1.1.1 Allergy description</v>
      </c>
      <c r="D15" s="14" t="s">
        <v>244</v>
      </c>
      <c r="E15" s="9"/>
      <c r="F15" s="63" t="s">
        <v>192</v>
      </c>
      <c r="G15" s="70"/>
      <c r="H15" s="64"/>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240</v>
      </c>
      <c r="E16" s="9"/>
      <c r="F16" s="63" t="s">
        <v>192</v>
      </c>
      <c r="G16" s="70"/>
      <c r="H16" s="64"/>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909</v>
      </c>
      <c r="E17" s="9"/>
      <c r="F17" s="63" t="s">
        <v>193</v>
      </c>
      <c r="G17" s="70" t="s">
        <v>911</v>
      </c>
      <c r="H17" s="64"/>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910</v>
      </c>
      <c r="E18" s="9"/>
      <c r="F18" s="63" t="s">
        <v>192</v>
      </c>
      <c r="G18" s="70" t="s">
        <v>912</v>
      </c>
      <c r="H18" s="64"/>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913</v>
      </c>
      <c r="E19" s="9"/>
      <c r="F19" s="63" t="s">
        <v>192</v>
      </c>
      <c r="G19" s="70"/>
      <c r="H19" s="64"/>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889</v>
      </c>
      <c r="E20" s="9"/>
      <c r="F20" s="63" t="s">
        <v>192</v>
      </c>
      <c r="G20" s="70"/>
      <c r="H20" s="64"/>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915</v>
      </c>
      <c r="E21" s="9"/>
      <c r="F21" s="63" t="s">
        <v>192</v>
      </c>
      <c r="G21" s="70"/>
      <c r="H21" s="64"/>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914</v>
      </c>
      <c r="E22" s="9"/>
      <c r="F22" s="63" t="s">
        <v>192</v>
      </c>
      <c r="G22" s="70"/>
      <c r="H22" s="64"/>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916</v>
      </c>
      <c r="E23" s="9"/>
      <c r="F23" s="63" t="s">
        <v>192</v>
      </c>
      <c r="G23" s="70"/>
      <c r="H23" s="64"/>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917</v>
      </c>
      <c r="E24" s="9"/>
      <c r="F24" s="63" t="s">
        <v>192</v>
      </c>
      <c r="G24" s="70"/>
      <c r="H24" s="64"/>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189</v>
      </c>
      <c r="E25" s="9"/>
      <c r="F25" s="63" t="s">
        <v>192</v>
      </c>
      <c r="G25" s="70"/>
      <c r="H25" s="64"/>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6"/>
      <c r="E26" s="9"/>
      <c r="F26" s="63"/>
      <c r="G26" s="70"/>
      <c r="H26" s="64"/>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3"/>
      <c r="G27" s="70"/>
      <c r="H27" s="64"/>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3"/>
      <c r="G28" s="70"/>
      <c r="H28" s="64"/>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3"/>
      <c r="G29" s="70"/>
      <c r="H29" s="64"/>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3"/>
      <c r="G30" s="82"/>
      <c r="H30" s="64"/>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3"/>
      <c r="G31" s="70"/>
      <c r="H31" s="64"/>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3"/>
      <c r="G32" s="70"/>
      <c r="H32" s="64"/>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3"/>
      <c r="G33" s="70"/>
      <c r="H33" s="64"/>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3"/>
      <c r="G34" s="70"/>
      <c r="H34" s="64"/>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3"/>
      <c r="G35" s="70"/>
      <c r="H35" s="64"/>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3"/>
      <c r="G36" s="70"/>
      <c r="H36" s="64"/>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3"/>
      <c r="G37" s="70"/>
      <c r="H37" s="64"/>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3"/>
      <c r="G38" s="70"/>
      <c r="H38" s="64"/>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3"/>
      <c r="G39" s="70"/>
      <c r="H39" s="64"/>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3"/>
      <c r="G40" s="70"/>
      <c r="H40" s="64"/>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3"/>
      <c r="G41" s="81"/>
      <c r="H41" s="64"/>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2"/>
      <c r="F42" s="64"/>
      <c r="G42" s="81"/>
      <c r="H42" s="64"/>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4"/>
      <c r="G43" s="81"/>
      <c r="H43" s="64"/>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4"/>
      <c r="G44" s="81"/>
      <c r="H44" s="64"/>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4"/>
      <c r="G45" s="81"/>
      <c r="H45" s="64"/>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4"/>
      <c r="G46" s="81"/>
      <c r="H46" s="64"/>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4"/>
      <c r="G47" s="81"/>
      <c r="H47" s="64"/>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4"/>
      <c r="G48" s="81"/>
      <c r="H48" s="64"/>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4"/>
      <c r="G49" s="81"/>
      <c r="H49" s="64"/>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4"/>
      <c r="G50" s="81"/>
      <c r="H50" s="64"/>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4"/>
      <c r="G51" s="81"/>
      <c r="H51" s="64"/>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4"/>
      <c r="G52" s="81"/>
      <c r="H52" s="64"/>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4"/>
      <c r="G53" s="81"/>
      <c r="H53" s="64"/>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4"/>
      <c r="G54" s="81"/>
      <c r="H54" s="64"/>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4"/>
      <c r="G55" s="81"/>
      <c r="H55" s="64"/>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4"/>
      <c r="G56" s="81"/>
      <c r="H56" s="64"/>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919</v>
      </c>
    </row>
    <row r="3" spans="2:7" x14ac:dyDescent="0.75">
      <c r="B3" s="32" t="s">
        <v>37</v>
      </c>
    </row>
    <row r="4" spans="2:7" x14ac:dyDescent="0.75">
      <c r="B4" s="65" t="str">
        <f>"Instance: "&amp;'Allergy-ConceptMap-1'!C4</f>
        <v>Instance: allergy2FHIR-eu-ps</v>
      </c>
    </row>
    <row r="5" spans="2:7" x14ac:dyDescent="0.75">
      <c r="B5" s="65" t="s">
        <v>196</v>
      </c>
    </row>
    <row r="6" spans="2:7" x14ac:dyDescent="0.75">
      <c r="B6" s="65" t="s">
        <v>197</v>
      </c>
    </row>
    <row r="7" spans="2:7" x14ac:dyDescent="0.75">
      <c r="B7" s="65" t="s">
        <v>203</v>
      </c>
    </row>
    <row r="8" spans="2:7" x14ac:dyDescent="0.75">
      <c r="B8" s="65" t="str">
        <f>"* name = ##34#"&amp;'Allergy-ConceptMap-1'!C3&amp;"##34#"</f>
        <v>* name = ##34#Allergy2FHIR##34#</v>
      </c>
    </row>
    <row r="9" spans="2:7" x14ac:dyDescent="0.75">
      <c r="B9" s="65" t="str">
        <f>"* title = ##34#"&amp;'Allergy-ConceptMap-1'!C5&amp;"##34#"</f>
        <v>* title = ##34#eHN Allergy to this guide Map##34#</v>
      </c>
    </row>
    <row r="10" spans="2:7" x14ac:dyDescent="0.75">
      <c r="B10" s="65" t="s">
        <v>198</v>
      </c>
    </row>
    <row r="11" spans="2:7" x14ac:dyDescent="0.75">
      <c r="B11" s="65" t="s">
        <v>199</v>
      </c>
    </row>
    <row r="12" spans="2:7" x14ac:dyDescent="0.75">
      <c r="B12" s="65" t="str">
        <f>"* description = ##34#"&amp;'Allergy-ConceptMap-1'!C8&amp;"##34#"</f>
        <v>* description = ##34#eHN Allergy Model to this guide Map##34#</v>
      </c>
    </row>
    <row r="13" spans="2:7" x14ac:dyDescent="0.75">
      <c r="B13" s="65" t="str">
        <f>"* purpose = ##34#"&amp;'Allergy-ConceptMap-1'!C9&amp;"##34#"</f>
        <v>* purpose = ##34#It shows how the Patient Summary Allergy data set defined by the EU eHN guidelines is mapped into this guide##34#</v>
      </c>
    </row>
    <row r="14" spans="2:7" x14ac:dyDescent="0.75">
      <c r="B14" s="66" t="str">
        <f>"* sourceUri = ##34#"&amp;'Allergy-ConceptMap-1'!E3&amp;"##34#"</f>
        <v>* sourceUri = ##34#http://hl7.eu/fhir/ig/xpandh/ps/StructureDefinition/Allergy##34#</v>
      </c>
    </row>
    <row r="15" spans="2:7" x14ac:dyDescent="0.75">
      <c r="B15" s="66" t="str">
        <f>"* targetUri = ##34#"&amp;'Allergy-ConceptMap-1'!E4&amp;"##34#"</f>
        <v>* targetUri = ##34#http://hl7.eu/fhir/ig/xpandh/ps/StructureDefinition/AllergyIntolerance-ps-eu-xpandh##34#</v>
      </c>
    </row>
    <row r="16" spans="2:7" x14ac:dyDescent="0.75">
      <c r="B16" s="65"/>
    </row>
    <row r="17" spans="2:7" x14ac:dyDescent="0.75">
      <c r="B17" s="67" t="str">
        <f>"* group[+].source = ##34#"&amp;'Allergy-ConceptMap-1'!E6&amp;"##34#"</f>
        <v>* group[+].source = ##34#http://hl7.eu/fhir/ig/xpandh/ps/StructureDefinition/Allergy##34#</v>
      </c>
    </row>
    <row r="18" spans="2:7" x14ac:dyDescent="0.75">
      <c r="B18" s="67" t="str">
        <f>"* group[=].target = ##34#"&amp;'Allergy-ConceptMap-1'!E7&amp;"##34#"</f>
        <v>* group[=].target = ##34#http://hl7.eu/fhir/ig/xpandh/ps/StructureDefinition/AllergyIntolerance-ps-eu-xpandh##34#</v>
      </c>
    </row>
    <row r="19" spans="2:7" x14ac:dyDescent="0.75">
      <c r="B19" s="69"/>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4"/>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65"/>
    </row>
    <row r="129" spans="2:2" x14ac:dyDescent="0.75">
      <c r="B129" s="67"/>
    </row>
    <row r="130" spans="2:2" x14ac:dyDescent="0.75">
      <c r="B130" s="67"/>
    </row>
    <row r="131" spans="2:2" x14ac:dyDescent="0.75">
      <c r="B131" s="69"/>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392</v>
      </c>
      <c r="I4" s="24" t="str">
        <f>CONCATENATE("Logical: ",B4)</f>
        <v>Logical: AuthorPsEhn</v>
      </c>
    </row>
    <row r="5" spans="1:11" x14ac:dyDescent="0.75">
      <c r="A5" s="17" t="s">
        <v>19</v>
      </c>
      <c r="B5" s="33" t="s">
        <v>153</v>
      </c>
      <c r="I5" s="24" t="str">
        <f>CONCATENATE("Id: ",B5)</f>
        <v>Id: Author</v>
      </c>
    </row>
    <row r="6" spans="1:11" x14ac:dyDescent="0.75">
      <c r="A6" s="17" t="s">
        <v>13</v>
      </c>
      <c r="B6" s="18" t="s">
        <v>285</v>
      </c>
      <c r="I6" s="25" t="str">
        <f>CONCATENATE("Title: ##34#",B6,"##34#")</f>
        <v>Title: ##34#A.1.5 - Author##34#</v>
      </c>
    </row>
    <row r="7" spans="1:11" ht="45" customHeight="1" x14ac:dyDescent="0.75">
      <c r="A7" s="43" t="s">
        <v>5</v>
      </c>
      <c r="B7" s="50" t="s">
        <v>283</v>
      </c>
      <c r="C7" s="12"/>
      <c r="D7" s="2"/>
      <c r="E7" s="49"/>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136</v>
      </c>
      <c r="C8" s="9" t="s">
        <v>150</v>
      </c>
      <c r="D8" s="14" t="s">
        <v>164</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151</v>
      </c>
      <c r="D9" s="14" t="s">
        <v>152</v>
      </c>
      <c r="E9" s="9">
        <v>0</v>
      </c>
      <c r="F9" s="9" t="s">
        <v>11</v>
      </c>
      <c r="G9" s="9" t="s">
        <v>156</v>
      </c>
      <c r="H9" s="22"/>
      <c r="I9" s="14" t="str">
        <f t="shared" ref="I9:I14" si="0">CONCATENATE("* ",B9, " ",E9,"..",F9," ",G9," ##34#",C9,"##34# ##334#",D9,"##334#")</f>
        <v>* name 0..* HumanName ##34#A.1.5.2 Author name##34# ##334#Person or device name. - Preferred system(s): ##334#</v>
      </c>
    </row>
    <row r="10" spans="1:11" ht="30.25" customHeight="1" x14ac:dyDescent="0.75">
      <c r="A10" s="9">
        <v>3</v>
      </c>
      <c r="B10" s="9" t="s">
        <v>138</v>
      </c>
      <c r="C10" s="9" t="s">
        <v>163</v>
      </c>
      <c r="D10" s="14" t="s">
        <v>144</v>
      </c>
      <c r="E10" s="9">
        <v>0</v>
      </c>
      <c r="F10" s="9" t="s">
        <v>11</v>
      </c>
      <c r="G10" s="9" t="s">
        <v>139</v>
      </c>
      <c r="H10" s="22"/>
      <c r="I10" s="14" t="str">
        <f t="shared" si="0"/>
        <v>* organization 0..* Organization ##34#A.1.5.3 Author organization##34# ##334#The healthcare provider organization information. - Preferred system(s): ##334#</v>
      </c>
    </row>
    <row r="11" spans="1:11" ht="45" customHeight="1" x14ac:dyDescent="0.75">
      <c r="A11" s="51">
        <v>4</v>
      </c>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78</v>
      </c>
      <c r="D26" s="152"/>
      <c r="E26" s="152"/>
      <c r="F26" s="153"/>
    </row>
    <row r="27" spans="2:9" ht="409.6" thickBot="1" x14ac:dyDescent="0.9">
      <c r="B27" t="str">
        <f t="shared" ref="B27:B29" si="2">CONCATENATE(C27," ",D27)</f>
        <v>A.1.5.1 Author identifier</v>
      </c>
      <c r="C27" s="35" t="s">
        <v>79</v>
      </c>
      <c r="D27" s="36" t="s">
        <v>80</v>
      </c>
      <c r="E27" s="36" t="s">
        <v>165</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166</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154</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155</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178</v>
      </c>
      <c r="E9" s="4" t="str">
        <f>CONCATENATE("* -&gt; ##34#",C9,"##34#")</f>
        <v>* -&gt; ##34#Composition.author.resolve()##34#</v>
      </c>
      <c r="H9" s="10"/>
      <c r="I9" s="10"/>
      <c r="J9" s="10"/>
      <c r="K9" s="10"/>
      <c r="L9" s="10"/>
      <c r="M9" s="10"/>
      <c r="N9" s="10"/>
      <c r="O9" s="10"/>
    </row>
    <row r="10" spans="1:15" ht="44.25" x14ac:dyDescent="0.75">
      <c r="A10" s="9"/>
      <c r="B10" s="54" t="str">
        <f>'A1.5 Author'!$B$8</f>
        <v>identifier</v>
      </c>
      <c r="C10" s="9" t="s">
        <v>289</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4" t="str">
        <f>'A1.5 Author'!$B$8</f>
        <v>identifier</v>
      </c>
      <c r="C11" s="9" t="s">
        <v>290</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291</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292</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48" t="s">
        <v>434</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ht="29.5"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116</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5"/>
      <c r="G48" s="10"/>
    </row>
    <row r="49" spans="3:3" x14ac:dyDescent="0.75">
      <c r="C49" s="55"/>
    </row>
    <row r="50" spans="3:3" x14ac:dyDescent="0.75">
      <c r="C50" s="55"/>
    </row>
    <row r="51" spans="3:3" x14ac:dyDescent="0.75">
      <c r="C51" s="5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907</v>
      </c>
    </row>
    <row r="4" spans="1:19" x14ac:dyDescent="0.75">
      <c r="B4" s="61" t="s">
        <v>19</v>
      </c>
      <c r="C4" s="47" t="s">
        <v>518</v>
      </c>
      <c r="D4" s="61" t="s">
        <v>209</v>
      </c>
      <c r="E4" t="str">
        <f>'Author-ConceptMap-2-delete'!E4</f>
        <v>http://hl7.eu/fhir/ig/xpandh/ps/StructureDefinition/Bundle-eu-ps</v>
      </c>
    </row>
    <row r="5" spans="1:19" x14ac:dyDescent="0.75">
      <c r="B5" s="61" t="s">
        <v>13</v>
      </c>
      <c r="C5" s="10" t="s">
        <v>230</v>
      </c>
      <c r="D5" s="61"/>
      <c r="E5" s="10"/>
    </row>
    <row r="6" spans="1:19" x14ac:dyDescent="0.75">
      <c r="B6" s="61" t="s">
        <v>35</v>
      </c>
      <c r="C6" s="60"/>
      <c r="D6" s="61" t="s">
        <v>206</v>
      </c>
      <c r="E6" s="165" t="s">
        <v>907</v>
      </c>
      <c r="F6" s="164"/>
      <c r="G6" s="164"/>
    </row>
    <row r="7" spans="1:19" x14ac:dyDescent="0.75">
      <c r="B7" s="61" t="s">
        <v>18</v>
      </c>
      <c r="C7" s="68"/>
      <c r="D7" s="61" t="s">
        <v>207</v>
      </c>
      <c r="E7" s="165" t="s">
        <v>902</v>
      </c>
      <c r="F7" s="164"/>
      <c r="G7" s="164"/>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14" t="s">
        <v>107</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262</v>
      </c>
      <c r="E15" s="9"/>
      <c r="F15" s="63" t="s">
        <v>192</v>
      </c>
      <c r="G15" s="63"/>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263</v>
      </c>
      <c r="E16" s="9"/>
      <c r="F16" s="63" t="s">
        <v>192</v>
      </c>
      <c r="G16" s="82" t="s">
        <v>304</v>
      </c>
      <c r="H16" s="64"/>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297</v>
      </c>
      <c r="E17" s="9"/>
      <c r="F17" s="63" t="s">
        <v>192</v>
      </c>
      <c r="G17" s="14" t="s">
        <v>305</v>
      </c>
      <c r="H17" s="64"/>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302</v>
      </c>
      <c r="E18" s="9"/>
      <c r="F18" s="63" t="s">
        <v>192</v>
      </c>
      <c r="G18" s="70" t="s">
        <v>317</v>
      </c>
      <c r="H18" s="64"/>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264</v>
      </c>
      <c r="E19" s="9"/>
      <c r="F19" s="63" t="s">
        <v>192</v>
      </c>
      <c r="G19" s="14" t="s">
        <v>306</v>
      </c>
      <c r="H19" s="64"/>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303</v>
      </c>
      <c r="E20" s="9"/>
      <c r="F20" s="63" t="s">
        <v>192</v>
      </c>
      <c r="G20" s="70" t="s">
        <v>317</v>
      </c>
      <c r="H20" s="64"/>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3"/>
      <c r="G21" s="63"/>
      <c r="H21" s="64"/>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3"/>
      <c r="G22" s="63"/>
      <c r="H22" s="64"/>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3"/>
      <c r="G23" s="63"/>
      <c r="H23" s="64"/>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3"/>
      <c r="G24" s="63"/>
      <c r="H24" s="64"/>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3"/>
      <c r="G25" s="63"/>
      <c r="H25" s="64"/>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3"/>
      <c r="G26" s="63"/>
      <c r="H26" s="64"/>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3"/>
      <c r="G27" s="63"/>
      <c r="H27" s="64"/>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3"/>
      <c r="G28" s="63"/>
      <c r="H28" s="64"/>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3"/>
      <c r="G29" s="63"/>
      <c r="H29" s="64"/>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3"/>
      <c r="G30" s="63"/>
      <c r="H30" s="64"/>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3"/>
      <c r="G31" s="63"/>
      <c r="H31" s="64"/>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3"/>
      <c r="G32" s="63"/>
      <c r="H32" s="64"/>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3"/>
      <c r="G33" s="63"/>
      <c r="H33" s="64"/>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3"/>
      <c r="G34" s="63"/>
      <c r="H34" s="64"/>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3"/>
      <c r="G35" s="63"/>
      <c r="H35" s="64"/>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3"/>
      <c r="G36" s="63"/>
      <c r="H36" s="64"/>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3"/>
      <c r="G37" s="63"/>
      <c r="H37" s="64"/>
      <c r="K37" s="64"/>
      <c r="L37" s="64"/>
      <c r="M37" s="62"/>
      <c r="N37" s="62"/>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3"/>
      <c r="G38" s="63"/>
      <c r="H38" s="64"/>
      <c r="K38" s="64"/>
      <c r="L38" s="64"/>
      <c r="M38" s="62"/>
      <c r="N38" s="62"/>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3"/>
      <c r="G39" s="64"/>
      <c r="H39" s="64"/>
      <c r="J39"/>
      <c r="K39" s="64"/>
      <c r="L39" s="64"/>
      <c r="M39" s="62"/>
      <c r="N39" s="62"/>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2"/>
      <c r="F40" s="64"/>
      <c r="G40" s="64"/>
      <c r="H40" s="64"/>
      <c r="J40"/>
      <c r="K40" s="64"/>
      <c r="L40" s="64"/>
      <c r="M40" s="62"/>
      <c r="N40" s="62"/>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907</v>
      </c>
    </row>
    <row r="4" spans="1:19" x14ac:dyDescent="0.75">
      <c r="B4" s="61" t="s">
        <v>19</v>
      </c>
      <c r="C4" s="47" t="s">
        <v>518</v>
      </c>
      <c r="D4" s="61" t="s">
        <v>209</v>
      </c>
      <c r="E4" s="165" t="s">
        <v>901</v>
      </c>
      <c r="F4" s="164"/>
      <c r="G4" s="164"/>
    </row>
    <row r="5" spans="1:19" x14ac:dyDescent="0.75">
      <c r="B5" s="61" t="s">
        <v>13</v>
      </c>
      <c r="C5" s="10" t="s">
        <v>230</v>
      </c>
      <c r="D5" s="61"/>
      <c r="E5" s="10"/>
    </row>
    <row r="6" spans="1:19" x14ac:dyDescent="0.75">
      <c r="B6" s="61" t="s">
        <v>35</v>
      </c>
      <c r="C6" s="60"/>
      <c r="D6" s="61" t="s">
        <v>206</v>
      </c>
      <c r="E6" s="165" t="s">
        <v>907</v>
      </c>
      <c r="F6" s="164"/>
      <c r="G6" s="164"/>
    </row>
    <row r="7" spans="1:19" x14ac:dyDescent="0.75">
      <c r="B7" s="61" t="s">
        <v>18</v>
      </c>
      <c r="C7" s="68"/>
      <c r="D7" s="61" t="s">
        <v>207</v>
      </c>
      <c r="E7" s="164" t="s">
        <v>908</v>
      </c>
      <c r="F7" s="164"/>
      <c r="G7" s="164"/>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256</v>
      </c>
      <c r="E15" s="9"/>
      <c r="F15" s="63" t="s">
        <v>193</v>
      </c>
      <c r="G15" s="63" t="s">
        <v>212</v>
      </c>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257</v>
      </c>
      <c r="E17" s="9"/>
      <c r="F17" s="63" t="s">
        <v>193</v>
      </c>
      <c r="G17" s="70" t="s">
        <v>307</v>
      </c>
      <c r="H17" s="64"/>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316</v>
      </c>
      <c r="E18" s="9"/>
      <c r="F18" s="63" t="s">
        <v>193</v>
      </c>
      <c r="G18" s="70" t="s">
        <v>308</v>
      </c>
      <c r="H18" s="64"/>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260</v>
      </c>
      <c r="E19" s="9"/>
      <c r="F19" s="63" t="s">
        <v>193</v>
      </c>
      <c r="G19" s="70" t="s">
        <v>309</v>
      </c>
      <c r="H19" s="64"/>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294</v>
      </c>
      <c r="E20" s="9"/>
      <c r="F20" s="63" t="s">
        <v>193</v>
      </c>
      <c r="G20" s="70" t="s">
        <v>310</v>
      </c>
      <c r="H20" s="64"/>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258</v>
      </c>
      <c r="E21" s="9"/>
      <c r="F21" s="63" t="s">
        <v>193</v>
      </c>
      <c r="G21" s="70" t="s">
        <v>308</v>
      </c>
      <c r="H21" s="64"/>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261</v>
      </c>
      <c r="E22" s="9"/>
      <c r="F22" s="63" t="s">
        <v>193</v>
      </c>
      <c r="G22" s="70" t="s">
        <v>310</v>
      </c>
      <c r="H22" s="64"/>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3"/>
      <c r="G23" s="63"/>
      <c r="H23" s="64"/>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3"/>
      <c r="G24" s="63"/>
      <c r="H24" s="64"/>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3"/>
      <c r="G25" s="63"/>
      <c r="H25" s="64"/>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3"/>
      <c r="G26" s="63"/>
      <c r="H26" s="64"/>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3"/>
      <c r="G27" s="63"/>
      <c r="H27" s="64"/>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3"/>
      <c r="G28" s="63"/>
      <c r="H28" s="64"/>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3"/>
      <c r="G29" s="63"/>
      <c r="H29" s="64"/>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3"/>
      <c r="G30" s="63"/>
      <c r="H30" s="64"/>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3"/>
      <c r="G31" s="63"/>
      <c r="H31" s="64"/>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3"/>
      <c r="G32" s="63"/>
      <c r="H32" s="64"/>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3"/>
      <c r="G33" s="63"/>
      <c r="H33" s="64"/>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3"/>
      <c r="G34" s="63"/>
      <c r="H34" s="64"/>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3"/>
      <c r="G35" s="63"/>
      <c r="H35" s="64"/>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3"/>
      <c r="G36" s="63"/>
      <c r="H36" s="64"/>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3"/>
      <c r="G37" s="63"/>
      <c r="H37" s="64"/>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3"/>
      <c r="G38" s="63"/>
      <c r="H38" s="64"/>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3"/>
      <c r="G39" s="63"/>
      <c r="H39" s="64"/>
      <c r="K39" s="64"/>
      <c r="L39" s="64"/>
      <c r="M39" s="62"/>
      <c r="N39" s="62"/>
      <c r="P39" s="9">
        <v>25</v>
      </c>
      <c r="Q39" s="9">
        <f t="shared" si="13"/>
        <v>4</v>
      </c>
      <c r="R39" s="9">
        <f t="shared" si="14"/>
        <v>1</v>
      </c>
      <c r="S39" s="14" t="str" cm="1">
        <f t="array" ref="S39">INDEX('Author-ConceptMap-2'!$I$15:$N$125,Q39+1,R39)</f>
        <v>* group[=].element[+].code = #Author.name</v>
      </c>
    </row>
    <row r="40" spans="1:19" x14ac:dyDescent="0.75">
      <c r="B40" s="9"/>
      <c r="C40" s="9"/>
      <c r="D40" s="14"/>
      <c r="E40" s="14"/>
      <c r="F40" s="63"/>
      <c r="G40" s="63"/>
      <c r="H40" s="64"/>
      <c r="K40" s="64"/>
      <c r="L40" s="64"/>
      <c r="M40" s="62"/>
      <c r="N40" s="62"/>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3"/>
      <c r="G41" s="64"/>
      <c r="H41" s="64"/>
      <c r="J41"/>
      <c r="K41" s="64"/>
      <c r="L41" s="64"/>
      <c r="M41" s="62"/>
      <c r="N41" s="62"/>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2"/>
      <c r="F42" s="64"/>
      <c r="G42" s="64"/>
      <c r="H42" s="64"/>
      <c r="J42"/>
      <c r="K42" s="64"/>
      <c r="L42" s="64"/>
      <c r="M42" s="62"/>
      <c r="N42" s="62"/>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4"/>
      <c r="G43" s="64"/>
      <c r="H43" s="64"/>
      <c r="J43"/>
      <c r="K43" s="64"/>
      <c r="L43" s="64"/>
      <c r="M43" s="62"/>
      <c r="N43" s="62"/>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4"/>
      <c r="G44" s="64"/>
      <c r="H44" s="64"/>
      <c r="J44" s="64"/>
      <c r="K44" s="64"/>
      <c r="L44" s="64"/>
      <c r="M44" s="62"/>
      <c r="N44" s="62"/>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4"/>
      <c r="G45" s="64"/>
      <c r="H45" s="64"/>
      <c r="J45" s="64"/>
      <c r="K45" s="64"/>
      <c r="L45" s="64"/>
      <c r="M45" s="62"/>
      <c r="N45" s="62"/>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227</v>
      </c>
      <c r="D3" s="61" t="s">
        <v>208</v>
      </c>
      <c r="E3" s="72" t="s">
        <v>907</v>
      </c>
    </row>
    <row r="4" spans="1:19" x14ac:dyDescent="0.75">
      <c r="B4" s="61" t="s">
        <v>19</v>
      </c>
      <c r="C4" s="47" t="s">
        <v>228</v>
      </c>
      <c r="D4" s="61" t="s">
        <v>209</v>
      </c>
      <c r="E4" t="str">
        <f>'Author-ConceptMap-2'!E4</f>
        <v>http://hl7.eu/fhir/ig/xpandh/ps/StructureDefinition/Bundle-eu-ps</v>
      </c>
    </row>
    <row r="5" spans="1:19" x14ac:dyDescent="0.75">
      <c r="B5" s="61" t="s">
        <v>13</v>
      </c>
      <c r="C5" s="10" t="s">
        <v>230</v>
      </c>
      <c r="D5" s="61"/>
      <c r="E5" s="10"/>
    </row>
    <row r="6" spans="1:19" x14ac:dyDescent="0.75">
      <c r="B6" s="61" t="s">
        <v>35</v>
      </c>
      <c r="C6" s="60"/>
      <c r="D6" s="61" t="s">
        <v>206</v>
      </c>
      <c r="E6" s="165" t="s">
        <v>907</v>
      </c>
      <c r="F6" s="164"/>
      <c r="G6" s="164"/>
    </row>
    <row r="7" spans="1:19" x14ac:dyDescent="0.75">
      <c r="B7" s="61" t="s">
        <v>18</v>
      </c>
      <c r="C7" s="68"/>
      <c r="D7" s="61" t="s">
        <v>207</v>
      </c>
      <c r="E7" s="164" t="s">
        <v>908</v>
      </c>
      <c r="F7" s="164"/>
      <c r="G7" s="164"/>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59" x14ac:dyDescent="0.75">
      <c r="A15" s="22"/>
      <c r="B15" s="54" t="s">
        <v>210</v>
      </c>
      <c r="C15" s="54" t="s">
        <v>148</v>
      </c>
      <c r="D15" s="14" t="s">
        <v>246</v>
      </c>
      <c r="E15" s="54"/>
      <c r="F15" s="63" t="s">
        <v>193</v>
      </c>
      <c r="G15" s="63" t="s">
        <v>233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260</v>
      </c>
      <c r="E17" s="9"/>
      <c r="F17" s="63" t="s">
        <v>193</v>
      </c>
      <c r="G17" s="63" t="s">
        <v>293</v>
      </c>
      <c r="H17" s="64"/>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294</v>
      </c>
      <c r="E18" s="9"/>
      <c r="F18" s="63" t="s">
        <v>193</v>
      </c>
      <c r="G18" s="63" t="s">
        <v>295</v>
      </c>
      <c r="H18" s="64"/>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261</v>
      </c>
      <c r="E19" s="9"/>
      <c r="F19" s="63" t="s">
        <v>193</v>
      </c>
      <c r="G19" s="63" t="s">
        <v>296</v>
      </c>
      <c r="H19" s="64"/>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3"/>
      <c r="G20" s="63"/>
      <c r="H20" s="64"/>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3"/>
      <c r="G21" s="63"/>
      <c r="H21" s="64"/>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3"/>
      <c r="G22" s="63"/>
      <c r="H22" s="64"/>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3"/>
      <c r="G23" s="63"/>
      <c r="H23" s="64"/>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3"/>
      <c r="G24" s="63"/>
      <c r="H24" s="64"/>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3"/>
      <c r="G25" s="63"/>
      <c r="H25" s="64"/>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3"/>
      <c r="G26" s="63"/>
      <c r="H26" s="64"/>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3"/>
      <c r="G27" s="63"/>
      <c r="H27" s="64"/>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3"/>
      <c r="G28" s="63"/>
      <c r="H28" s="64"/>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3"/>
      <c r="G29" s="63"/>
      <c r="H29" s="64"/>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3"/>
      <c r="G30" s="63"/>
      <c r="H30" s="64"/>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3"/>
      <c r="G31" s="63"/>
      <c r="H31" s="64"/>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3"/>
      <c r="G32" s="63"/>
      <c r="H32" s="64"/>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3"/>
      <c r="G33" s="63"/>
      <c r="H33" s="64"/>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3"/>
      <c r="G34" s="63"/>
      <c r="H34" s="64"/>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3"/>
      <c r="G35" s="63"/>
      <c r="H35" s="64"/>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3"/>
      <c r="G36" s="63"/>
      <c r="H36" s="64"/>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3"/>
      <c r="G37" s="63"/>
      <c r="H37" s="64"/>
      <c r="K37" s="64"/>
      <c r="L37" s="64"/>
      <c r="M37" s="62"/>
      <c r="N37" s="62"/>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3"/>
      <c r="G38" s="63"/>
      <c r="H38" s="64"/>
      <c r="K38" s="64"/>
      <c r="L38" s="64"/>
      <c r="M38" s="62"/>
      <c r="N38" s="62"/>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3"/>
      <c r="G39" s="64"/>
      <c r="H39" s="64"/>
      <c r="J39"/>
      <c r="K39" s="64"/>
      <c r="L39" s="64"/>
      <c r="M39" s="62"/>
      <c r="N39" s="62"/>
      <c r="P39">
        <v>25</v>
      </c>
      <c r="Q39" s="9">
        <f t="shared" si="17"/>
        <v>4</v>
      </c>
      <c r="R39" s="9">
        <f t="shared" si="18"/>
        <v>1</v>
      </c>
      <c r="S39" s="14" cm="1">
        <f t="array" ref="S39">INDEX('Author-ConceptMap-2-delete'!$I$16:$N$121,Q39+1,R39)</f>
        <v>0</v>
      </c>
    </row>
    <row r="40" spans="1:19" s="1" customFormat="1" x14ac:dyDescent="0.75">
      <c r="A40"/>
      <c r="B40" s="9"/>
      <c r="C40" s="9"/>
      <c r="D40" s="52"/>
      <c r="F40" s="64"/>
      <c r="G40" s="64"/>
      <c r="H40" s="64"/>
      <c r="J40"/>
      <c r="K40" s="64"/>
      <c r="L40" s="64"/>
      <c r="M40" s="62"/>
      <c r="N40" s="62"/>
      <c r="P40" s="9">
        <v>26</v>
      </c>
      <c r="Q40" s="9">
        <f t="shared" si="17"/>
        <v>4</v>
      </c>
      <c r="R40" s="9">
        <f t="shared" si="18"/>
        <v>2</v>
      </c>
      <c r="S40" s="14" cm="1">
        <f t="array" ref="S40">INDEX('Author-ConceptMap-2-delete'!$I$16:$N$121,Q40+1,R40)</f>
        <v>0</v>
      </c>
    </row>
    <row r="41" spans="1:19" s="1" customFormat="1" x14ac:dyDescent="0.75">
      <c r="A41"/>
      <c r="B41" s="9"/>
      <c r="C41" s="9"/>
      <c r="F41" s="64"/>
      <c r="G41" s="64"/>
      <c r="H41" s="64"/>
      <c r="J41"/>
      <c r="K41" s="64"/>
      <c r="L41" s="64"/>
      <c r="M41" s="62"/>
      <c r="N41" s="62"/>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231</v>
      </c>
    </row>
    <row r="3" spans="2:7" x14ac:dyDescent="0.75">
      <c r="B3" s="32" t="s">
        <v>37</v>
      </c>
    </row>
    <row r="4" spans="2:7" x14ac:dyDescent="0.75">
      <c r="B4" s="65" t="str">
        <f>"Instance: "&amp;'Author-ConceptMap-2'!C4</f>
        <v>Instance: author2FHIR-eu-ps</v>
      </c>
    </row>
    <row r="5" spans="2:7" x14ac:dyDescent="0.75">
      <c r="B5" s="65" t="s">
        <v>196</v>
      </c>
    </row>
    <row r="6" spans="2:7" x14ac:dyDescent="0.75">
      <c r="B6" s="65" t="s">
        <v>197</v>
      </c>
    </row>
    <row r="7" spans="2:7" x14ac:dyDescent="0.75">
      <c r="B7" s="65" t="s">
        <v>203</v>
      </c>
    </row>
    <row r="8" spans="2:7" x14ac:dyDescent="0.75">
      <c r="B8" s="65" t="str">
        <f>"* name = ##34#"&amp;'Author-ConceptMap-2'!C3&amp;"##34#"</f>
        <v>* name = ##34#PatientSummaryAuthor2FHIR##34#</v>
      </c>
    </row>
    <row r="9" spans="2:7" x14ac:dyDescent="0.75">
      <c r="B9" s="65" t="str">
        <f>"* title = ##34#"&amp;'Author-ConceptMap-2'!C5&amp;"##34#"</f>
        <v>* title = ##34#eHN Author to this guide Map##34#</v>
      </c>
    </row>
    <row r="10" spans="2:7" x14ac:dyDescent="0.75">
      <c r="B10" s="65" t="s">
        <v>198</v>
      </c>
    </row>
    <row r="11" spans="2:7" x14ac:dyDescent="0.75">
      <c r="B11" s="65" t="s">
        <v>199</v>
      </c>
    </row>
    <row r="12" spans="2:7" x14ac:dyDescent="0.75">
      <c r="B12" s="65" t="str">
        <f>"* description = ##34#"&amp;'Author-ConceptMap-2'!C8&amp;"##34#"</f>
        <v>* description = ##34#eHN Author Model to this guide Map##34#</v>
      </c>
    </row>
    <row r="13" spans="2:7" x14ac:dyDescent="0.75">
      <c r="B13" s="65" t="str">
        <f>"* purpose = ##34#"&amp;'Author-ConceptMap-2'!C9&amp;"##34#"</f>
        <v>* purpose = ##34#It shows how the Patient Summary Author data set defined by the EU eHN guidelines is mapped into this guide##34#</v>
      </c>
    </row>
    <row r="14" spans="2:7" x14ac:dyDescent="0.75">
      <c r="B14" s="66" t="str">
        <f>"* sourceUri = ##34#"&amp;'Author-ConceptMap-2'!E3&amp;"##34#"</f>
        <v>* sourceUri = ##34#http://hl7.eu/fhir/ig/xpandh/ps/StructureDefinition/Author##34#</v>
      </c>
    </row>
    <row r="15" spans="2:7" x14ac:dyDescent="0.75">
      <c r="B15" s="66" t="str">
        <f>"* targetUri = ##34#"&amp;'Author-ConceptMap-2'!E4&amp;"##34#"</f>
        <v>* targetUri = ##34#http://hl7.eu/fhir/ig/xpandh/ps/StructureDefinition/Bundle-eu-ps##34#</v>
      </c>
    </row>
    <row r="16" spans="2:7" x14ac:dyDescent="0.75">
      <c r="B16" s="65"/>
    </row>
    <row r="17" spans="2:2" x14ac:dyDescent="0.75">
      <c r="B17" s="65"/>
    </row>
    <row r="18" spans="2:2" x14ac:dyDescent="0.75">
      <c r="B18" s="67" t="str">
        <f>"* group[+].source = ##34#"&amp;'Author-ConceptMap-1'!E6&amp;"##34#"</f>
        <v>* group[+].source = ##34#http://hl7.eu/fhir/ig/xpandh/ps/StructureDefinition/Author##34#</v>
      </c>
    </row>
    <row r="19" spans="2:2" x14ac:dyDescent="0.75">
      <c r="B19" s="67" t="str">
        <f>"* group[=].target = ##34#"&amp;'Author-ConceptMap-1'!E7&amp;"##34#"</f>
        <v>* group[=].target = ##34#http://hl7.eu/fhir/ig/xpandh/ps/StructureDefinition/Composition-eu-ps##34#</v>
      </c>
    </row>
    <row r="20" spans="2:2" x14ac:dyDescent="0.75">
      <c r="B20" s="69"/>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67" t="str">
        <f>"* group[+].source = ##34#"&amp;'Author-ConceptMap-2'!E6&amp;"##34#"</f>
        <v>* group[+].source = ##34#http://hl7.eu/fhir/ig/xpandh/ps/StructureDefinition/Author##34#</v>
      </c>
    </row>
    <row r="64" spans="2:2" x14ac:dyDescent="0.75">
      <c r="B64" s="67" t="str">
        <f>"* group[=].target = ##34#"&amp;'Author-ConceptMap-2'!E7&amp;"##34#"</f>
        <v>* group[=].target = ##34#http://hl7.eu/fhir/ig/xpandh/ps/StructureDefinition/DiagnosticReport-eu-ps##34#</v>
      </c>
    </row>
    <row r="65" spans="2:7" x14ac:dyDescent="0.75">
      <c r="B65" s="69"/>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393</v>
      </c>
      <c r="I4" s="24" t="str">
        <f>CONCATENATE("Logical: ",B4)</f>
        <v>Logical: LegalAuthenticatorPsEhn</v>
      </c>
    </row>
    <row r="5" spans="1:11" x14ac:dyDescent="0.75">
      <c r="A5" s="17" t="s">
        <v>19</v>
      </c>
      <c r="B5" s="33" t="s">
        <v>149</v>
      </c>
      <c r="I5" s="24" t="str">
        <f>CONCATENATE("Id: ",B5)</f>
        <v>Id: LegalAuthenticator</v>
      </c>
    </row>
    <row r="6" spans="1:11" x14ac:dyDescent="0.75">
      <c r="A6" s="17" t="s">
        <v>13</v>
      </c>
      <c r="B6" s="18" t="s">
        <v>287</v>
      </c>
      <c r="I6" s="25" t="str">
        <f>CONCATENATE("Title: ##34#",B6,"##34#")</f>
        <v>Title: ##34#A.1.6 - Legal authenticator##34#</v>
      </c>
    </row>
    <row r="7" spans="1:11" ht="44.25" x14ac:dyDescent="0.75">
      <c r="A7" s="43" t="s">
        <v>5</v>
      </c>
      <c r="B7" s="50" t="s">
        <v>284</v>
      </c>
      <c r="C7" s="12"/>
      <c r="D7" s="2"/>
      <c r="E7" s="49"/>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136</v>
      </c>
      <c r="C8" s="9" t="s">
        <v>141</v>
      </c>
      <c r="D8" s="14" t="s">
        <v>168</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142</v>
      </c>
      <c r="D9" s="14" t="s">
        <v>140</v>
      </c>
      <c r="E9" s="9">
        <v>0</v>
      </c>
      <c r="F9" s="9" t="s">
        <v>11</v>
      </c>
      <c r="G9" s="9" t="s">
        <v>156</v>
      </c>
      <c r="H9" s="22"/>
      <c r="I9" s="14" t="str">
        <f t="shared" ref="I9:I14" si="0">CONCATENATE("* ",B9, " ",E9,"..",F9," ",G9," ##34#",C9,"##34# ##334#",D9,"##334#")</f>
        <v>* name 0..* HumanName ##34#A.1.6.2 Legal authenticator name##34# ##334#Person name. - Preferred system(s): ##334#</v>
      </c>
    </row>
    <row r="10" spans="1:11" ht="30.25" customHeight="1" x14ac:dyDescent="0.75">
      <c r="A10" s="9">
        <v>3</v>
      </c>
      <c r="B10" s="9" t="s">
        <v>138</v>
      </c>
      <c r="C10" s="9" t="s">
        <v>167</v>
      </c>
      <c r="D10" s="14" t="s">
        <v>144</v>
      </c>
      <c r="E10" s="9">
        <v>0</v>
      </c>
      <c r="F10" s="9" t="s">
        <v>11</v>
      </c>
      <c r="G10" s="9" t="s">
        <v>139</v>
      </c>
      <c r="H10" s="22"/>
      <c r="I10" s="14" t="str">
        <f t="shared" si="0"/>
        <v>* organization 0..* Organization ##34#A.1.6.3 Legal authenticator organization##34# ##334#The healthcare provider organization information. - Preferred system(s): ##334#</v>
      </c>
    </row>
    <row r="11" spans="1:11" ht="45" customHeight="1" x14ac:dyDescent="0.75">
      <c r="A11" s="51">
        <v>4</v>
      </c>
      <c r="B11" s="51" t="s">
        <v>2</v>
      </c>
      <c r="C11" t="s">
        <v>143</v>
      </c>
      <c r="D11" s="52" t="s">
        <v>145</v>
      </c>
      <c r="E11" s="51">
        <v>0</v>
      </c>
      <c r="F11" s="51">
        <v>1</v>
      </c>
      <c r="G11" s="51"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2"/>
      <c r="E26" s="152"/>
      <c r="F26" s="153"/>
    </row>
    <row r="27" spans="2:9" ht="384.75" customHeight="1" thickBot="1" x14ac:dyDescent="0.9">
      <c r="B27" t="str">
        <f t="shared" ref="B27:B30" si="2">CONCATENATE(C27," ",D27)</f>
        <v>A.1.6.1 Legal authenticator identifier</v>
      </c>
      <c r="C27" s="35" t="s">
        <v>86</v>
      </c>
      <c r="D27" s="38" t="s">
        <v>87</v>
      </c>
      <c r="E27" s="36" t="s">
        <v>169</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170</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48" t="s">
        <v>435</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116</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e">
        <f>#REF!</f>
        <v>#REF!</v>
      </c>
    </row>
    <row r="31" spans="3:3" x14ac:dyDescent="0.75">
      <c r="C31" s="32" t="e">
        <f>#REF!</f>
        <v>#REF!</v>
      </c>
    </row>
    <row r="32" spans="3:3" x14ac:dyDescent="0.75">
      <c r="C32" s="32" t="e">
        <f>#REF!</f>
        <v>#REF!</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237</v>
      </c>
      <c r="D3" s="61" t="s">
        <v>208</v>
      </c>
      <c r="E3" s="165" t="str">
        <f>"http://hl7.eu/fhir/ig/xpandh/ps/StructureDefinition/"&amp;'A1.6 LegalAuth'!B5</f>
        <v>http://hl7.eu/fhir/ig/xpandh/ps/StructureDefinition/LegalAuthenticator</v>
      </c>
      <c r="F3" s="164"/>
      <c r="G3" s="164"/>
    </row>
    <row r="4" spans="1:19" x14ac:dyDescent="0.75">
      <c r="B4" s="61" t="s">
        <v>19</v>
      </c>
      <c r="C4" s="47" t="s">
        <v>519</v>
      </c>
      <c r="D4" s="61" t="s">
        <v>209</v>
      </c>
      <c r="E4" s="165" t="s">
        <v>902</v>
      </c>
      <c r="F4" s="164"/>
      <c r="G4" s="164"/>
    </row>
    <row r="5" spans="1:19" x14ac:dyDescent="0.75">
      <c r="B5" s="61" t="s">
        <v>13</v>
      </c>
      <c r="C5" s="10" t="s">
        <v>226</v>
      </c>
      <c r="D5" s="61"/>
      <c r="E5" s="10"/>
    </row>
    <row r="6" spans="1:19" x14ac:dyDescent="0.75">
      <c r="B6" s="61" t="s">
        <v>35</v>
      </c>
      <c r="C6" s="60"/>
      <c r="D6" s="61" t="s">
        <v>206</v>
      </c>
      <c r="E6" s="165" t="str">
        <f>E3</f>
        <v>http://hl7.eu/fhir/ig/xpandh/ps/StructureDefinition/LegalAuthenticator</v>
      </c>
      <c r="F6" s="164"/>
      <c r="G6" s="164"/>
    </row>
    <row r="7" spans="1:19" x14ac:dyDescent="0.75">
      <c r="B7" s="61" t="s">
        <v>18</v>
      </c>
      <c r="C7" s="68"/>
      <c r="D7" s="61" t="s">
        <v>207</v>
      </c>
      <c r="E7" s="165" t="str">
        <f>E4</f>
        <v>http://hl7.eu/fhir/ig/xpandh/ps/StructureDefinition/Composition-eu-ps</v>
      </c>
      <c r="F7" s="164"/>
      <c r="G7" s="164"/>
    </row>
    <row r="8" spans="1:19" ht="44.25" x14ac:dyDescent="0.75">
      <c r="B8" s="61" t="s">
        <v>204</v>
      </c>
      <c r="C8" s="10" t="s">
        <v>234</v>
      </c>
      <c r="D8" s="61"/>
      <c r="E8"/>
      <c r="I8" s="14" t="s">
        <v>181</v>
      </c>
      <c r="J8" s="14" t="s">
        <v>182</v>
      </c>
      <c r="K8" s="14" t="s">
        <v>183</v>
      </c>
      <c r="L8" s="14" t="s">
        <v>184</v>
      </c>
      <c r="M8" s="9" t="s">
        <v>185</v>
      </c>
      <c r="P8" s="57" t="s">
        <v>186</v>
      </c>
      <c r="Q8" s="57">
        <v>6</v>
      </c>
    </row>
    <row r="9" spans="1:19" ht="29.5" x14ac:dyDescent="0.75">
      <c r="B9" s="61" t="s">
        <v>205</v>
      </c>
      <c r="C9" s="1" t="s">
        <v>235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'A1.6 LegalAuth'!B5</f>
        <v>LegalAuthenticator</v>
      </c>
      <c r="C14" s="9"/>
      <c r="D14" t="s">
        <v>107</v>
      </c>
      <c r="E14" s="8"/>
      <c r="F14" s="9"/>
      <c r="G14" t="s">
        <v>239</v>
      </c>
      <c r="I14" s="14"/>
      <c r="J14" s="9"/>
      <c r="K14" s="9"/>
      <c r="L14" s="9"/>
      <c r="M14" s="59"/>
      <c r="N14" s="62"/>
    </row>
    <row r="15" spans="1:19" ht="73.75" x14ac:dyDescent="0.75">
      <c r="A15" s="22"/>
      <c r="B15" s="9" t="str">
        <f>'A1.6 LegalAuth'!B8</f>
        <v>identifier</v>
      </c>
      <c r="C15" s="9" t="str">
        <f>'A1.6 LegalAuth'!C8</f>
        <v>A.1.6.1 Legal authenticator identifier</v>
      </c>
      <c r="D15" s="14" t="s">
        <v>265</v>
      </c>
      <c r="E15" s="9"/>
      <c r="F15" s="63" t="s">
        <v>192</v>
      </c>
      <c r="G15" t="s">
        <v>266</v>
      </c>
      <c r="H15" s="64"/>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267</v>
      </c>
      <c r="E16" s="9"/>
      <c r="F16" s="63" t="s">
        <v>192</v>
      </c>
      <c r="G16" s="14" t="s">
        <v>298</v>
      </c>
      <c r="H16" s="64"/>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299</v>
      </c>
      <c r="E17" s="9"/>
      <c r="F17" s="63" t="s">
        <v>192</v>
      </c>
      <c r="G17" s="14" t="s">
        <v>300</v>
      </c>
      <c r="H17" s="64"/>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268</v>
      </c>
      <c r="E18" s="9"/>
      <c r="F18" s="63" t="s">
        <v>192</v>
      </c>
      <c r="G18" s="14" t="s">
        <v>301</v>
      </c>
      <c r="H18" s="64"/>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269</v>
      </c>
      <c r="E19" s="9"/>
      <c r="F19" s="63" t="s">
        <v>192</v>
      </c>
      <c r="G19" s="14" t="s">
        <v>270</v>
      </c>
      <c r="H19" s="64"/>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3"/>
      <c r="G20" s="63"/>
      <c r="H20" s="64"/>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3"/>
      <c r="G21" s="63"/>
      <c r="H21" s="64"/>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3"/>
      <c r="G22" s="63"/>
      <c r="H22" s="64"/>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6"/>
      <c r="E23" s="9"/>
      <c r="F23" s="63"/>
      <c r="G23" s="63"/>
      <c r="H23" s="64"/>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3"/>
      <c r="G24" s="63"/>
      <c r="H24" s="64"/>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3"/>
      <c r="G25" s="63"/>
      <c r="H25" s="64"/>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3"/>
      <c r="G26" s="63"/>
      <c r="H26" s="64"/>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3"/>
      <c r="G27" s="63"/>
      <c r="H27" s="64"/>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3"/>
      <c r="G28" s="63"/>
      <c r="H28" s="64"/>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3"/>
      <c r="G29" s="63"/>
      <c r="H29" s="64"/>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3"/>
      <c r="G30" s="63"/>
      <c r="H30" s="64"/>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3"/>
      <c r="G31" s="63"/>
      <c r="H31" s="64"/>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3"/>
      <c r="G32" s="63"/>
      <c r="H32" s="64"/>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3"/>
      <c r="G33" s="63"/>
      <c r="H33" s="64"/>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3"/>
      <c r="G34" s="63"/>
      <c r="H34" s="64"/>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3"/>
      <c r="G35" s="63"/>
      <c r="H35" s="64"/>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3"/>
      <c r="G36" s="63"/>
      <c r="H36" s="64"/>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3"/>
      <c r="G37" s="63"/>
      <c r="H37" s="64"/>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3"/>
      <c r="G38" s="64"/>
      <c r="H38" s="64"/>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2"/>
      <c r="F39" s="64"/>
      <c r="G39" s="64"/>
      <c r="H39" s="64"/>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4"/>
      <c r="G40" s="64"/>
      <c r="H40" s="64"/>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4"/>
      <c r="G41" s="64"/>
      <c r="H41" s="64"/>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4"/>
      <c r="G42" s="64"/>
      <c r="H42" s="64"/>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4"/>
      <c r="G43" s="64"/>
      <c r="H43" s="64"/>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4"/>
      <c r="G44" s="64"/>
      <c r="H44" s="64"/>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4"/>
      <c r="G45" s="64"/>
      <c r="H45" s="64"/>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4"/>
      <c r="G46" s="64"/>
      <c r="H46" s="64"/>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232</v>
      </c>
    </row>
    <row r="3" spans="2:7" x14ac:dyDescent="0.75">
      <c r="B3" s="32" t="s">
        <v>37</v>
      </c>
    </row>
    <row r="4" spans="2:7" x14ac:dyDescent="0.75">
      <c r="B4" s="65" t="str">
        <f>"Instance: "&amp;'LegalAuth-ConceptMap-1'!C4</f>
        <v>Instance: legalAuth2FHIR-eu-ps</v>
      </c>
    </row>
    <row r="5" spans="2:7" x14ac:dyDescent="0.75">
      <c r="B5" s="65" t="s">
        <v>196</v>
      </c>
    </row>
    <row r="6" spans="2:7" x14ac:dyDescent="0.75">
      <c r="B6" s="65" t="s">
        <v>197</v>
      </c>
    </row>
    <row r="7" spans="2:7" x14ac:dyDescent="0.75">
      <c r="B7" s="65" t="s">
        <v>203</v>
      </c>
    </row>
    <row r="8" spans="2:7" x14ac:dyDescent="0.75">
      <c r="B8" s="65" t="str">
        <f>"* name = ##34#"&amp;'LegalAuth-ConceptMap-1'!C3&amp;"##34#"</f>
        <v>* name = ##34#LegalAuth2Fhir##34#</v>
      </c>
    </row>
    <row r="9" spans="2:7" x14ac:dyDescent="0.75">
      <c r="B9" s="65" t="str">
        <f>"* title = ##34#"&amp;'LegalAuth-ConceptMap-1'!C5&amp;"##34#"</f>
        <v>* title = ##34#eHN Recipient to this guide Map##34#</v>
      </c>
    </row>
    <row r="10" spans="2:7" x14ac:dyDescent="0.75">
      <c r="B10" s="65" t="s">
        <v>198</v>
      </c>
    </row>
    <row r="11" spans="2:7" x14ac:dyDescent="0.75">
      <c r="B11" s="65" t="s">
        <v>199</v>
      </c>
    </row>
    <row r="12" spans="2:7" x14ac:dyDescent="0.75">
      <c r="B12" s="65" t="str">
        <f>"* description = ##34#"&amp;'LegalAuth-ConceptMap-1'!C8&amp;"##34#"</f>
        <v>* description = ##34#eHN Legal Authenticator Model to this guide Map##34#</v>
      </c>
    </row>
    <row r="13" spans="2:7" x14ac:dyDescent="0.75">
      <c r="B13" s="65" t="str">
        <f>"* purpose = ##34#"&amp;'LegalAuth-ConceptMap-1'!C9&amp;"##34#"</f>
        <v>* purpose = ##34#It shows how theLegal Authenticator Recipient data set defined by the EU eHN guidelines is mapped into this guide##34#</v>
      </c>
    </row>
    <row r="14" spans="2:7" x14ac:dyDescent="0.75">
      <c r="B14" s="66" t="str">
        <f>"* sourceUri = ##34#"&amp;'LegalAuth-ConceptMap-1'!E3&amp;"##34#"</f>
        <v>* sourceUri = ##34#http://hl7.eu/fhir/ig/xpandh/ps/StructureDefinition/LegalAuthenticator##34#</v>
      </c>
    </row>
    <row r="15" spans="2:7" x14ac:dyDescent="0.75">
      <c r="B15" s="66" t="str">
        <f>"* targetUri = ##34#"&amp;'LegalAuth-ConceptMap-1'!E4&amp;"##34#"</f>
        <v>* targetUri = ##34#http://hl7.eu/fhir/ig/xpandh/ps/StructureDefinition/Composition-eu-ps##34#</v>
      </c>
    </row>
    <row r="16" spans="2:7" x14ac:dyDescent="0.75">
      <c r="B16" s="65"/>
    </row>
    <row r="17" spans="2:7" x14ac:dyDescent="0.75">
      <c r="B17" s="67" t="str">
        <f>"* group[+].source = ##34#"&amp;'LegalAuth-ConceptMap-1'!E6&amp;"##34#"</f>
        <v>* group[+].source = ##34#http://hl7.eu/fhir/ig/xpandh/ps/StructureDefinition/LegalAuthenticator##34#</v>
      </c>
    </row>
    <row r="18" spans="2:7" x14ac:dyDescent="0.75">
      <c r="B18" s="67" t="str">
        <f>"* group[=].target = ##34#"&amp;'LegalAuth-ConceptMap-1'!E7&amp;"##34#"</f>
        <v>* group[=].target = ##34#http://hl7.eu/fhir/ig/xpandh/ps/StructureDefinition/Composition-eu-ps##34#</v>
      </c>
    </row>
    <row r="19" spans="2:7" x14ac:dyDescent="0.75">
      <c r="B19" s="69"/>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73</vt:i4>
      </vt:variant>
      <vt:variant>
        <vt:lpstr>Intervalli denominati</vt:lpstr>
      </vt:variant>
      <vt:variant>
        <vt:i4>1</vt:i4>
      </vt:variant>
    </vt:vector>
  </HeadingPairs>
  <TitlesOfParts>
    <vt:vector size="74" baseType="lpstr">
      <vt:lpstr>Body</vt:lpstr>
      <vt:lpstr>Header</vt:lpstr>
      <vt:lpstr>PS</vt:lpstr>
      <vt:lpstr>PS-fsh</vt:lpstr>
      <vt:lpstr>PS-ConceptMap-1</vt:lpstr>
      <vt:lpstr>PS-ConceptMap-2</vt:lpstr>
      <vt:lpstr>PS-CM-fsh</vt:lpstr>
      <vt:lpstr>A.2.3.3 Pregnancy</vt:lpstr>
      <vt:lpstr>Pregnancy-fsh</vt:lpstr>
      <vt:lpstr>Pregnancy-ConceptMap-1</vt:lpstr>
      <vt:lpstr>Pregnancy-ConceptMap-2</vt:lpstr>
      <vt:lpstr>Pregnancy-ConceptMap-3</vt:lpstr>
      <vt:lpstr>Pregnancy-CM-fsh</vt:lpstr>
      <vt:lpstr>A.2.3.3 FunctionalStatus</vt:lpstr>
      <vt:lpstr>FunctionalStatus-fsh</vt:lpstr>
      <vt:lpstr>FunctionalStat-ConceptMap-1</vt:lpstr>
      <vt:lpstr>FunctionalStatus-CM-fsh</vt:lpstr>
      <vt:lpstr>A.2.3.3 Procedures</vt:lpstr>
      <vt:lpstr>Procedures-fsh</vt:lpstr>
      <vt:lpstr>Procedures-ConceptMap-1</vt:lpstr>
      <vt:lpstr>Procedures-CM-fsh</vt:lpstr>
      <vt:lpstr>A.2.3.2 Devices</vt:lpstr>
      <vt:lpstr>Devices-fsh</vt:lpstr>
      <vt:lpstr>Devices-ConceptMap-1</vt:lpstr>
      <vt:lpstr>Devices-CM-fsh</vt:lpstr>
      <vt:lpstr>A.2.3.1 Problem</vt:lpstr>
      <vt:lpstr>Problem-fsh</vt:lpstr>
      <vt:lpstr>Problem-ConceptMap-1</vt:lpstr>
      <vt:lpstr>Problem-CM-fsh</vt:lpstr>
      <vt:lpstr>A.2.2.2 ClosedProblem</vt:lpstr>
      <vt:lpstr>ClosedProblem-fsh</vt:lpstr>
      <vt:lpstr>ClosedProblem-ConceptMap-1</vt:lpstr>
      <vt:lpstr>ClosedProblem-CM-fsh</vt:lpstr>
      <vt:lpstr>A.2.8 Results</vt:lpstr>
      <vt:lpstr>Results-fsh</vt:lpstr>
      <vt:lpstr>Results-ConceptMap-1</vt:lpstr>
      <vt:lpstr>Results-CM-fsh</vt:lpstr>
      <vt:lpstr>A.2.4.1  Medicine</vt:lpstr>
      <vt:lpstr>Medicine-fsh</vt:lpstr>
      <vt:lpstr>Medicine-ConceptMap-1</vt:lpstr>
      <vt:lpstr>Medicine-ConceptMap-2</vt:lpstr>
      <vt:lpstr>Medicine-CM-fsh</vt:lpstr>
      <vt:lpstr>A.2.2.1 Vaccination</vt:lpstr>
      <vt:lpstr>Vaccination-fsh</vt:lpstr>
      <vt:lpstr>Vaccination-ConceptMap-1</vt:lpstr>
      <vt:lpstr>Vaccination-CM-fsh</vt:lpstr>
      <vt:lpstr>Subj</vt:lpstr>
      <vt:lpstr>Subj-fsh</vt:lpstr>
      <vt:lpstr>Subj-ConceptMap-1</vt:lpstr>
      <vt:lpstr>Subj-ConceptMap-2</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LegalAuth-fsh</vt:lpstr>
      <vt:lpstr>LegalAuth-ConceptMap-1</vt:lpstr>
      <vt:lpstr>LegalAuth-CM-fsh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2024-06-14T10:52:40Z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