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95074BD9-C0B5-41DA-A4A3-B8FF721E76BD}" xr6:coauthVersionLast="47" xr6:coauthVersionMax="47" xr10:uidLastSave="{00000000-0000-0000-0000-000000000000}"/>
  <bookViews>
    <workbookView xWindow="-90" yWindow="-21710" windowWidth="38620" windowHeight="21100" activeTab="11" xr2:uid="{6572D17F-2786-461A-AF68-FCA595C6091B}"/>
  </bookViews>
  <sheets>
    <sheet name="Header" sheetId="106" r:id="rId1"/>
    <sheet name="Body" sheetId="107" r:id="rId2"/>
    <sheet name="PS" sheetId="108" r:id="rId3"/>
    <sheet name="PS-Map-1" sheetId="109" r:id="rId4"/>
    <sheet name="PS-fsh" sheetId="110" r:id="rId5"/>
    <sheet name="PS-ConceptMap-1" sheetId="137" r:id="rId6"/>
    <sheet name="PS-ConceptMap-2" sheetId="140" r:id="rId7"/>
    <sheet name="PS-CM-fsh" sheetId="138" r:id="rId8"/>
    <sheet name="Subj" sheetId="12" r:id="rId9"/>
    <sheet name="Subj-fsh" sheetId="73" r:id="rId10"/>
    <sheet name="Subj-ConceptMap-1" sheetId="141" r:id="rId11"/>
    <sheet name="Subj-CM-fsh" sheetId="143" r:id="rId12"/>
    <sheet name="A1.3 Payer" sheetId="111" r:id="rId13"/>
    <sheet name="Payer-Map-1" sheetId="112" r:id="rId14"/>
    <sheet name="Payer-fsh" sheetId="113" r:id="rId15"/>
    <sheet name="Payer-ConceptMap-1" sheetId="144" r:id="rId16"/>
    <sheet name="Payer-ConceptMap-2" sheetId="173" r:id="rId17"/>
    <sheet name="Payer-ConceptMap-3" sheetId="172"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53" r:id="rId28"/>
    <sheet name="Author-ConceptMap-2" sheetId="148" r:id="rId29"/>
    <sheet name="Author-ConceptMap-2-delete" sheetId="151"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onceptMap-2" sheetId="174"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4" i="143" l="1"/>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24" i="141" l="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s="1"/>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s="1"/>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J22" i="140" s="1"/>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J23" i="137" s="1"/>
  <c r="C24" i="137"/>
  <c r="C25" i="137"/>
  <c r="C26" i="137"/>
  <c r="C27" i="137"/>
  <c r="C28" i="137"/>
  <c r="C29" i="137"/>
  <c r="C30" i="137"/>
  <c r="C31" i="137"/>
  <c r="C32" i="137"/>
  <c r="C33" i="137"/>
  <c r="L16" i="108"/>
  <c r="L18" i="108"/>
  <c r="L19" i="108"/>
  <c r="C49" i="110" s="1"/>
  <c r="L21" i="108"/>
  <c r="L22" i="108"/>
  <c r="C52" i="110" s="1"/>
  <c r="L23" i="108"/>
  <c r="C53" i="110" s="1"/>
  <c r="L24" i="108"/>
  <c r="L25" i="108"/>
  <c r="L29" i="108"/>
  <c r="L30" i="108"/>
  <c r="L31" i="108"/>
  <c r="C61" i="110" s="1"/>
  <c r="L12" i="108"/>
  <c r="C42" i="110" s="1"/>
  <c r="C60" i="110"/>
  <c r="C62" i="110"/>
  <c r="C46" i="110"/>
  <c r="C48" i="110"/>
  <c r="C51" i="110"/>
  <c r="C54" i="110"/>
  <c r="C55" i="110"/>
  <c r="C59" i="110"/>
  <c r="C29" i="110"/>
  <c r="C30" i="110"/>
  <c r="C31" i="110"/>
  <c r="C12" i="110"/>
  <c r="C13" i="110"/>
  <c r="C15" i="110"/>
  <c r="C16" i="110"/>
  <c r="C18" i="110"/>
  <c r="C19" i="110"/>
  <c r="C20" i="110"/>
  <c r="C21" i="110"/>
  <c r="C22" i="110"/>
  <c r="C23" i="110"/>
  <c r="C24" i="110"/>
  <c r="C25" i="110"/>
  <c r="J15" i="108"/>
  <c r="L15" i="108" s="1"/>
  <c r="C45" i="110" s="1"/>
  <c r="J16" i="108"/>
  <c r="J17" i="108"/>
  <c r="C17" i="110" s="1"/>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5" i="141"/>
  <c r="B22" i="143" s="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E3" i="154"/>
  <c r="B14" i="155" s="1"/>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L17" i="108" l="1"/>
  <c r="C47" i="110" s="1"/>
  <c r="S16" i="170" a="1"/>
  <c r="S16" i="170" s="1"/>
  <c r="I16" i="141"/>
  <c r="S137" i="140" a="1"/>
  <c r="S137" i="140" s="1"/>
  <c r="B297" i="138" s="1"/>
  <c r="S143" i="140" a="1"/>
  <c r="S143" i="140" s="1"/>
  <c r="B303" i="138" s="1"/>
  <c r="S149" i="140" a="1"/>
  <c r="S149" i="140" s="1"/>
  <c r="B309" i="138" s="1"/>
  <c r="I15" i="141"/>
  <c r="S15" i="141" s="1" a="1"/>
  <c r="S15" i="141" s="1"/>
  <c r="B20" i="143"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S15" i="140" a="1"/>
  <c r="S15" i="140" s="1"/>
  <c r="B175" i="138" s="1"/>
  <c r="R15" i="137"/>
  <c r="Q15" i="137"/>
  <c r="L36" i="108"/>
  <c r="L35" i="108"/>
  <c r="L34" i="108"/>
  <c r="L33" i="108"/>
  <c r="L32" i="108"/>
  <c r="L3" i="108"/>
  <c r="B26" i="109"/>
  <c r="E26" i="109" s="1"/>
  <c r="B25" i="109"/>
  <c r="E25" i="109" s="1"/>
  <c r="B31" i="109"/>
  <c r="E31" i="109" s="1"/>
  <c r="B28" i="109"/>
  <c r="E28" i="109"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38" i="110" s="1"/>
  <c r="E15" i="116"/>
  <c r="B20" i="116"/>
  <c r="E20" i="116" s="1"/>
  <c r="B14" i="116"/>
  <c r="E14" i="116"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<sst xmlns="http://schemas.openxmlformats.org/spreadsheetml/2006/main" count="2782" uniqueCount="1104">
  <si>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</si>
  <si>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</si>
  <si>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</si>
  <si>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</si>
  <si>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</si>
  <si>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</si>
  <si>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</si>
  <si>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</si>
  <si>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</si>
  <si>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</si>
  <si>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</si>
  <si>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</si>
  <si>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</si>
  <si>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</si>
  <si>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</si>
  <si>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</si>
  <si>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</si>
  <si>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</si>
  <si>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</si>
  <si>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</si>
  <si>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</si>
  <si>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</si>
  <si>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</si>
  <si>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</si>
  <si>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</si>
  <si>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</si>
  <si>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</si>
  <si>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</si>
  <si>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</si>
  <si>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</si>
  <si>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</si>
  <si>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</si>
  <si>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</si>
  <si>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</si>
  <si>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</si>
  <si>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</si>
  <si>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</si>
  <si>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</si>
  <si>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</si>
  <si>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</si>
  <si>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</si>
  <si>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</si>
  <si>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</si>
  <si>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</si>
  <si>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</si>
  <si>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</si>
  <si>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</si>
  <si>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</si>
  <si>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</si>
  <si>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</si>
  <si>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</si>
  <si>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</si>
  <si>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</si>
  <si>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</si>
  <si>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</si>
  <si>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</si>
  <si>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</si>
  <si>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</si>
  <si>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</si>
  <si>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</si>
  <si>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</si>
  <si>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</si>
  <si>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</si>
  <si>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</si>
  <si>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</si>
  <si>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</si>
  <si>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</si>
  <si>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</si>
  <si>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</si>
  <si>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</si>
  <si>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</si>
  <si>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</si>
  <si>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</si>
  <si>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</si>
  <si>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</si>
  <si>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</si>
  <si>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</si>
  <si>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</si>
  <si>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</si>
  <si>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</si>
  <si>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</si>
  <si>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</si>
  <si>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</si>
  <si>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</si>
  <si>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</si>
  <si>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</si>
  <si>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</si>
  <si>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</si>
  <si>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</si>
  <si>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</si>
  <si>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</si>
  <si>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</si>
  <si>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</si>
  <si>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</si>
  <si>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</si>
  <si>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</si>
  <si>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</si>
  <si>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</si>
  <si>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</si>
  <si>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</si>
  <si>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</si>
  <si>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</si>
  <si>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</si>
  <si>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</si>
  <si>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</si>
  <si>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</si>
  <si>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</si>
  <si>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</si>
  <si>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</si>
  <si>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</si>
  <si>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</si>
  <si>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</si>
  <si>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</si>
  <si>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</si>
  <si>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</si>
  <si>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</si>
  <si>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A.1.8.1</t>
  </si>
  <si>
    <t>Document type</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</si>
  <si>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</si>
  <si>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</si>
  <si>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</si>
  <si>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</si>
  <si>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</si>
  <si>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</si>
  <si>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</si>
  <si>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</si>
  <si>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</si>
  <si>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</si>
  <si>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</si>
  <si>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</si>
  <si>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</si>
  <si>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</si>
  <si>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</si>
  <si>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</si>
  <si>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</si>
  <si>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</si>
  <si>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</si>
  <si>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</si>
  <si>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</si>
  <si>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</si>
  <si>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</si>
  <si>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</si>
  <si>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</si>
  <si>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</si>
  <si>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</si>
  <si>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</si>
  <si>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</si>
  <si>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</si>
  <si>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</si>
  <si>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</si>
  <si>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</si>
  <si>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</si>
  <si>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</si>
  <si>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</si>
  <si>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</si>
  <si>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</si>
  <si>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</si>
  <si>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</si>
  <si>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</si>
  <si>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</si>
  <si>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</si>
  <si>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</si>
  <si>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</si>
  <si>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</si>
  <si>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</si>
  <si>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</si>
  <si>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</si>
  <si>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</si>
  <si>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</si>
  <si>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</si>
  <si>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</si>
  <si>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</si>
  <si>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</si>
  <si>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</si>
  <si>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</si>
  <si>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</si>
  <si>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</si>
  <si>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</si>
  <si>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</si>
  <si>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</si>
  <si>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</si>
  <si>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</si>
  <si>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</si>
  <si>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</si>
  <si>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</si>
  <si>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</si>
  <si>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</si>
  <si>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</si>
  <si>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</si>
  <si>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</si>
  <si>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</si>
  <si>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</si>
  <si>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</si>
  <si>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</si>
  <si>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</si>
  <si>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</si>
  <si>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</si>
  <si>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</si>
  <si>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</si>
  <si>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</si>
  <si>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</si>
  <si>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</si>
  <si>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</si>
  <si>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</si>
  <si>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</si>
  <si>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</si>
  <si>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</si>
  <si>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</si>
  <si>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</si>
  <si>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</si>
  <si>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</si>
  <si>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</si>
  <si>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</si>
  <si>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</si>
  <si>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</si>
  <si>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</si>
  <si>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</si>
  <si>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</si>
  <si>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</si>
  <si>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</si>
  <si>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</si>
  <si>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</si>
  <si>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</si>
  <si>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</si>
  <si>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</si>
  <si>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</si>
  <si>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</si>
  <si>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</si>
  <si>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</si>
  <si>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</si>
  <si>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</si>
  <si>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</si>
  <si>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</si>
  <si>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</si>
  <si>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</si>
  <si>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</si>
  <si>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</si>
  <si>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</si>
  <si>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</si>
  <si>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</si>
  <si>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</si>
  <si>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</si>
  <si>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</si>
  <si>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</si>
  <si>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</si>
  <si>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</si>
  <si>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</si>
  <si>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</si>
  <si>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</si>
  <si>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</si>
  <si>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</si>
  <si>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</si>
  <si>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</si>
  <si>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</si>
  <si>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</si>
  <si>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</si>
  <si>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</si>
  <si>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Composition.subject</t>
  </si>
  <si>
    <t>Bundle.timestamp</t>
  </si>
  <si>
    <t>Composition.status</t>
  </si>
  <si>
    <t>Composition.title</t>
  </si>
  <si>
    <t>Composition.custodian</t>
  </si>
  <si>
    <t>Composition.type</t>
  </si>
  <si>
    <t>Composition</t>
  </si>
  <si>
    <t>A.1.1.5 Gender</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</si>
  <si>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</si>
  <si>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</si>
  <si>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</si>
  <si>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</si>
  <si>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</si>
  <si>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</si>
  <si>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</si>
  <si>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</si>
  <si>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</si>
  <si>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</si>
  <si>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</si>
  <si>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eHN Lab model to FHIR R4 Map</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</si>
  <si>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</si>
  <si>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</si>
  <si>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</si>
  <si>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</si>
  <si>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</si>
  <si>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</si>
  <si>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</si>
  <si>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</si>
  <si>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</si>
  <si>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</si>
  <si>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</si>
  <si>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</si>
  <si>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</si>
  <si>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</si>
  <si>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</si>
  <si>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</si>
  <si>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</si>
  <si>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</si>
  <si>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</si>
  <si>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</si>
  <si>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</si>
  <si>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</si>
  <si>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</si>
  <si>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</si>
  <si>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</si>
  <si>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</si>
  <si>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</si>
  <si>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Payer model to FHIR R4 Map</t>
  </si>
  <si>
    <t>Payer</t>
  </si>
  <si>
    <t>A.1.4.1 Recipient identifier</t>
  </si>
  <si>
    <t>A.1.4.2 Recipient name</t>
  </si>
  <si>
    <t>identifier</t>
  </si>
  <si>
    <t>name</t>
  </si>
  <si>
    <t>organization</t>
  </si>
  <si>
    <t>Organization</t>
  </si>
  <si>
    <t>eHNLabRecipient2Fhir</t>
  </si>
  <si>
    <t>eHN Lab Recipient model to FHIR R4 Map</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</si>
  <si>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</si>
  <si>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</si>
  <si>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</si>
  <si>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</si>
  <si>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</si>
  <si>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</si>
  <si>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</si>
  <si>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</si>
  <si>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</si>
  <si>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</si>
  <si>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</si>
  <si>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</si>
  <si>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</si>
  <si>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</si>
  <si>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</si>
  <si>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</si>
  <si>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</si>
  <si>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</si>
  <si>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</si>
  <si>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</si>
  <si>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</si>
  <si>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</si>
  <si>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</si>
  <si>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</si>
  <si>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Composition.author</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</si>
  <si>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</si>
  <si>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</si>
  <si>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</si>
  <si>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</si>
  <si>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</si>
  <si>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</si>
  <si>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</si>
  <si>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</si>
  <si>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</si>
  <si>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</si>
  <si>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</si>
  <si>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</si>
  <si>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</si>
  <si>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</si>
  <si>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</si>
  <si>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</si>
  <si>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</si>
  <si>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</si>
  <si>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</si>
  <si>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</si>
  <si>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</si>
  <si>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</si>
  <si>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</si>
  <si>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</si>
  <si>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</si>
  <si>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</si>
  <si>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</si>
  <si>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</si>
  <si>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</si>
  <si>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</si>
  <si>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</si>
  <si>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</si>
  <si>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</si>
  <si>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</si>
  <si>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</si>
  <si>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</si>
  <si>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</si>
  <si>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</si>
  <si>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</si>
  <si>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</si>
  <si>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</si>
  <si>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</si>
  <si>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</si>
  <si>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</si>
  <si>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</si>
  <si>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</si>
  <si>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</si>
  <si>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</si>
  <si>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</si>
  <si>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</si>
  <si>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</si>
  <si>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</si>
  <si>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</si>
  <si>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</si>
  <si>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</si>
  <si>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</si>
  <si>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</si>
  <si>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</si>
  <si>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</si>
  <si>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</si>
  <si>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</si>
  <si>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</si>
  <si>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</si>
  <si>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</si>
  <si>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</si>
  <si>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</si>
  <si>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</si>
  <si>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</si>
  <si>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</si>
  <si>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</si>
  <si>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</si>
  <si>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</si>
  <si>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</si>
  <si>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</si>
  <si>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</si>
  <si>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</si>
  <si>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</si>
  <si>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</si>
  <si>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</si>
  <si>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</si>
  <si>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</si>
  <si>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</si>
  <si>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</si>
  <si>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</si>
  <si>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</si>
  <si>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</si>
  <si>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</si>
  <si>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</si>
  <si>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</si>
  <si>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</si>
  <si>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</si>
  <si>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</si>
  <si>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</si>
  <si>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</si>
  <si>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</si>
  <si>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</si>
  <si>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</si>
  <si>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</si>
  <si>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</si>
  <si>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</si>
  <si>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</si>
  <si>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</si>
  <si>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</si>
  <si>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</si>
  <si>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</si>
  <si>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</si>
  <si>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</si>
  <si>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</si>
  <si>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</si>
  <si>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</si>
  <si>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</si>
  <si>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</si>
  <si>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</si>
  <si>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</si>
  <si>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</si>
  <si>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</si>
  <si>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</si>
  <si>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</si>
  <si>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</si>
  <si>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</si>
  <si>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</si>
  <si>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</si>
  <si>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</si>
  <si>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</si>
  <si>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</si>
  <si>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</si>
  <si>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</si>
  <si>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</si>
  <si>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</si>
  <si>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</si>
  <si>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</si>
  <si>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</si>
  <si>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</si>
  <si>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</si>
  <si>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</si>
  <si>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</si>
  <si>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</si>
  <si>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</si>
  <si>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</si>
  <si>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</si>
  <si>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</si>
  <si>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</si>
  <si>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</si>
  <si>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</si>
  <si>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</si>
  <si>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</si>
  <si>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</si>
  <si>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</si>
  <si>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</si>
  <si>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</si>
  <si>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</si>
  <si>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</si>
  <si>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</si>
  <si>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</si>
  <si>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</si>
  <si>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</si>
  <si>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</si>
  <si>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</si>
  <si>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</si>
  <si>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</si>
  <si>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</si>
  <si>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</si>
  <si>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</si>
  <si>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</si>
  <si>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</si>
  <si>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</si>
  <si>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</si>
  <si>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</si>
  <si>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</si>
  <si>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</si>
  <si>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</si>
  <si>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</si>
  <si>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</si>
  <si>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</si>
  <si>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</si>
  <si>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</si>
  <si>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</si>
  <si>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</si>
  <si>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</si>
  <si>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</si>
  <si>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</si>
  <si>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</si>
  <si>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</si>
  <si>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Composition.extension('http://hl7.eu/fhir/ig/xeh/StructureDefinition/composition-basedOn-order-or-requisition').valueIdentifier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</si>
  <si>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</si>
  <si>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</si>
  <si>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</si>
  <si>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</si>
  <si>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</si>
  <si>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</si>
  <si>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</si>
  <si>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</si>
  <si>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</si>
  <si>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</si>
  <si>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</si>
  <si>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</si>
  <si>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</si>
  <si>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</si>
  <si>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</si>
  <si>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</si>
  <si>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</si>
  <si>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</si>
  <si>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</si>
  <si>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</si>
  <si>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</si>
  <si>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</si>
  <si>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</si>
  <si>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</si>
  <si>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</si>
  <si>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</si>
  <si>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</si>
  <si>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</si>
  <si>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</si>
  <si>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</si>
  <si>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</si>
  <si>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</si>
  <si>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</si>
  <si>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</si>
  <si>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eHN Lab Report to this guide Map</t>
  </si>
  <si>
    <t>Source Group</t>
  </si>
  <si>
    <t>Target Group</t>
  </si>
  <si>
    <t>Source URI</t>
  </si>
  <si>
    <t>Target URI</t>
  </si>
  <si>
    <t>labRpt-to-fhir-map.fsh</t>
  </si>
  <si>
    <t>$this</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</si>
  <si>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</si>
  <si>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</si>
  <si>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</si>
  <si>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</si>
  <si>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</si>
  <si>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</si>
  <si>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</si>
  <si>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</si>
  <si>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</si>
  <si>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</si>
  <si>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name.family</t>
  </si>
  <si>
    <t>name.given</t>
  </si>
  <si>
    <t>birthDate</t>
  </si>
  <si>
    <t>gender</t>
  </si>
  <si>
    <t>address</t>
  </si>
  <si>
    <t>telecom</t>
  </si>
  <si>
    <t>subject-to-fhir-map.fsh</t>
  </si>
  <si>
    <t>eHN Subject to this guide Map</t>
  </si>
  <si>
    <t>eHN Subject Model to this guide Map</t>
  </si>
  <si>
    <t>http://hl7.eu/fhir/laboratory/StructureDefinition/Payer</t>
  </si>
  <si>
    <t>subscriberId</t>
  </si>
  <si>
    <t>payer-to-fhir-map.fsh</t>
  </si>
  <si>
    <t>eHN Payer to this guide Map</t>
  </si>
  <si>
    <t>eHN Payer Model to this guide Map</t>
  </si>
  <si>
    <t>eHN Recipient to this guide Map</t>
  </si>
  <si>
    <t>http://hl7.eu/fhir/laboratory/StructureDefinition/Recipient</t>
  </si>
  <si>
    <t>eHN Recipient Model to this guide Map</t>
  </si>
  <si>
    <t>http://hl7.eu/fhir/StructureDefinition/information-recipient</t>
  </si>
  <si>
    <t>recipient-to-fhir-map.fsh</t>
  </si>
  <si>
    <t>ConceptAuthorRpt2FHIR</t>
  </si>
  <si>
    <t>ConceptMap-eu-author2FHIR</t>
  </si>
  <si>
    <t>eHN Author Model to this guide Map</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</si>
  <si>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</si>
  <si>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</si>
  <si>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</si>
  <si>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</si>
  <si>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</si>
  <si>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</si>
  <si>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</si>
  <si>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</si>
  <si>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</si>
  <si>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</si>
  <si>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</si>
  <si>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</si>
  <si>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</si>
  <si>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</si>
  <si>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</si>
  <si>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</si>
  <si>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</si>
  <si>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</si>
  <si>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</si>
  <si>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</si>
  <si>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</si>
  <si>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</si>
  <si>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</si>
  <si>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</si>
  <si>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</si>
  <si>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</si>
  <si>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</si>
  <si>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</si>
  <si>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</si>
  <si>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</si>
  <si>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</si>
  <si>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</si>
  <si>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</si>
  <si>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</si>
  <si>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</si>
  <si>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</si>
  <si>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</si>
  <si>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</si>
  <si>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</si>
  <si>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</si>
  <si>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</si>
  <si>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</si>
  <si>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</si>
  <si>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</si>
  <si>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</si>
  <si>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</si>
  <si>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</si>
  <si>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</si>
  <si>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</si>
  <si>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</si>
  <si>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</si>
  <si>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</si>
  <si>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</si>
  <si>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</si>
  <si>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</si>
  <si>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</si>
  <si>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</si>
  <si>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</si>
  <si>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</si>
  <si>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</si>
  <si>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</si>
  <si>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</si>
  <si>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</si>
  <si>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</si>
  <si>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</si>
  <si>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</si>
  <si>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</si>
  <si>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</si>
  <si>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</si>
  <si>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</si>
  <si>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</si>
  <si>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</si>
  <si>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</si>
  <si>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</si>
  <si>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</si>
  <si>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</si>
  <si>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</si>
  <si>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</si>
  <si>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</si>
  <si>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</si>
  <si>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</si>
  <si>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</si>
  <si>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</si>
  <si>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</si>
  <si>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</si>
  <si>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</si>
  <si>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</si>
  <si>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</si>
  <si>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</si>
  <si>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</si>
  <si>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</si>
  <si>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</si>
  <si>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</si>
  <si>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</si>
  <si>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</si>
  <si>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</si>
  <si>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</si>
  <si>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</si>
  <si>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</si>
  <si>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</si>
  <si>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</si>
  <si>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</si>
  <si>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</si>
  <si>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</si>
  <si>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</si>
  <si>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</si>
  <si>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</si>
  <si>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</si>
  <si>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</si>
  <si>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</si>
  <si>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</si>
  <si>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</si>
  <si>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LabRptAuthor2FHIR</t>
  </si>
  <si>
    <t>For interpreter: performer.extension:performerFunction = AUT (author)
If the person responsible for validation:  performer.extension:performerFunction = AUTHEN or LA</t>
  </si>
  <si>
    <t>performer ofType Organization</t>
  </si>
  <si>
    <t>LabRptResult2FHIR</t>
  </si>
  <si>
    <t>LabRptSubject2Fhir</t>
  </si>
  <si>
    <t>A.5 - Results data elements</t>
  </si>
  <si>
    <t>A.4 - Specimen information</t>
  </si>
  <si>
    <t>subject.extension:patient-animal.extension:species</t>
  </si>
  <si>
    <t>A.1.8.0 Document Id</t>
  </si>
  <si>
    <t>Unique identifier of the document</t>
  </si>
  <si>
    <t>header.metadata.documentId</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</si>
  <si>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</si>
  <si>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</si>
  <si>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</si>
  <si>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</si>
  <si>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</si>
  <si>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</si>
  <si>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</si>
  <si>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</si>
  <si>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</si>
  <si>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</si>
  <si>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</si>
  <si>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</si>
  <si>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</si>
  <si>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</si>
  <si>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</si>
  <si>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</si>
  <si>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</si>
  <si>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</si>
  <si>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</si>
  <si>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</si>
  <si>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</si>
  <si>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</si>
  <si>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</si>
  <si>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</si>
  <si>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</si>
  <si>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</si>
  <si>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</si>
  <si>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</si>
  <si>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</si>
  <si>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</si>
  <si>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</si>
  <si>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</si>
  <si>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</si>
  <si>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</si>
  <si>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</si>
  <si>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</si>
  <si>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</si>
  <si>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</si>
  <si>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</si>
  <si>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</si>
  <si>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A1.1, A1.2 - Subject of care</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</si>
  <si>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</si>
  <si>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</si>
  <si>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</si>
  <si>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</si>
  <si>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</si>
  <si>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</si>
  <si>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</si>
  <si>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</si>
  <si>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</si>
  <si>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</si>
  <si>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</si>
  <si>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</si>
  <si>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</si>
  <si>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</si>
  <si>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</si>
  <si>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</si>
  <si>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</si>
  <si>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</si>
  <si>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</si>
  <si>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</si>
  <si>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</si>
  <si>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</si>
  <si>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</si>
  <si>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</si>
  <si>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</si>
  <si>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</si>
  <si>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</si>
  <si>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</si>
  <si>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</si>
  <si>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</si>
  <si>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</si>
  <si>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</si>
  <si>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</si>
  <si>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</si>
  <si>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</si>
  <si>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</si>
  <si>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</si>
  <si>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</si>
  <si>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</si>
  <si>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</si>
  <si>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</si>
  <si>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</si>
  <si>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</si>
  <si>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</si>
  <si>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</si>
  <si>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</si>
  <si>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</si>
  <si>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</si>
  <si>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</si>
  <si>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</si>
  <si>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</si>
  <si>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</si>
  <si>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</si>
  <si>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</si>
  <si>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</si>
  <si>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</si>
  <si>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</si>
  <si>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</si>
  <si>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</si>
  <si>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</si>
  <si>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</si>
  <si>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</si>
  <si>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</si>
  <si>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</si>
  <si>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</si>
  <si>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</si>
  <si>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</si>
  <si>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</si>
  <si>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</si>
  <si>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</si>
  <si>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</si>
  <si>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</si>
  <si>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</si>
  <si>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</si>
  <si>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</si>
  <si>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</si>
  <si>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</si>
  <si>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</si>
  <si>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</si>
  <si>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</si>
  <si>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</si>
  <si>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</si>
  <si>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</si>
  <si>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</si>
  <si>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</si>
  <si>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</si>
  <si>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</si>
  <si>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</si>
  <si>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</si>
  <si>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</si>
  <si>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</si>
  <si>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</si>
  <si>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</si>
  <si>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</si>
  <si>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</si>
  <si>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</si>
  <si>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</si>
  <si>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</si>
  <si>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</si>
  <si>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</si>
  <si>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</si>
  <si>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</si>
  <si>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</si>
  <si>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</si>
  <si>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</si>
  <si>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</si>
  <si>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</si>
  <si>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</si>
  <si>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</si>
  <si>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</si>
  <si>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</si>
  <si>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</si>
  <si>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</si>
  <si>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</si>
  <si>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</si>
  <si>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</si>
  <si>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</si>
  <si>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</si>
  <si>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</si>
  <si>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</si>
  <si>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</si>
  <si>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</si>
  <si>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</si>
  <si>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</si>
  <si>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</si>
  <si>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</si>
  <si>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</si>
  <si>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</si>
  <si>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</si>
  <si>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</si>
  <si>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</si>
  <si>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</si>
  <si>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</si>
  <si>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</si>
  <si>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</si>
  <si>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</si>
  <si>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</si>
  <si>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</si>
  <si>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</si>
  <si>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</si>
  <si>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</si>
  <si>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</si>
  <si>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</si>
  <si>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</si>
  <si>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</si>
  <si>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</si>
  <si>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</si>
  <si>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</si>
  <si>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</si>
  <si>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</si>
  <si>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</si>
  <si>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</si>
  <si>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</si>
  <si>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</si>
  <si>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</si>
  <si>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</si>
  <si>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</si>
  <si>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</si>
  <si>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</si>
  <si>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</si>
  <si>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</si>
  <si>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</si>
  <si>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</si>
  <si>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</si>
  <si>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</si>
  <si>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</si>
  <si>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</si>
  <si>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</si>
  <si>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RecipientPsEhn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</si>
  <si>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</si>
  <si>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</si>
  <si>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</si>
  <si>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</si>
  <si>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</si>
  <si>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</si>
  <si>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</si>
  <si>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</si>
  <si>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</si>
  <si>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</si>
  <si>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</si>
  <si>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</si>
  <si>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</si>
  <si>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</si>
  <si>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</si>
  <si>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</si>
  <si>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</si>
  <si>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</si>
  <si>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</si>
  <si>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</si>
  <si>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</si>
  <si>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</si>
  <si>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</si>
  <si>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</si>
  <si>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</si>
  <si>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</si>
  <si>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</si>
  <si>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</si>
  <si>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</si>
  <si>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</si>
  <si>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</si>
  <si>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</si>
  <si>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</si>
  <si>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</si>
  <si>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</si>
  <si>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</si>
  <si>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</si>
  <si>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</si>
  <si>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</si>
  <si>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</si>
  <si>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</si>
  <si>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</si>
  <si>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Bundle.conformsTo('http://hl7.eu/fhir/ig/xeh/StructureDefinition/Bundle-ps-xeh')</t>
  </si>
  <si>
    <t>Composition.conformsTo('http://hl7.eu/fhir/ig/xeh/StructureDefinition/Composition-ps-xeh')</t>
  </si>
  <si>
    <t>ServiceRequest.conformsTo('http://hl7.eu/fhir/ig/xeh/StructureDefinition/ServiceRequest-ps-xeh').insurance.resolve()</t>
  </si>
  <si>
    <t>DiagnosticReport.conformsTo('http://hl7.eu/fhir/ig/xeh/StructureDefinition/DiagnosticReport-ps-xeh').basedOn.extension('http://hl7.eu/fhir/ig/xeh/StructureDefinition/diagnostic-report-basedOn-requisition').valueIdentifier</t>
  </si>
  <si>
    <t>DiagnosticReport.conformsTo('http://hl7.eu/fhir/ig/xeh/StructureDefinition/DiagnosticReport-ps-xeh').basedOn.resolve()</t>
  </si>
  <si>
    <t>DiagnosticReport.conformsTo('http://hl7.eu/fhir/ig/xeh/StructureDefinition/DiagnosticReport-ps-xeh').specimen.resolve()</t>
  </si>
  <si>
    <t>DiagnosticReport.conformsTo('http://hl7.eu/fhir/ig/xeh/StructureDefinition/DiagnosticReport-ps-xeh').result.resolve()</t>
  </si>
  <si>
    <t>ps-report.fsh</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</si>
  <si>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</si>
  <si>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</si>
  <si>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</si>
  <si>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</si>
  <si>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</si>
  <si>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</si>
  <si>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</si>
  <si>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ps-recipient.fsh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</si>
  <si>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</si>
  <si>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</si>
  <si>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</si>
  <si>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</si>
  <si>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</si>
  <si>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</si>
  <si>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</si>
  <si>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</si>
  <si>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</si>
  <si>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</si>
  <si>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</si>
  <si>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</si>
  <si>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</si>
  <si>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</si>
  <si>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</si>
  <si>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</si>
  <si>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</si>
  <si>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</si>
  <si>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</si>
  <si>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</si>
  <si>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</si>
  <si>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</si>
  <si>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</si>
  <si>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</si>
  <si>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</si>
  <si>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</si>
  <si>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</si>
  <si>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</si>
  <si>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</si>
  <si>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A.1.8 Patient Summary metadata</t>
  </si>
  <si>
    <t>A coded type of the document. Fixed value "Patient Summary"</t>
  </si>
  <si>
    <t>Organisation that is in charge of maintaining the Patient Summary</t>
  </si>
  <si>
    <t>A.5.1 Patient Summary narrative </t>
  </si>
  <si>
    <t>Identifies the originator/author and provides provenance information about the source of the results data that may have not originated with the source of the whole Patient Summary document. </t>
  </si>
  <si>
    <t>A - Patient Summary</t>
  </si>
  <si>
    <t>Patient Summary. eHN guideline model.</t>
  </si>
  <si>
    <t>A coded type of the document. Fixed value "Patient Summary" - Preferred system(s): LOINC</t>
  </si>
  <si>
    <t xml:space="preserve">Organisation that is in charge of maintaining the Patient Summary </t>
  </si>
  <si>
    <t>It shows how the Patient Summary data set defined by the EU eHN guidelines is mapped into this guide</t>
  </si>
  <si>
    <t>It shows how the Patient Summary Payer data set defined by the EU eHN guidelines is mapped into this guide</t>
  </si>
  <si>
    <t>It shows how the Patient Summary Recipient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</si>
  <si>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</si>
  <si>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</si>
  <si>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</si>
  <si>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</si>
  <si>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</si>
  <si>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</si>
  <si>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</si>
  <si>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</si>
  <si>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</si>
  <si>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</si>
  <si>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</si>
  <si>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</si>
  <si>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</si>
  <si>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</si>
  <si>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</si>
  <si>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</si>
  <si>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</si>
  <si>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</si>
  <si>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</si>
  <si>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</si>
  <si>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</si>
  <si>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</si>
  <si>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</si>
  <si>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</si>
  <si>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</si>
  <si>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</si>
  <si>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</si>
  <si>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</si>
  <si>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</si>
  <si>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</si>
  <si>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</si>
  <si>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</si>
  <si>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</si>
  <si>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</si>
  <si>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</si>
  <si>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</si>
  <si>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</si>
  <si>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</si>
  <si>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</si>
  <si>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</si>
  <si>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</si>
  <si>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</si>
  <si>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</si>
  <si>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</si>
  <si>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</si>
  <si>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</si>
  <si>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</si>
  <si>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</si>
  <si>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</si>
  <si>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</si>
  <si>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</si>
  <si>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</si>
  <si>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</si>
  <si>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</si>
  <si>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</si>
  <si>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</si>
  <si>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</si>
  <si>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labRpt2FHIR-eu-ps</t>
  </si>
  <si>
    <t>http://hl7.eu/fhir/laboratory/StructureDefinition/Bundle-eu-ps</t>
  </si>
  <si>
    <t>http://hl7.eu/fhir/laboratory/StructureDefinition/DiagnosticReport-eu-ps</t>
  </si>
  <si>
    <t>ConceptMap-eu-psRpt2FHIR</t>
  </si>
  <si>
    <t>http://hl7.eu/fhir/laboratory/StructureDefinition/Composition-eu-ps</t>
  </si>
  <si>
    <t>subject2FHIR-eu-ps</t>
  </si>
  <si>
    <t>payer2FHIR-eu-ps</t>
  </si>
  <si>
    <t>http://hl7.eu/fhir/laboratory/StructureDefinition/ServiceRequest-eu-ps</t>
  </si>
  <si>
    <t>http://hl7.eu/fhir/laboratory/StructureDefinition/Patient-eu-ps</t>
  </si>
  <si>
    <t>recipient2FHIR-eu-ps</t>
  </si>
  <si>
    <t>author2FHIR-eu-ps</t>
  </si>
  <si>
    <t>legalAuth2FHIR-eu-ps</t>
  </si>
  <si>
    <t>validator2FHIR-eu-ps</t>
  </si>
  <si>
    <t>order2FHIR-eu-ps</t>
  </si>
  <si>
    <t>specimen2FHIR-eu-ps</t>
  </si>
  <si>
    <t>http://hl7.eu/fhir/laboratory/StructureDefinition/Specimen-eu-ps</t>
  </si>
  <si>
    <t>http://hl7.eu/fhir/laboratory/StructureDefinition/bodyStructure-eu-ps</t>
  </si>
  <si>
    <t>result2FHIR-eu-ps</t>
  </si>
  <si>
    <t>http://hl7.eu/fhir/laboratory/StructureDefinition/Observation-resultsps-eu-ps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</si>
</sst>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7">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40">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9" fillId="3" borderId="1" xfId="0" applyFont="1" applyFill="1" applyBorder="1" applyAlignment="1">
      <alignment horizontal="left" vertical="center" wrapText="1"/>
    </xf>
    <xf numFmtId="0" fontId="9" fillId="0" borderId="1" xfId="0" applyFont="1" applyBorder="1" applyAlignment="1">
      <alignment horizontal="left"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4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7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B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E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81"/>
  <sheetViews>
    <sheetView topLeftCell="A14" workbookViewId="0">
      <selection activeCell="B31" sqref="B31:E38"/>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10" t="s">
        <v>39</v>
      </c>
      <c r="C3" s="111"/>
      <c r="D3" s="35" t="s">
        <v>40</v>
      </c>
      <c r="E3" s="35" t="s">
        <v>41</v>
      </c>
    </row>
    <row r="4" spans="2:5" ht="16.75" thickBot="1" x14ac:dyDescent="0.9">
      <c r="B4" s="112" t="s">
        <v>854</v>
      </c>
      <c r="C4" s="113"/>
      <c r="D4" s="113"/>
      <c r="E4" s="114"/>
    </row>
    <row r="5" spans="2:5" ht="16.75" thickBot="1" x14ac:dyDescent="0.9">
      <c r="B5" s="112" t="s">
        <v>274</v>
      </c>
      <c r="C5" s="113"/>
      <c r="D5" s="113"/>
      <c r="E5" s="114"/>
    </row>
    <row r="6" spans="2:5" ht="32.75" thickBot="1" x14ac:dyDescent="0.9">
      <c r="B6" s="36" t="s">
        <v>43</v>
      </c>
      <c r="C6" s="36" t="s">
        <v>855</v>
      </c>
      <c r="D6" t="s">
        <v>856</v>
      </c>
      <c r="E6" s="99"/>
    </row>
    <row r="7" spans="2:5" ht="48.75" thickBot="1" x14ac:dyDescent="0.9">
      <c r="B7" s="36" t="s">
        <v>45</v>
      </c>
      <c r="C7" s="37" t="s">
        <v>44</v>
      </c>
      <c r="D7" s="37" t="s">
        <v>267</v>
      </c>
      <c r="E7" s="38"/>
    </row>
    <row r="8" spans="2:5" ht="48.75" thickBot="1" x14ac:dyDescent="0.9">
      <c r="B8" s="36" t="s">
        <v>48</v>
      </c>
      <c r="C8" s="37" t="s">
        <v>46</v>
      </c>
      <c r="D8" s="37" t="s">
        <v>47</v>
      </c>
      <c r="E8" s="38"/>
    </row>
    <row r="9" spans="2:5" ht="64.75" thickBot="1" x14ac:dyDescent="0.9">
      <c r="B9" s="36" t="s">
        <v>52</v>
      </c>
      <c r="C9" s="37" t="s">
        <v>49</v>
      </c>
      <c r="D9" s="37" t="s">
        <v>50</v>
      </c>
      <c r="E9" s="39" t="s">
        <v>51</v>
      </c>
    </row>
    <row r="10" spans="2:5" ht="64.75" thickBot="1" x14ac:dyDescent="0.9">
      <c r="B10" s="100" t="s">
        <v>53</v>
      </c>
      <c r="C10" s="100" t="s">
        <v>54</v>
      </c>
      <c r="D10" s="101" t="s">
        <v>857</v>
      </c>
      <c r="E10" s="100" t="s">
        <v>55</v>
      </c>
    </row>
    <row r="11" spans="2:5" ht="32.75" thickBot="1" x14ac:dyDescent="0.9">
      <c r="B11" s="100" t="s">
        <v>53</v>
      </c>
      <c r="C11" s="100" t="s">
        <v>858</v>
      </c>
      <c r="D11" s="40" t="s">
        <v>859</v>
      </c>
      <c r="E11" s="100" t="s">
        <v>747</v>
      </c>
    </row>
    <row r="12" spans="2:5" ht="16.75" thickBot="1" x14ac:dyDescent="0.9">
      <c r="B12" s="115" t="s">
        <v>860</v>
      </c>
      <c r="C12" s="116"/>
      <c r="D12" s="116"/>
      <c r="E12" s="117"/>
    </row>
    <row r="13" spans="2:5" ht="16.75" thickBot="1" x14ac:dyDescent="0.9">
      <c r="B13" s="118" t="s">
        <v>861</v>
      </c>
      <c r="C13" s="119"/>
      <c r="D13" s="119"/>
      <c r="E13" s="120"/>
    </row>
    <row r="14" spans="2:5" ht="15.5" thickBot="1" x14ac:dyDescent="0.9">
      <c r="B14" s="86" t="s">
        <v>56</v>
      </c>
      <c r="C14" s="87" t="s">
        <v>862</v>
      </c>
      <c r="D14" s="87" t="s">
        <v>273</v>
      </c>
      <c r="E14" s="87"/>
    </row>
    <row r="15" spans="2:5" ht="15.5" thickBot="1" x14ac:dyDescent="0.9">
      <c r="B15" s="88" t="s">
        <v>863</v>
      </c>
      <c r="C15" s="89" t="s">
        <v>864</v>
      </c>
      <c r="D15" s="89" t="s">
        <v>865</v>
      </c>
      <c r="E15" s="89"/>
    </row>
    <row r="16" spans="2:5" ht="30.25" thickBot="1" x14ac:dyDescent="0.9">
      <c r="B16" s="88" t="s">
        <v>866</v>
      </c>
      <c r="C16" s="89" t="s">
        <v>867</v>
      </c>
      <c r="D16" s="89" t="s">
        <v>868</v>
      </c>
      <c r="E16" s="89"/>
    </row>
    <row r="17" spans="2:5" ht="30.25" thickBot="1" x14ac:dyDescent="0.9">
      <c r="B17" s="88" t="s">
        <v>869</v>
      </c>
      <c r="C17" s="89" t="s">
        <v>870</v>
      </c>
      <c r="D17" s="89" t="s">
        <v>871</v>
      </c>
      <c r="E17" s="89"/>
    </row>
    <row r="18" spans="2:5" ht="30.25" thickBot="1" x14ac:dyDescent="0.9">
      <c r="B18" s="88" t="s">
        <v>872</v>
      </c>
      <c r="C18" s="89" t="s">
        <v>873</v>
      </c>
      <c r="D18" s="89" t="s">
        <v>874</v>
      </c>
      <c r="E18" s="89"/>
    </row>
    <row r="19" spans="2:5" ht="30.25" thickBot="1" x14ac:dyDescent="0.9">
      <c r="B19" s="88" t="s">
        <v>875</v>
      </c>
      <c r="C19" s="89" t="s">
        <v>876</v>
      </c>
      <c r="D19" s="89" t="s">
        <v>877</v>
      </c>
      <c r="E19" s="89"/>
    </row>
    <row r="20" spans="2:5" ht="30.25" thickBot="1" x14ac:dyDescent="0.9">
      <c r="B20" s="88" t="s">
        <v>885</v>
      </c>
      <c r="C20" s="89" t="s">
        <v>744</v>
      </c>
      <c r="D20" s="89" t="s">
        <v>878</v>
      </c>
      <c r="E20" s="89" t="s">
        <v>747</v>
      </c>
    </row>
    <row r="21" spans="2:5" ht="30.25" thickBot="1" x14ac:dyDescent="0.9">
      <c r="B21" s="88" t="s">
        <v>879</v>
      </c>
      <c r="C21" s="89" t="s">
        <v>880</v>
      </c>
      <c r="D21" s="89" t="s">
        <v>881</v>
      </c>
      <c r="E21" s="89"/>
    </row>
    <row r="22" spans="2:5" ht="15.5" thickBot="1" x14ac:dyDescent="0.9">
      <c r="B22" s="88" t="s">
        <v>882</v>
      </c>
      <c r="C22" s="89" t="s">
        <v>883</v>
      </c>
      <c r="D22" s="89" t="s">
        <v>884</v>
      </c>
      <c r="E22" s="89"/>
    </row>
    <row r="23" spans="2:5" ht="42.75" customHeight="1" thickBot="1" x14ac:dyDescent="0.9">
      <c r="B23" s="115" t="s">
        <v>886</v>
      </c>
      <c r="C23" s="116"/>
      <c r="D23" s="116"/>
      <c r="E23" s="117"/>
    </row>
    <row r="24" spans="2:5" ht="30.25" thickBot="1" x14ac:dyDescent="0.9">
      <c r="B24" s="86" t="s">
        <v>887</v>
      </c>
      <c r="C24" s="87" t="s">
        <v>888</v>
      </c>
      <c r="D24" s="87" t="s">
        <v>889</v>
      </c>
      <c r="E24" s="87"/>
    </row>
    <row r="25" spans="2:5" ht="30.25" thickBot="1" x14ac:dyDescent="0.9">
      <c r="B25" s="88" t="s">
        <v>890</v>
      </c>
      <c r="C25" s="89" t="s">
        <v>891</v>
      </c>
      <c r="D25" s="89" t="s">
        <v>892</v>
      </c>
      <c r="E25" s="89"/>
    </row>
    <row r="26" spans="2:5" ht="30.25" thickBot="1" x14ac:dyDescent="0.9">
      <c r="B26" s="88" t="s">
        <v>893</v>
      </c>
      <c r="C26" s="89" t="s">
        <v>894</v>
      </c>
      <c r="D26" s="89" t="s">
        <v>895</v>
      </c>
      <c r="E26" s="89"/>
    </row>
    <row r="27" spans="2:5" ht="30.25" thickBot="1" x14ac:dyDescent="0.9">
      <c r="B27" s="88" t="s">
        <v>896</v>
      </c>
      <c r="C27" s="89" t="s">
        <v>880</v>
      </c>
      <c r="D27" s="89" t="s">
        <v>897</v>
      </c>
      <c r="E27" s="89"/>
    </row>
    <row r="28" spans="2:5" ht="30.25" thickBot="1" x14ac:dyDescent="0.9">
      <c r="B28" s="88" t="s">
        <v>898</v>
      </c>
      <c r="C28" s="89" t="s">
        <v>883</v>
      </c>
      <c r="D28" s="89" t="s">
        <v>899</v>
      </c>
      <c r="E28" s="89"/>
    </row>
    <row r="29" spans="2:5" ht="30.25" thickBot="1" x14ac:dyDescent="0.9">
      <c r="B29" s="88" t="s">
        <v>900</v>
      </c>
      <c r="C29" s="89" t="s">
        <v>901</v>
      </c>
      <c r="D29" s="89" t="s">
        <v>902</v>
      </c>
      <c r="E29" s="89"/>
    </row>
    <row r="30" spans="2:5" ht="30.25" thickBot="1" x14ac:dyDescent="0.9">
      <c r="B30" s="88" t="s">
        <v>903</v>
      </c>
      <c r="C30" s="89" t="s">
        <v>904</v>
      </c>
      <c r="D30" s="89" t="s">
        <v>905</v>
      </c>
      <c r="E30" s="89"/>
    </row>
    <row r="31" spans="2:5" ht="16.75" thickBot="1" x14ac:dyDescent="0.9">
      <c r="B31" s="115" t="s">
        <v>906</v>
      </c>
      <c r="C31" s="116"/>
      <c r="D31" s="116"/>
      <c r="E31" s="117"/>
    </row>
    <row r="32" spans="2:5" ht="30.25" thickBot="1" x14ac:dyDescent="0.9">
      <c r="B32" s="86" t="s">
        <v>907</v>
      </c>
      <c r="C32" s="87" t="s">
        <v>908</v>
      </c>
      <c r="D32" s="87" t="s">
        <v>909</v>
      </c>
      <c r="E32" s="87" t="s">
        <v>910</v>
      </c>
    </row>
    <row r="33" spans="2:5" ht="30.25" thickBot="1" x14ac:dyDescent="0.9">
      <c r="B33" s="88" t="s">
        <v>911</v>
      </c>
      <c r="C33" s="89" t="s">
        <v>912</v>
      </c>
      <c r="D33" s="89" t="s">
        <v>913</v>
      </c>
      <c r="E33" s="89"/>
    </row>
    <row r="34" spans="2:5" ht="30.25" thickBot="1" x14ac:dyDescent="0.9">
      <c r="B34" s="88" t="s">
        <v>914</v>
      </c>
      <c r="C34" s="89" t="s">
        <v>915</v>
      </c>
      <c r="D34" s="89" t="s">
        <v>916</v>
      </c>
      <c r="E34" s="89"/>
    </row>
    <row r="35" spans="2:5" x14ac:dyDescent="0.75">
      <c r="B35" s="122" t="s">
        <v>917</v>
      </c>
      <c r="C35" s="122" t="s">
        <v>44</v>
      </c>
      <c r="D35" s="41" t="s">
        <v>918</v>
      </c>
      <c r="E35" s="122"/>
    </row>
    <row r="36" spans="2:5" ht="15.5" thickBot="1" x14ac:dyDescent="0.9">
      <c r="B36" s="123"/>
      <c r="C36" s="123"/>
      <c r="D36" s="89" t="s">
        <v>919</v>
      </c>
      <c r="E36" s="123"/>
    </row>
    <row r="37" spans="2:5" ht="15.5" thickBot="1" x14ac:dyDescent="0.9">
      <c r="B37" s="88" t="s">
        <v>920</v>
      </c>
      <c r="C37" s="89" t="s">
        <v>880</v>
      </c>
      <c r="D37" s="89" t="s">
        <v>897</v>
      </c>
      <c r="E37" s="89"/>
    </row>
    <row r="38" spans="2:5" ht="15.5" thickBot="1" x14ac:dyDescent="0.9">
      <c r="B38" s="88" t="s">
        <v>921</v>
      </c>
      <c r="C38" s="89" t="s">
        <v>883</v>
      </c>
      <c r="D38" s="89" t="s">
        <v>922</v>
      </c>
      <c r="E38" s="89"/>
    </row>
    <row r="39" spans="2:5" ht="19.5" customHeight="1" x14ac:dyDescent="0.75">
      <c r="B39" s="121" t="s">
        <v>923</v>
      </c>
      <c r="C39" s="119"/>
      <c r="D39" s="119"/>
      <c r="E39" s="119"/>
    </row>
    <row r="40" spans="2:5" ht="15.5" thickBot="1" x14ac:dyDescent="0.9">
      <c r="B40" s="88" t="s">
        <v>61</v>
      </c>
      <c r="C40" s="89" t="s">
        <v>924</v>
      </c>
      <c r="D40" s="89" t="s">
        <v>925</v>
      </c>
      <c r="E40" s="89"/>
    </row>
    <row r="41" spans="2:5" ht="16" x14ac:dyDescent="0.75">
      <c r="B41" s="103"/>
      <c r="C41" s="103"/>
      <c r="D41" s="103"/>
      <c r="E41" s="103"/>
    </row>
    <row r="42" spans="2:5" ht="16" x14ac:dyDescent="0.75">
      <c r="B42" s="102"/>
      <c r="C42" s="102"/>
      <c r="D42" s="102"/>
      <c r="E42" s="102"/>
    </row>
    <row r="43" spans="2:5" ht="16" x14ac:dyDescent="0.75">
      <c r="B43" s="102"/>
      <c r="C43" s="102"/>
      <c r="D43" s="102"/>
      <c r="E43" s="102"/>
    </row>
    <row r="44" spans="2:5" ht="16" x14ac:dyDescent="0.75">
      <c r="B44" s="103"/>
      <c r="C44" s="103"/>
      <c r="D44" s="103"/>
      <c r="E44" s="103"/>
    </row>
    <row r="45" spans="2:5" ht="16" x14ac:dyDescent="0.75">
      <c r="B45" s="103"/>
      <c r="C45" s="103"/>
      <c r="D45" s="103"/>
      <c r="E45" s="103"/>
    </row>
    <row r="46" spans="2:5" ht="16" x14ac:dyDescent="0.75">
      <c r="B46" s="103"/>
      <c r="C46" s="103"/>
      <c r="D46" s="103"/>
      <c r="E46" s="103"/>
    </row>
    <row r="47" spans="2:5" ht="16" x14ac:dyDescent="0.75">
      <c r="B47" s="103"/>
      <c r="C47" s="103"/>
      <c r="D47" s="103"/>
      <c r="E47" s="103"/>
    </row>
    <row r="48" spans="2:5" ht="16" x14ac:dyDescent="0.75">
      <c r="B48" s="103"/>
      <c r="C48" s="103"/>
      <c r="D48" s="103"/>
      <c r="E48" s="103"/>
    </row>
    <row r="49" spans="2:5" ht="16" x14ac:dyDescent="0.75">
      <c r="B49" s="103"/>
      <c r="C49" s="103"/>
      <c r="D49" s="103"/>
      <c r="E49" s="103"/>
    </row>
    <row r="50" spans="2:5" ht="16" x14ac:dyDescent="0.75">
      <c r="B50" s="103"/>
      <c r="C50" s="103"/>
      <c r="D50" s="103"/>
      <c r="E50" s="103"/>
    </row>
    <row r="51" spans="2:5" ht="16.75" thickBot="1" x14ac:dyDescent="0.9">
      <c r="B51" s="36"/>
      <c r="C51" s="37"/>
      <c r="D51" s="37"/>
      <c r="E51" s="39"/>
    </row>
    <row r="52" spans="2:5" ht="16.75" thickBot="1" x14ac:dyDescent="0.9">
      <c r="B52" s="36"/>
      <c r="C52" s="37"/>
      <c r="D52" s="37"/>
      <c r="E52" s="42"/>
    </row>
    <row r="53" spans="2:5" ht="16.75" thickBot="1" x14ac:dyDescent="0.9">
      <c r="B53" s="115" t="s">
        <v>60</v>
      </c>
      <c r="C53" s="116"/>
      <c r="D53" s="116"/>
      <c r="E53" s="117"/>
    </row>
    <row r="54" spans="2:5" ht="80.75" thickBot="1" x14ac:dyDescent="0.9">
      <c r="B54" s="36" t="s">
        <v>61</v>
      </c>
      <c r="C54" s="39" t="s">
        <v>62</v>
      </c>
      <c r="D54" s="37" t="s">
        <v>63</v>
      </c>
      <c r="E54" s="42"/>
    </row>
    <row r="55" spans="2:5" ht="16.75" thickBot="1" x14ac:dyDescent="0.9">
      <c r="B55" s="36" t="s">
        <v>64</v>
      </c>
      <c r="C55" s="39" t="s">
        <v>65</v>
      </c>
      <c r="D55" s="37" t="s">
        <v>66</v>
      </c>
      <c r="E55" s="42"/>
    </row>
    <row r="56" spans="2:5" ht="16.75" thickBot="1" x14ac:dyDescent="0.9">
      <c r="B56" s="36" t="s">
        <v>67</v>
      </c>
      <c r="C56" s="39" t="s">
        <v>68</v>
      </c>
      <c r="D56" s="37" t="s">
        <v>69</v>
      </c>
      <c r="E56" s="42"/>
    </row>
    <row r="57" spans="2:5" ht="32.75" thickBot="1" x14ac:dyDescent="0.9">
      <c r="B57" s="36" t="s">
        <v>70</v>
      </c>
      <c r="C57" s="39" t="s">
        <v>71</v>
      </c>
      <c r="D57" s="37" t="s">
        <v>72</v>
      </c>
      <c r="E57" s="42"/>
    </row>
    <row r="58" spans="2:5" ht="16.75" thickBot="1" x14ac:dyDescent="0.9">
      <c r="B58" s="115" t="s">
        <v>73</v>
      </c>
      <c r="C58" s="116"/>
      <c r="D58" s="116"/>
      <c r="E58" s="117"/>
    </row>
    <row r="59" spans="2:5" ht="96.75" thickBot="1" x14ac:dyDescent="0.9">
      <c r="B59" s="36" t="s">
        <v>74</v>
      </c>
      <c r="C59" s="37" t="s">
        <v>75</v>
      </c>
      <c r="D59" s="37" t="s">
        <v>76</v>
      </c>
      <c r="E59" s="42"/>
    </row>
    <row r="60" spans="2:5" ht="16.75" thickBot="1" x14ac:dyDescent="0.9">
      <c r="B60" s="36" t="s">
        <v>77</v>
      </c>
      <c r="C60" s="37" t="s">
        <v>78</v>
      </c>
      <c r="D60" s="37" t="s">
        <v>79</v>
      </c>
      <c r="E60" s="42"/>
    </row>
    <row r="61" spans="2:5" ht="16.75" thickBot="1" x14ac:dyDescent="0.9">
      <c r="B61" s="36" t="s">
        <v>80</v>
      </c>
      <c r="C61" s="37" t="s">
        <v>81</v>
      </c>
      <c r="D61" s="37" t="s">
        <v>82</v>
      </c>
      <c r="E61" s="42"/>
    </row>
    <row r="62" spans="2:5" ht="16.75" thickBot="1" x14ac:dyDescent="0.9">
      <c r="B62" s="115" t="s">
        <v>83</v>
      </c>
      <c r="C62" s="116"/>
      <c r="D62" s="116"/>
      <c r="E62" s="117"/>
    </row>
    <row r="63" spans="2:5" ht="80.75" thickBot="1" x14ac:dyDescent="0.9">
      <c r="B63" s="36" t="s">
        <v>84</v>
      </c>
      <c r="C63" s="37" t="s">
        <v>85</v>
      </c>
      <c r="D63" s="37" t="s">
        <v>86</v>
      </c>
      <c r="E63" s="42"/>
    </row>
    <row r="64" spans="2:5" ht="16.75" thickBot="1" x14ac:dyDescent="0.9">
      <c r="B64" s="36" t="s">
        <v>87</v>
      </c>
      <c r="C64" s="37" t="s">
        <v>88</v>
      </c>
      <c r="D64" s="37" t="s">
        <v>89</v>
      </c>
      <c r="E64" s="42"/>
    </row>
    <row r="65" spans="2:5" ht="16.75" thickBot="1" x14ac:dyDescent="0.9">
      <c r="B65" s="36" t="s">
        <v>90</v>
      </c>
      <c r="C65" s="37" t="s">
        <v>91</v>
      </c>
      <c r="D65" s="37" t="s">
        <v>82</v>
      </c>
      <c r="E65" s="42"/>
    </row>
    <row r="66" spans="2:5" ht="16.75" thickBot="1" x14ac:dyDescent="0.9">
      <c r="B66" s="115" t="s">
        <v>92</v>
      </c>
      <c r="C66" s="116"/>
      <c r="D66" s="116"/>
      <c r="E66" s="117"/>
    </row>
    <row r="67" spans="2:5" ht="64.75" thickBot="1" x14ac:dyDescent="0.9">
      <c r="B67" s="36" t="s">
        <v>93</v>
      </c>
      <c r="C67" s="39" t="s">
        <v>94</v>
      </c>
      <c r="D67" s="37" t="s">
        <v>95</v>
      </c>
      <c r="E67" s="42"/>
    </row>
    <row r="68" spans="2:5" ht="16.75" thickBot="1" x14ac:dyDescent="0.9">
      <c r="B68" s="36" t="s">
        <v>96</v>
      </c>
      <c r="C68" s="39" t="s">
        <v>97</v>
      </c>
      <c r="D68" s="37" t="s">
        <v>79</v>
      </c>
      <c r="E68" s="42"/>
    </row>
    <row r="69" spans="2:5" ht="32.75" thickBot="1" x14ac:dyDescent="0.9">
      <c r="B69" s="36" t="s">
        <v>98</v>
      </c>
      <c r="C69" s="39" t="s">
        <v>99</v>
      </c>
      <c r="D69" s="37" t="s">
        <v>82</v>
      </c>
      <c r="E69" s="42"/>
    </row>
    <row r="70" spans="2:5" ht="32.75" thickBot="1" x14ac:dyDescent="0.9">
      <c r="B70" s="36" t="s">
        <v>100</v>
      </c>
      <c r="C70" s="39" t="s">
        <v>101</v>
      </c>
      <c r="D70" s="37" t="s">
        <v>102</v>
      </c>
      <c r="E70" s="39" t="s">
        <v>103</v>
      </c>
    </row>
    <row r="71" spans="2:5" ht="16.75" thickBot="1" x14ac:dyDescent="0.9">
      <c r="B71" s="115" t="s">
        <v>104</v>
      </c>
      <c r="C71" s="116"/>
      <c r="D71" s="116"/>
      <c r="E71" s="117"/>
    </row>
    <row r="72" spans="2:5" ht="64.75" thickBot="1" x14ac:dyDescent="0.9">
      <c r="B72" s="36" t="s">
        <v>105</v>
      </c>
      <c r="C72" s="39" t="s">
        <v>106</v>
      </c>
      <c r="D72" s="37" t="s">
        <v>107</v>
      </c>
      <c r="E72" s="42"/>
    </row>
    <row r="73" spans="2:5" ht="16.75" thickBot="1" x14ac:dyDescent="0.9">
      <c r="B73" s="36" t="s">
        <v>108</v>
      </c>
      <c r="C73" s="39" t="s">
        <v>109</v>
      </c>
      <c r="D73" s="37" t="s">
        <v>79</v>
      </c>
      <c r="E73" s="42"/>
    </row>
    <row r="74" spans="2:5" ht="32.75" thickBot="1" x14ac:dyDescent="0.9">
      <c r="B74" s="36" t="s">
        <v>110</v>
      </c>
      <c r="C74" s="39" t="s">
        <v>111</v>
      </c>
      <c r="D74" s="37" t="s">
        <v>112</v>
      </c>
      <c r="E74" s="42"/>
    </row>
    <row r="75" spans="2:5" ht="16.75" thickBot="1" x14ac:dyDescent="0.9">
      <c r="B75" s="36" t="s">
        <v>113</v>
      </c>
      <c r="C75" s="39" t="s">
        <v>114</v>
      </c>
      <c r="D75" s="37" t="s">
        <v>115</v>
      </c>
      <c r="E75" s="39" t="s">
        <v>103</v>
      </c>
    </row>
    <row r="76" spans="2:5" ht="16.75" thickBot="1" x14ac:dyDescent="0.9">
      <c r="B76" s="115" t="s">
        <v>1016</v>
      </c>
      <c r="C76" s="116"/>
      <c r="D76" s="116"/>
      <c r="E76" s="117"/>
    </row>
    <row r="77" spans="2:5" ht="32.75" thickBot="1" x14ac:dyDescent="0.9">
      <c r="B77" s="36" t="s">
        <v>116</v>
      </c>
      <c r="C77" s="37" t="s">
        <v>117</v>
      </c>
      <c r="D77" s="37" t="s">
        <v>1017</v>
      </c>
      <c r="E77" s="39" t="s">
        <v>118</v>
      </c>
    </row>
    <row r="78" spans="2:5" ht="32.75" thickBot="1" x14ac:dyDescent="0.9">
      <c r="B78" s="36" t="s">
        <v>119</v>
      </c>
      <c r="C78" s="37" t="s">
        <v>120</v>
      </c>
      <c r="D78" s="37" t="s">
        <v>121</v>
      </c>
      <c r="E78" s="39" t="s">
        <v>122</v>
      </c>
    </row>
    <row r="79" spans="2:5" ht="16.75" thickBot="1" x14ac:dyDescent="0.9">
      <c r="B79" s="36" t="s">
        <v>123</v>
      </c>
      <c r="C79" s="37" t="s">
        <v>124</v>
      </c>
      <c r="D79" s="37" t="s">
        <v>125</v>
      </c>
      <c r="E79" s="39" t="s">
        <v>103</v>
      </c>
    </row>
    <row r="80" spans="2:5" ht="16.75" thickBot="1" x14ac:dyDescent="0.9">
      <c r="B80" s="36" t="s">
        <v>126</v>
      </c>
      <c r="C80" s="37" t="s">
        <v>127</v>
      </c>
      <c r="D80" s="37" t="s">
        <v>128</v>
      </c>
      <c r="E80" s="38"/>
    </row>
    <row r="81" spans="2:5" ht="32.75" thickBot="1" x14ac:dyDescent="0.9">
      <c r="B81" s="36" t="s">
        <v>129</v>
      </c>
      <c r="C81" s="37" t="s">
        <v>130</v>
      </c>
      <c r="D81" s="37" t="s">
        <v>1018</v>
      </c>
      <c r="E81" s="42"/>
    </row>
  </sheetData>
  <mergeCells count="17">
    <mergeCell ref="B31:E31"/>
    <mergeCell ref="B3:C3"/>
    <mergeCell ref="B4:E4"/>
    <mergeCell ref="B5:E5"/>
    <mergeCell ref="B12:E12"/>
    <mergeCell ref="B76:E76"/>
    <mergeCell ref="B13:E13"/>
    <mergeCell ref="B53:E53"/>
    <mergeCell ref="B58:E58"/>
    <mergeCell ref="B62:E62"/>
    <mergeCell ref="B66:E66"/>
    <mergeCell ref="B71:E71"/>
    <mergeCell ref="B39:E39"/>
    <mergeCell ref="B35:B36"/>
    <mergeCell ref="C35:C36"/>
    <mergeCell ref="E35:E36"/>
    <mergeCell ref="B23:E23"/>
  </mergeCells>
  <phoneticPr fontId="17"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10" t="s">
        <v>39</v>
      </c>
      <c r="C3" s="111"/>
      <c r="D3" s="35" t="s">
        <v>40</v>
      </c>
      <c r="E3" s="35" t="s">
        <v>41</v>
      </c>
    </row>
    <row r="4" spans="2:5" ht="15.5" thickBot="1" x14ac:dyDescent="0.9">
      <c r="B4" s="130" t="s">
        <v>131</v>
      </c>
      <c r="C4" s="131"/>
      <c r="D4" s="131"/>
      <c r="E4" s="132"/>
    </row>
    <row r="5" spans="2:5" ht="16.75" thickBot="1" x14ac:dyDescent="0.9">
      <c r="B5" s="36" t="s">
        <v>132</v>
      </c>
      <c r="C5" s="39" t="s">
        <v>133</v>
      </c>
      <c r="D5" s="37" t="s">
        <v>134</v>
      </c>
      <c r="E5" s="42"/>
    </row>
    <row r="6" spans="2:5" ht="16.75" thickBot="1" x14ac:dyDescent="0.9">
      <c r="B6" s="36" t="s">
        <v>135</v>
      </c>
      <c r="C6" s="39" t="s">
        <v>136</v>
      </c>
      <c r="D6" s="37" t="s">
        <v>137</v>
      </c>
      <c r="E6" s="39" t="s">
        <v>103</v>
      </c>
    </row>
    <row r="7" spans="2:5" ht="64.75" thickBot="1" x14ac:dyDescent="0.9">
      <c r="B7" s="36" t="s">
        <v>138</v>
      </c>
      <c r="C7" s="39" t="s">
        <v>139</v>
      </c>
      <c r="D7" s="37" t="s">
        <v>140</v>
      </c>
      <c r="E7" s="42"/>
    </row>
    <row r="8" spans="2:5" ht="16.75" thickBot="1" x14ac:dyDescent="0.9">
      <c r="B8" s="36" t="s">
        <v>141</v>
      </c>
      <c r="C8" s="39" t="s">
        <v>142</v>
      </c>
      <c r="D8" s="37" t="s">
        <v>79</v>
      </c>
      <c r="E8" s="42"/>
    </row>
    <row r="9" spans="2:5" ht="32.75" thickBot="1" x14ac:dyDescent="0.9">
      <c r="B9" s="36" t="s">
        <v>143</v>
      </c>
      <c r="C9" s="39" t="s">
        <v>144</v>
      </c>
      <c r="D9" s="37" t="s">
        <v>145</v>
      </c>
      <c r="E9" s="38"/>
    </row>
    <row r="10" spans="2:5" ht="32.75" thickBot="1" x14ac:dyDescent="0.9">
      <c r="B10" s="36" t="s">
        <v>146</v>
      </c>
      <c r="C10" s="39" t="s">
        <v>147</v>
      </c>
      <c r="D10" s="37" t="s">
        <v>148</v>
      </c>
      <c r="E10" s="42"/>
    </row>
    <row r="11" spans="2:5" ht="15.5" thickBot="1" x14ac:dyDescent="0.9">
      <c r="B11" s="133" t="s">
        <v>149</v>
      </c>
      <c r="C11" s="134"/>
      <c r="D11" s="134"/>
      <c r="E11" s="135"/>
    </row>
    <row r="12" spans="2:5" ht="32" x14ac:dyDescent="0.75">
      <c r="B12" s="124" t="s">
        <v>150</v>
      </c>
      <c r="C12" s="124" t="s">
        <v>151</v>
      </c>
      <c r="D12" s="124" t="s">
        <v>152</v>
      </c>
      <c r="E12" s="43" t="s">
        <v>153</v>
      </c>
    </row>
    <row r="13" spans="2:5" ht="16" x14ac:dyDescent="0.75">
      <c r="B13" s="125"/>
      <c r="C13" s="125"/>
      <c r="D13" s="125"/>
      <c r="E13" s="43" t="s">
        <v>154</v>
      </c>
    </row>
    <row r="14" spans="2:5" ht="16.75" thickBot="1" x14ac:dyDescent="0.9">
      <c r="B14" s="126"/>
      <c r="C14" s="126"/>
      <c r="D14" s="126"/>
      <c r="E14" s="39" t="s">
        <v>155</v>
      </c>
    </row>
    <row r="15" spans="2:5" ht="15.5" thickBot="1" x14ac:dyDescent="0.9">
      <c r="B15" s="133" t="s">
        <v>156</v>
      </c>
      <c r="C15" s="134"/>
      <c r="D15" s="134"/>
      <c r="E15" s="135"/>
    </row>
    <row r="16" spans="2:5" ht="32.75" thickBot="1" x14ac:dyDescent="0.9">
      <c r="B16" s="36" t="s">
        <v>157</v>
      </c>
      <c r="C16" s="39" t="s">
        <v>158</v>
      </c>
      <c r="D16" s="37" t="s">
        <v>159</v>
      </c>
      <c r="E16" s="42"/>
    </row>
    <row r="17" spans="2:5" ht="16.75" thickBot="1" x14ac:dyDescent="0.9">
      <c r="B17" s="36" t="s">
        <v>160</v>
      </c>
      <c r="C17" s="39" t="s">
        <v>161</v>
      </c>
      <c r="D17" s="37" t="s">
        <v>162</v>
      </c>
      <c r="E17" s="39" t="s">
        <v>154</v>
      </c>
    </row>
    <row r="18" spans="2:5" ht="16.75" thickBot="1" x14ac:dyDescent="0.9">
      <c r="B18" s="36" t="s">
        <v>163</v>
      </c>
      <c r="C18" s="39" t="s">
        <v>164</v>
      </c>
      <c r="D18" s="37" t="s">
        <v>165</v>
      </c>
      <c r="E18" s="39" t="s">
        <v>154</v>
      </c>
    </row>
    <row r="19" spans="2:5" ht="16.75" thickBot="1" x14ac:dyDescent="0.9">
      <c r="B19" s="36" t="s">
        <v>166</v>
      </c>
      <c r="C19" s="39" t="s">
        <v>167</v>
      </c>
      <c r="D19" s="37" t="s">
        <v>168</v>
      </c>
      <c r="E19" s="39" t="s">
        <v>103</v>
      </c>
    </row>
    <row r="20" spans="2:5" ht="16.75" thickBot="1" x14ac:dyDescent="0.9">
      <c r="B20" s="36" t="s">
        <v>169</v>
      </c>
      <c r="C20" s="39" t="s">
        <v>170</v>
      </c>
      <c r="D20" s="37" t="s">
        <v>171</v>
      </c>
      <c r="E20" s="39" t="s">
        <v>154</v>
      </c>
    </row>
    <row r="21" spans="2:5" ht="32.75" thickBot="1" x14ac:dyDescent="0.9">
      <c r="B21" s="36" t="s">
        <v>172</v>
      </c>
      <c r="C21" s="39" t="s">
        <v>173</v>
      </c>
      <c r="D21" s="37" t="s">
        <v>174</v>
      </c>
      <c r="E21" s="39" t="s">
        <v>154</v>
      </c>
    </row>
    <row r="22" spans="2:5" ht="16" x14ac:dyDescent="0.75">
      <c r="B22" s="124" t="s">
        <v>175</v>
      </c>
      <c r="C22" s="127" t="s">
        <v>176</v>
      </c>
      <c r="D22" s="124" t="s">
        <v>177</v>
      </c>
      <c r="E22" s="43" t="s">
        <v>154</v>
      </c>
    </row>
    <row r="23" spans="2:5" x14ac:dyDescent="0.75">
      <c r="B23" s="125"/>
      <c r="C23" s="128"/>
      <c r="D23" s="125"/>
      <c r="E23" s="41"/>
    </row>
    <row r="24" spans="2:5" ht="16.75" thickBot="1" x14ac:dyDescent="0.9">
      <c r="B24" s="126"/>
      <c r="C24" s="129"/>
      <c r="D24" s="126"/>
      <c r="E24" s="39" t="s">
        <v>178</v>
      </c>
    </row>
    <row r="25" spans="2:5" ht="32.75" thickBot="1" x14ac:dyDescent="0.9">
      <c r="B25" s="36" t="s">
        <v>179</v>
      </c>
      <c r="C25" s="39" t="s">
        <v>180</v>
      </c>
      <c r="D25" s="37" t="s">
        <v>181</v>
      </c>
      <c r="E25" s="39" t="s">
        <v>154</v>
      </c>
    </row>
    <row r="26" spans="2:5" ht="16.75" thickBot="1" x14ac:dyDescent="0.9">
      <c r="B26" s="36" t="s">
        <v>182</v>
      </c>
      <c r="C26" s="39" t="s">
        <v>183</v>
      </c>
      <c r="D26" s="37" t="s">
        <v>184</v>
      </c>
      <c r="E26" s="39" t="s">
        <v>103</v>
      </c>
    </row>
    <row r="27" spans="2:5" ht="16.75" thickBot="1" x14ac:dyDescent="0.9">
      <c r="B27" s="115" t="s">
        <v>185</v>
      </c>
      <c r="C27" s="116"/>
      <c r="D27" s="116"/>
      <c r="E27" s="117"/>
    </row>
    <row r="28" spans="2:5" ht="16.75" thickBot="1" x14ac:dyDescent="0.9">
      <c r="B28" s="115" t="s">
        <v>1019</v>
      </c>
      <c r="C28" s="116"/>
      <c r="D28" s="116"/>
      <c r="E28" s="117"/>
    </row>
    <row r="29" spans="2:5" ht="16.75" thickBot="1" x14ac:dyDescent="0.9">
      <c r="B29" s="36" t="s">
        <v>186</v>
      </c>
      <c r="C29" s="39" t="s">
        <v>187</v>
      </c>
      <c r="D29" s="37" t="s">
        <v>188</v>
      </c>
      <c r="E29" s="42"/>
    </row>
    <row r="30" spans="2:5" ht="48.75" thickBot="1" x14ac:dyDescent="0.9">
      <c r="B30" s="36" t="s">
        <v>189</v>
      </c>
      <c r="C30" s="39" t="s">
        <v>190</v>
      </c>
      <c r="D30" s="37" t="s">
        <v>191</v>
      </c>
      <c r="E30" s="42"/>
    </row>
    <row r="31" spans="2:5" ht="16.75" thickBot="1" x14ac:dyDescent="0.9">
      <c r="B31" s="115" t="s">
        <v>192</v>
      </c>
      <c r="C31" s="116"/>
      <c r="D31" s="116"/>
      <c r="E31" s="117"/>
    </row>
    <row r="32" spans="2:5" ht="16.75" thickBot="1" x14ac:dyDescent="0.9">
      <c r="B32" s="36" t="s">
        <v>193</v>
      </c>
      <c r="C32" s="39" t="s">
        <v>194</v>
      </c>
      <c r="D32" s="37" t="s">
        <v>195</v>
      </c>
      <c r="E32" s="39" t="s">
        <v>103</v>
      </c>
    </row>
    <row r="33" spans="2:5" ht="16" x14ac:dyDescent="0.75">
      <c r="B33" s="124" t="s">
        <v>196</v>
      </c>
      <c r="C33" s="127" t="s">
        <v>197</v>
      </c>
      <c r="D33" s="124" t="s">
        <v>198</v>
      </c>
      <c r="E33" s="43" t="s">
        <v>118</v>
      </c>
    </row>
    <row r="34" spans="2:5" ht="16" x14ac:dyDescent="0.75">
      <c r="B34" s="125"/>
      <c r="C34" s="128"/>
      <c r="D34" s="125"/>
      <c r="E34" s="43" t="s">
        <v>199</v>
      </c>
    </row>
    <row r="35" spans="2:5" ht="16.75" thickBot="1" x14ac:dyDescent="0.9">
      <c r="B35" s="126"/>
      <c r="C35" s="129"/>
      <c r="D35" s="126"/>
      <c r="E35" s="39" t="s">
        <v>154</v>
      </c>
    </row>
    <row r="36" spans="2:5" ht="32.75" thickBot="1" x14ac:dyDescent="0.9">
      <c r="B36" s="36" t="s">
        <v>200</v>
      </c>
      <c r="C36" s="39" t="s">
        <v>201</v>
      </c>
      <c r="D36" s="37" t="s">
        <v>202</v>
      </c>
      <c r="E36" s="38"/>
    </row>
    <row r="37" spans="2:5" ht="32.75" thickBot="1" x14ac:dyDescent="0.9">
      <c r="B37" s="36" t="s">
        <v>203</v>
      </c>
      <c r="C37" s="39" t="s">
        <v>204</v>
      </c>
      <c r="D37" s="37" t="s">
        <v>205</v>
      </c>
      <c r="E37" s="38"/>
    </row>
    <row r="38" spans="2:5" ht="32.75" thickBot="1" x14ac:dyDescent="0.9">
      <c r="B38" s="36" t="s">
        <v>206</v>
      </c>
      <c r="C38" s="39" t="s">
        <v>207</v>
      </c>
      <c r="D38" s="37" t="s">
        <v>208</v>
      </c>
      <c r="E38" s="38"/>
    </row>
    <row r="39" spans="2:5" ht="16.75" thickBot="1" x14ac:dyDescent="0.9">
      <c r="B39" s="36" t="s">
        <v>209</v>
      </c>
      <c r="C39" s="39" t="s">
        <v>210</v>
      </c>
      <c r="D39" s="37" t="s">
        <v>211</v>
      </c>
      <c r="E39" s="39" t="s">
        <v>154</v>
      </c>
    </row>
    <row r="40" spans="2:5" ht="16" x14ac:dyDescent="0.75">
      <c r="B40" s="124" t="s">
        <v>212</v>
      </c>
      <c r="C40" s="127" t="s">
        <v>213</v>
      </c>
      <c r="D40" s="124" t="s">
        <v>214</v>
      </c>
      <c r="E40" s="43" t="s">
        <v>154</v>
      </c>
    </row>
    <row r="41" spans="2:5" x14ac:dyDescent="0.75">
      <c r="B41" s="125"/>
      <c r="C41" s="128"/>
      <c r="D41" s="125"/>
      <c r="E41" s="41"/>
    </row>
    <row r="42" spans="2:5" ht="16.75" thickBot="1" x14ac:dyDescent="0.9">
      <c r="B42" s="126"/>
      <c r="C42" s="129"/>
      <c r="D42" s="126"/>
      <c r="E42" s="39" t="s">
        <v>178</v>
      </c>
    </row>
    <row r="43" spans="2:5" ht="16.75" thickBot="1" x14ac:dyDescent="0.9">
      <c r="B43" s="36" t="s">
        <v>215</v>
      </c>
      <c r="C43" s="39" t="s">
        <v>216</v>
      </c>
      <c r="D43" s="37" t="s">
        <v>217</v>
      </c>
      <c r="E43" s="38"/>
    </row>
    <row r="44" spans="2:5" ht="32.75" thickBot="1" x14ac:dyDescent="0.9">
      <c r="B44" s="36" t="s">
        <v>218</v>
      </c>
      <c r="C44" s="39" t="s">
        <v>219</v>
      </c>
      <c r="D44" s="37" t="s">
        <v>1020</v>
      </c>
      <c r="E44" s="38"/>
    </row>
    <row r="45" spans="2:5" ht="32.75" thickBot="1" x14ac:dyDescent="0.9">
      <c r="B45" s="36" t="s">
        <v>220</v>
      </c>
      <c r="C45" s="39" t="s">
        <v>221</v>
      </c>
      <c r="D45" s="37" t="s">
        <v>222</v>
      </c>
      <c r="E45" s="38"/>
    </row>
    <row r="46" spans="2:5" ht="64" x14ac:dyDescent="0.75">
      <c r="B46" s="124" t="s">
        <v>223</v>
      </c>
      <c r="C46" s="127" t="s">
        <v>224</v>
      </c>
      <c r="D46" s="124" t="s">
        <v>225</v>
      </c>
      <c r="E46" s="43" t="s">
        <v>226</v>
      </c>
    </row>
    <row r="47" spans="2:5" x14ac:dyDescent="0.75">
      <c r="B47" s="125"/>
      <c r="C47" s="128"/>
      <c r="D47" s="125"/>
      <c r="E47" s="44"/>
    </row>
    <row r="48" spans="2:5" ht="16.75" thickBot="1" x14ac:dyDescent="0.9">
      <c r="B48" s="126"/>
      <c r="C48" s="129"/>
      <c r="D48" s="126"/>
      <c r="E48" s="39" t="s">
        <v>227</v>
      </c>
    </row>
    <row r="49" spans="2:5" ht="16" x14ac:dyDescent="0.75">
      <c r="B49" s="124" t="s">
        <v>228</v>
      </c>
      <c r="C49" s="127" t="s">
        <v>229</v>
      </c>
      <c r="D49" s="124" t="s">
        <v>230</v>
      </c>
      <c r="E49" s="43" t="s">
        <v>154</v>
      </c>
    </row>
    <row r="50" spans="2:5" x14ac:dyDescent="0.75">
      <c r="B50" s="125"/>
      <c r="C50" s="128"/>
      <c r="D50" s="125"/>
      <c r="E50" s="41"/>
    </row>
    <row r="51" spans="2:5" ht="48.75" thickBot="1" x14ac:dyDescent="0.9">
      <c r="B51" s="126"/>
      <c r="C51" s="129"/>
      <c r="D51" s="126"/>
      <c r="E51" s="39" t="s">
        <v>231</v>
      </c>
    </row>
    <row r="52" spans="2:5" ht="32.75" thickBot="1" x14ac:dyDescent="0.9">
      <c r="B52" s="36" t="s">
        <v>232</v>
      </c>
      <c r="C52" s="39" t="s">
        <v>233</v>
      </c>
      <c r="D52" s="37" t="s">
        <v>234</v>
      </c>
      <c r="E52" s="38"/>
    </row>
    <row r="53" spans="2:5" ht="32.75" thickBot="1" x14ac:dyDescent="0.9">
      <c r="B53" s="36" t="s">
        <v>235</v>
      </c>
      <c r="C53" s="39" t="s">
        <v>236</v>
      </c>
      <c r="D53" s="37" t="s">
        <v>237</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0" t="s">
        <v>740</v>
      </c>
      <c r="B2" s="91" t="s">
        <v>556</v>
      </c>
      <c r="J2" s="33" t="s">
        <v>36</v>
      </c>
      <c r="L2" s="33" t="s">
        <v>524</v>
      </c>
    </row>
    <row r="3" spans="1:12" ht="15.5" thickBot="1" x14ac:dyDescent="0.9">
      <c r="J3" s="33" t="str">
        <f>J1</f>
        <v>// -------------------------------------------------------------------------------</v>
      </c>
      <c r="L3" s="33" t="str">
        <f>L1</f>
        <v>// -------------------------------------------------------------------------------</v>
      </c>
    </row>
    <row r="4" spans="1:12" x14ac:dyDescent="0.75">
      <c r="A4" s="6" t="s">
        <v>14</v>
      </c>
      <c r="B4" s="17" t="s">
        <v>238</v>
      </c>
      <c r="J4" s="25" t="str">
        <f>CONCATENATE("Logical: ",B4)</f>
        <v>Logical: LabReportEhn</v>
      </c>
    </row>
    <row r="5" spans="1:12" x14ac:dyDescent="0.75">
      <c r="A5" s="18" t="s">
        <v>19</v>
      </c>
      <c r="B5" s="34" t="s">
        <v>239</v>
      </c>
      <c r="J5" s="25" t="str">
        <f>CONCATENATE("Id: ",B5)</f>
        <v>Id: LabReport</v>
      </c>
    </row>
    <row r="6" spans="1:12" x14ac:dyDescent="0.75">
      <c r="A6" s="18" t="s">
        <v>13</v>
      </c>
      <c r="B6" s="19" t="s">
        <v>1021</v>
      </c>
      <c r="J6" s="26" t="str">
        <f>CONCATENATE("Title: ##34#",B6,"##34#")</f>
        <v>Title: ##34#A - Patient Summary##34#</v>
      </c>
    </row>
    <row r="7" spans="1:12" x14ac:dyDescent="0.75">
      <c r="A7" s="46" t="s">
        <v>5</v>
      </c>
      <c r="B7" s="47" t="s">
        <v>1022</v>
      </c>
      <c r="C7" s="12" t="s">
        <v>6</v>
      </c>
      <c r="D7" s="2" t="s">
        <v>7</v>
      </c>
      <c r="E7" s="3" t="s">
        <v>8</v>
      </c>
      <c r="F7" s="3" t="s">
        <v>9</v>
      </c>
      <c r="G7" s="3" t="s">
        <v>10</v>
      </c>
      <c r="H7" s="65" t="s">
        <v>523</v>
      </c>
      <c r="J7" s="26" t="str">
        <f>CONCATENATE("Description: "," ##334#",B7,"##334#",)</f>
        <v>Description:  ##334#Patient Summary. eHN guideline model.##334#</v>
      </c>
    </row>
    <row r="8" spans="1:12" ht="29.5" x14ac:dyDescent="0.75">
      <c r="A8" s="9">
        <v>1</v>
      </c>
      <c r="B8" s="9" t="s">
        <v>240</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241</v>
      </c>
      <c r="C9" s="9" t="s">
        <v>281</v>
      </c>
      <c r="D9" s="9" t="s">
        <v>278</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301</v>
      </c>
      <c r="C10" s="9" t="s">
        <v>279</v>
      </c>
      <c r="D10" s="9" t="s">
        <v>279</v>
      </c>
      <c r="E10" s="9">
        <v>0</v>
      </c>
      <c r="F10" s="9">
        <v>1</v>
      </c>
      <c r="G10" s="9" t="str">
        <f>$B$2&amp;"/StructureDefinition/"&amp;I10</f>
        <v>http://hl7.eu/fhir/laboratory/StructureDefinition/Payer</v>
      </c>
      <c r="H10" s="14"/>
      <c r="I10" s="45" t="s">
        <v>305</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249</v>
      </c>
      <c r="C11" s="14" t="s">
        <v>242</v>
      </c>
      <c r="D11" s="14" t="s">
        <v>280</v>
      </c>
      <c r="E11" s="9">
        <v>0</v>
      </c>
      <c r="F11" s="9">
        <v>1</v>
      </c>
      <c r="G11" s="9" t="str">
        <f t="shared" ref="G11:G13" si="2">$B$2&amp;"/StructureDefinition/"&amp;I11</f>
        <v>http://hl7.eu/fhir/laboratory/StructureDefinition/Recipient</v>
      </c>
      <c r="H11" s="14"/>
      <c r="I11" s="9" t="s">
        <v>334</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331</v>
      </c>
      <c r="C12" s="14" t="s">
        <v>330</v>
      </c>
      <c r="D12" s="14" t="s">
        <v>83</v>
      </c>
      <c r="E12" s="9">
        <v>0</v>
      </c>
      <c r="F12" s="9" t="s">
        <v>11</v>
      </c>
      <c r="G12" s="9" t="str">
        <f t="shared" si="2"/>
        <v>http://hl7.eu/fhir/laboratory/StructureDefinition/Author</v>
      </c>
      <c r="H12" s="14"/>
      <c r="I12" s="9" t="s">
        <v>341</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332</v>
      </c>
      <c r="C13" s="14" t="s">
        <v>470</v>
      </c>
      <c r="D13" s="14" t="s">
        <v>92</v>
      </c>
      <c r="E13" s="9">
        <v>0</v>
      </c>
      <c r="F13" s="9" t="s">
        <v>11</v>
      </c>
      <c r="G13" s="9" t="str">
        <f t="shared" si="2"/>
        <v>http://hl7.eu/fhir/laboratory/StructureDefinition/LegalAuthenticator</v>
      </c>
      <c r="H13" s="14"/>
      <c r="I13" s="9" t="s">
        <v>333</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250</v>
      </c>
      <c r="C14" s="14" t="s">
        <v>104</v>
      </c>
      <c r="D14" s="14" t="s">
        <v>104</v>
      </c>
      <c r="E14" s="9">
        <v>0</v>
      </c>
      <c r="F14" s="9" t="s">
        <v>11</v>
      </c>
      <c r="G14" s="9" t="str">
        <f>$B$2&amp;"/StructureDefinition/"&amp;I14</f>
        <v>http://hl7.eu/fhir/laboratory/StructureDefinition/Validator</v>
      </c>
      <c r="H14" s="14"/>
      <c r="I14" s="50" t="s">
        <v>345</v>
      </c>
      <c r="J14" s="14" t="str">
        <f t="shared" si="0"/>
        <v>* header.validator 0..* http://hl7.eu/fhir/laboratory/StructureDefinition/Validator ##34#A.1.7 Result validator##34# ##334#A.1.7 Result validator##334#</v>
      </c>
      <c r="L14" s="14" t="str">
        <f t="shared" si="1"/>
        <v/>
      </c>
    </row>
    <row r="15" spans="1:12" ht="29.5" x14ac:dyDescent="0.75">
      <c r="A15" s="9">
        <v>8</v>
      </c>
      <c r="B15" s="9" t="s">
        <v>251</v>
      </c>
      <c r="C15" s="9" t="s">
        <v>1016</v>
      </c>
      <c r="D15" s="9" t="s">
        <v>1016</v>
      </c>
      <c r="E15" s="9">
        <v>1</v>
      </c>
      <c r="F15" s="9">
        <v>1</v>
      </c>
      <c r="G15" s="9" t="s">
        <v>4</v>
      </c>
      <c r="H15" s="14"/>
      <c r="I15" s="45"/>
      <c r="J15" s="14" t="str">
        <f t="shared" si="0"/>
        <v>* header.metadata 1..1 BackboneElement ##34#A.1.8 Patient Summary metadata##34# ##334#A.1.8 Patient Summary metadata##334#</v>
      </c>
      <c r="L15" s="14" t="str">
        <f t="shared" si="1"/>
        <v/>
      </c>
    </row>
    <row r="16" spans="1:12" ht="29.5" x14ac:dyDescent="0.75">
      <c r="A16" s="9">
        <v>9</v>
      </c>
      <c r="B16" s="9" t="s">
        <v>718</v>
      </c>
      <c r="C16" s="9" t="s">
        <v>716</v>
      </c>
      <c r="D16" s="9" t="s">
        <v>717</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252</v>
      </c>
      <c r="C17" s="9" t="s">
        <v>243</v>
      </c>
      <c r="D17" s="14" t="s">
        <v>1023</v>
      </c>
      <c r="E17" s="9">
        <v>1</v>
      </c>
      <c r="F17" s="9">
        <v>1</v>
      </c>
      <c r="G17" s="9" t="s">
        <v>1</v>
      </c>
      <c r="H17" s="14"/>
      <c r="I17" s="45"/>
      <c r="J17" s="14" t="str">
        <f t="shared" si="0"/>
        <v>* header.metadata.type 1..1 CodeableConcept ##34#A.1.8.1 Document type##34# ##334#A coded type of the document. Fixed value "Patient Summary" - Preferred system(s): LOINC##334#</v>
      </c>
      <c r="L17" s="14" t="str">
        <f t="shared" si="1"/>
        <v/>
      </c>
    </row>
    <row r="18" spans="1:13" ht="44.25" x14ac:dyDescent="0.75">
      <c r="A18" s="9">
        <v>11</v>
      </c>
      <c r="B18" s="9" t="s">
        <v>253</v>
      </c>
      <c r="C18" s="9" t="s">
        <v>244</v>
      </c>
      <c r="D18" s="14" t="s">
        <v>247</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254</v>
      </c>
      <c r="C19" s="9" t="s">
        <v>245</v>
      </c>
      <c r="D19" s="14" t="s">
        <v>248</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255</v>
      </c>
      <c r="C20" s="9" t="s">
        <v>246</v>
      </c>
      <c r="D20" s="14" t="s">
        <v>739</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721</v>
      </c>
      <c r="C21" s="9" t="s">
        <v>719</v>
      </c>
      <c r="D21" s="14" t="s">
        <v>720</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256</v>
      </c>
      <c r="C22" s="9" t="s">
        <v>722</v>
      </c>
      <c r="D22" s="14" t="s">
        <v>1024</v>
      </c>
      <c r="E22" s="9">
        <v>0</v>
      </c>
      <c r="F22" s="9">
        <v>1</v>
      </c>
      <c r="G22" s="9" t="s">
        <v>4</v>
      </c>
      <c r="H22" s="14"/>
      <c r="J22" s="14" t="str">
        <f t="shared" si="0"/>
        <v>* header.metadata.custodian 0..1 BackboneElement ##34#A.1.8.6 Report custodian##34# ##334#Organisation that is in charge of maintaining the Patient Summary ##334#</v>
      </c>
      <c r="L22" s="14" t="str">
        <f t="shared" si="1"/>
        <v/>
      </c>
    </row>
    <row r="23" spans="1:13" ht="45" thickBot="1" x14ac:dyDescent="0.9">
      <c r="A23" s="9">
        <v>16</v>
      </c>
      <c r="B23" s="9" t="s">
        <v>727</v>
      </c>
      <c r="C23" s="86" t="s">
        <v>723</v>
      </c>
      <c r="D23" s="87" t="s">
        <v>728</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730</v>
      </c>
      <c r="C24" s="88" t="s">
        <v>724</v>
      </c>
      <c r="D24" s="89" t="s">
        <v>729</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731</v>
      </c>
      <c r="C25" s="88" t="s">
        <v>725</v>
      </c>
      <c r="D25" s="89" t="s">
        <v>726</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282</v>
      </c>
      <c r="C26" s="9" t="s">
        <v>283</v>
      </c>
      <c r="D26" s="4" t="s">
        <v>284</v>
      </c>
      <c r="E26" s="9">
        <v>0</v>
      </c>
      <c r="F26" s="9" t="s">
        <v>11</v>
      </c>
      <c r="G26" s="9" t="str">
        <f>$B$2&amp;"/StructureDefinition/"&amp;I26</f>
        <v>http://hl7.eu/fhir/laboratory/StructureDefinition/Order</v>
      </c>
      <c r="H26" s="14"/>
      <c r="I26" s="9" t="s">
        <v>216</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285</v>
      </c>
      <c r="C27" s="9" t="s">
        <v>156</v>
      </c>
      <c r="D27" s="9" t="s">
        <v>156</v>
      </c>
      <c r="E27" s="9">
        <v>0</v>
      </c>
      <c r="F27" s="9" t="s">
        <v>11</v>
      </c>
      <c r="G27" s="9" t="str">
        <f t="shared" ref="G27:G28" si="3">$B$2&amp;"/StructureDefinition/"&amp;I27</f>
        <v>http://hl7.eu/fhir/laboratory/StructureDefinition/SpecimenLab</v>
      </c>
      <c r="H27" s="14"/>
      <c r="I27" s="9" t="s">
        <v>471</v>
      </c>
      <c r="J27" s="14" t="str">
        <f t="shared" si="0"/>
        <v>* specimen 0..* http://hl7.eu/fhir/laboratory/StructureDefinition/SpecimenLab ##34#A.4 Specimen information##34# ##334#A.4 Specimen information##334#</v>
      </c>
      <c r="L27" s="14" t="str">
        <f t="shared" si="1"/>
        <v/>
      </c>
    </row>
    <row r="28" spans="1:13" ht="29.5" x14ac:dyDescent="0.75">
      <c r="A28" s="9">
        <v>21</v>
      </c>
      <c r="B28" s="9" t="s">
        <v>286</v>
      </c>
      <c r="C28" s="9" t="s">
        <v>185</v>
      </c>
      <c r="D28" s="9" t="s">
        <v>185</v>
      </c>
      <c r="E28" s="9">
        <v>0</v>
      </c>
      <c r="F28" s="9" t="s">
        <v>11</v>
      </c>
      <c r="G28" s="9" t="str">
        <f t="shared" si="3"/>
        <v>http://hl7.eu/fhir/laboratory/StructureDefinition/Result</v>
      </c>
      <c r="H28" s="14"/>
      <c r="I28" s="9" t="s">
        <v>398</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C9" sqref="C9"/>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1" t="s">
        <v>277</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276</v>
      </c>
      <c r="E6" s="29" t="str">
        <f>CONCATENATE("Title: ##34#",C6,"##34#")</f>
        <v>Title: ##34#eHN Lab model to FHIR R4 Map##34#</v>
      </c>
      <c r="H6" s="10"/>
      <c r="I6" s="10"/>
      <c r="J6" s="10"/>
      <c r="K6" s="10"/>
      <c r="L6" s="10"/>
      <c r="M6" s="10"/>
      <c r="N6" s="10"/>
      <c r="O6" s="10"/>
    </row>
    <row r="7" spans="1:15" ht="15.5" thickBot="1" x14ac:dyDescent="0.9">
      <c r="B7" s="13" t="s">
        <v>35</v>
      </c>
      <c r="C7" s="52"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PS!B5</f>
        <v>LabReport</v>
      </c>
      <c r="C9" s="4" t="s">
        <v>971</v>
      </c>
      <c r="E9" s="48" t="str">
        <f>CONCATENATE("* -&gt; ##34#",C9,"##34#")</f>
        <v>* -&gt; ##34#Bundle.conformsTo('http://hl7.eu/fhir/ig/xeh/StructureDefinition/Bundle-ps-xeh')##34#</v>
      </c>
      <c r="H9" s="10"/>
      <c r="I9" s="10"/>
      <c r="J9" s="10"/>
      <c r="K9" s="10"/>
      <c r="L9" s="10"/>
      <c r="M9" s="10"/>
      <c r="N9" s="10"/>
      <c r="O9" s="10"/>
    </row>
    <row r="10" spans="1:15" ht="29.5" x14ac:dyDescent="0.75">
      <c r="A10" s="9"/>
      <c r="B10" s="9" t="str">
        <f>PS!B8</f>
        <v>header</v>
      </c>
      <c r="C10" s="14" t="s">
        <v>972</v>
      </c>
      <c r="E10" s="14" t="str">
        <f t="shared" ref="E10:E35" si="0">IF(B10=0,"*  -&gt; ##34###34#",CONCATENATE("* ",B10," -&gt; ##34#",C10,"##34#"))</f>
        <v>* header -&gt; ##34#Composition.conformsTo('http://hl7.eu/fhir/ig/xeh/StructureDefinition/Composition-ps-xeh')##34#</v>
      </c>
      <c r="H10" s="10"/>
      <c r="I10" s="10"/>
      <c r="J10" s="10"/>
      <c r="K10" s="10"/>
      <c r="L10" s="10"/>
      <c r="M10" s="10"/>
      <c r="N10" s="10"/>
      <c r="O10" s="10"/>
    </row>
    <row r="11" spans="1:15" x14ac:dyDescent="0.75">
      <c r="A11" s="9"/>
      <c r="B11" s="9" t="str">
        <f>PS!B9</f>
        <v>header.subject</v>
      </c>
      <c r="C11" s="14" t="s">
        <v>257</v>
      </c>
      <c r="E11" s="14" t="str">
        <f t="shared" si="0"/>
        <v>* header.subject -&gt; ##34#Composition.subject##34#</v>
      </c>
      <c r="H11" s="10"/>
      <c r="I11" s="10"/>
      <c r="J11" s="10"/>
      <c r="K11" s="10"/>
      <c r="L11" s="10"/>
      <c r="M11" s="10"/>
      <c r="N11" s="10"/>
      <c r="O11" s="10"/>
    </row>
    <row r="12" spans="1:15" ht="29.5" x14ac:dyDescent="0.75">
      <c r="A12" s="9"/>
      <c r="B12" s="9" t="str">
        <f>PS!B10</f>
        <v>header.payer</v>
      </c>
      <c r="C12" s="14" t="s">
        <v>973</v>
      </c>
      <c r="E12" s="14" t="str">
        <f t="shared" si="0"/>
        <v>* header.payer -&gt; ##34#ServiceRequest.conformsTo('http://hl7.eu/fhir/ig/xeh/StructureDefinition/ServiceRequest-ps-xeh').insurance.resolve()##34#</v>
      </c>
      <c r="H12" s="10"/>
      <c r="I12" s="10"/>
      <c r="J12" s="10"/>
      <c r="K12" s="10"/>
      <c r="L12" s="10"/>
      <c r="M12" s="10"/>
      <c r="N12" s="10"/>
      <c r="O12" s="10"/>
    </row>
    <row r="13" spans="1:15" ht="29.5" x14ac:dyDescent="0.75">
      <c r="A13" s="9"/>
      <c r="B13" s="9" t="str">
        <f>PS!B11</f>
        <v>header.informationRecipient</v>
      </c>
      <c r="C13" s="14" t="s">
        <v>545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PS!B12</f>
        <v>header.author</v>
      </c>
      <c r="C14" s="14" t="s">
        <v>338</v>
      </c>
      <c r="E14" s="14" t="str">
        <f t="shared" si="0"/>
        <v>* header.author -&gt; ##34#Composition.author##34#</v>
      </c>
      <c r="H14" s="10"/>
      <c r="I14" s="10"/>
      <c r="J14" s="10"/>
      <c r="K14" s="10"/>
      <c r="L14" s="10"/>
      <c r="M14" s="10"/>
      <c r="N14" s="10"/>
      <c r="O14" s="10"/>
    </row>
    <row r="15" spans="1:15" ht="29.5" x14ac:dyDescent="0.75">
      <c r="A15" s="9"/>
      <c r="B15" s="9" t="str">
        <f>PS!B13</f>
        <v>header.legalAuthenticator</v>
      </c>
      <c r="C15" s="14" t="s">
        <v>339</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PS!B14</f>
        <v>header.validator</v>
      </c>
      <c r="C16" s="14" t="s">
        <v>340</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PS!B15</f>
        <v>header.metadata</v>
      </c>
      <c r="C17" s="14" t="s">
        <v>263</v>
      </c>
      <c r="E17" s="14" t="str">
        <f t="shared" si="0"/>
        <v>* header.metadata -&gt; ##34#Composition##34#</v>
      </c>
    </row>
    <row r="18" spans="1:5" x14ac:dyDescent="0.75">
      <c r="A18" s="9"/>
      <c r="B18" s="9" t="str">
        <f>PS!B17</f>
        <v>header.metadata.type</v>
      </c>
      <c r="C18" s="14" t="s">
        <v>262</v>
      </c>
      <c r="E18" s="14" t="str">
        <f t="shared" si="0"/>
        <v>* header.metadata.type -&gt; ##34#Composition.type##34#</v>
      </c>
    </row>
    <row r="19" spans="1:5" x14ac:dyDescent="0.75">
      <c r="A19" s="9"/>
      <c r="B19" s="9" t="str">
        <f>PS!B18</f>
        <v>header.metadata.status</v>
      </c>
      <c r="C19" s="14" t="s">
        <v>259</v>
      </c>
      <c r="E19" s="14" t="str">
        <f t="shared" si="0"/>
        <v>* header.metadata.status -&gt; ##34#Composition.status##34#</v>
      </c>
    </row>
    <row r="20" spans="1:5" x14ac:dyDescent="0.75">
      <c r="A20" s="9"/>
      <c r="B20" s="9" t="str">
        <f>PS!B19</f>
        <v>header.metadata.dateTime</v>
      </c>
      <c r="C20" s="14" t="s">
        <v>258</v>
      </c>
      <c r="E20" s="14" t="str">
        <f t="shared" si="0"/>
        <v>* header.metadata.dateTime -&gt; ##34#Bundle.timestamp##34#</v>
      </c>
    </row>
    <row r="21" spans="1:5" x14ac:dyDescent="0.75">
      <c r="B21" s="9" t="str">
        <f>PS!B20</f>
        <v>header.metadata.title</v>
      </c>
      <c r="C21" s="14" t="s">
        <v>260</v>
      </c>
      <c r="E21" s="14" t="str">
        <f t="shared" si="0"/>
        <v>* header.metadata.title -&gt; ##34#Composition.title##34#</v>
      </c>
    </row>
    <row r="22" spans="1:5" x14ac:dyDescent="0.75">
      <c r="B22" s="9" t="str">
        <f>PS!B22</f>
        <v>header.metadata.custodian</v>
      </c>
      <c r="C22" s="14" t="s">
        <v>261</v>
      </c>
      <c r="E22" s="14" t="str">
        <f t="shared" si="0"/>
        <v>* header.metadata.custodian -&gt; ##34#Composition.custodian##34#</v>
      </c>
    </row>
    <row r="23" spans="1:5" ht="29.5" x14ac:dyDescent="0.75">
      <c r="B23" s="59" t="str">
        <f>PS!B26</f>
        <v>order</v>
      </c>
      <c r="C23" s="14" t="s">
        <v>287</v>
      </c>
      <c r="E23" s="14" t="str">
        <f t="shared" si="0"/>
        <v>* order -&gt; ##34#Composition.extension('http://hl7.eu/fhir/ig/xeh/StructureDefinition/composition-basedOn-order-or-requisition').valueReference.resolve()##34#</v>
      </c>
    </row>
    <row r="24" spans="1:5" ht="29.5" x14ac:dyDescent="0.75">
      <c r="B24" s="59" t="str">
        <f>PS!B26</f>
        <v>order</v>
      </c>
      <c r="C24" s="14" t="s">
        <v>522</v>
      </c>
      <c r="E24" s="14" t="str">
        <f t="shared" si="0"/>
        <v>* order -&gt; ##34#Composition.extension('http://hl7.eu/fhir/ig/xeh/StructureDefinition/composition-basedOn-order-or-requisition').valueIdentifier##34#</v>
      </c>
    </row>
    <row r="25" spans="1:5" ht="59" x14ac:dyDescent="0.75">
      <c r="B25" s="59" t="str">
        <f>PS!B26</f>
        <v>order</v>
      </c>
      <c r="C25" s="14" t="s">
        <v>974</v>
      </c>
      <c r="E25" s="14" t="str">
        <f t="shared" si="0"/>
        <v>* order -&gt; ##34#DiagnosticReport.conformsTo('http://hl7.eu/fhir/ig/xeh/StructureDefinition/DiagnosticReport-ps-xeh').basedOn.extension('http://hl7.eu/fhir/ig/xeh/StructureDefinition/diagnostic-report-basedOn-requisition').valueIdentifier##34#</v>
      </c>
    </row>
    <row r="26" spans="1:5" ht="29.5" x14ac:dyDescent="0.75">
      <c r="B26" s="59" t="str">
        <f>PS!B26</f>
        <v>order</v>
      </c>
      <c r="C26" s="14" t="s">
        <v>975</v>
      </c>
      <c r="E26" s="14" t="str">
        <f t="shared" si="0"/>
        <v>* order -&gt; ##34#DiagnosticReport.conformsTo('http://hl7.eu/fhir/ig/xeh/StructureDefinition/DiagnosticReport-ps-xeh').basedOn.resolve()##34#</v>
      </c>
    </row>
    <row r="27" spans="1:5" ht="29.5" x14ac:dyDescent="0.75">
      <c r="B27" s="9" t="str">
        <f>PS!B27</f>
        <v>specimen</v>
      </c>
      <c r="C27" s="14" t="s">
        <v>288</v>
      </c>
      <c r="E27" s="14" t="str">
        <f t="shared" si="0"/>
        <v>* specimen -&gt; ##34#Observation.conformsTo('http://hl7.eu/fhir/ig/xeh/StructureDefinition/Observation-results-laboratory-eu-xeh').specimen.resolve()##34#</v>
      </c>
    </row>
    <row r="28" spans="1:5" ht="29.5" x14ac:dyDescent="0.75">
      <c r="B28" s="9" t="str">
        <f>PS!B27</f>
        <v>specimen</v>
      </c>
      <c r="C28" s="14" t="s">
        <v>976</v>
      </c>
      <c r="E28" s="14" t="str">
        <f t="shared" si="0"/>
        <v>* specimen -&gt; ##34#DiagnosticReport.conformsTo('http://hl7.eu/fhir/ig/xeh/StructureDefinition/DiagnosticReport-ps-xeh').specimen.resolve()##34#</v>
      </c>
    </row>
    <row r="29" spans="1:5" x14ac:dyDescent="0.75">
      <c r="B29" s="59" t="str">
        <f>PS!$B$28</f>
        <v>result</v>
      </c>
      <c r="C29" s="14" t="s">
        <v>487</v>
      </c>
      <c r="E29" s="14" t="str">
        <f t="shared" si="0"/>
        <v>* result -&gt; ##34#Composition.section:no-subsections.entry.resolve()##34#</v>
      </c>
    </row>
    <row r="30" spans="1:5" x14ac:dyDescent="0.75">
      <c r="B30" s="59" t="str">
        <f>PS!$B$28</f>
        <v>result</v>
      </c>
      <c r="C30" s="14" t="s">
        <v>488</v>
      </c>
      <c r="E30" s="14" t="str">
        <f t="shared" si="0"/>
        <v>* result -&gt; ##34#Composition.section:subsections.section.entry.resolve()##34#</v>
      </c>
    </row>
    <row r="31" spans="1:5" ht="29.5" x14ac:dyDescent="0.75">
      <c r="B31" s="59" t="str">
        <f>PS!$B$28</f>
        <v>result</v>
      </c>
      <c r="C31" s="14" t="s">
        <v>977</v>
      </c>
      <c r="E31" s="14" t="str">
        <f t="shared" si="0"/>
        <v>* result -&gt; ##34#DiagnosticReport.conformsTo('http://hl7.eu/fhir/ig/xeh/StructureDefinition/DiagnosticReport-ps-xeh').result.resolve()##34#</v>
      </c>
    </row>
    <row r="32" spans="1:5" x14ac:dyDescent="0.75">
      <c r="B32" s="9">
        <f>PS!B31</f>
        <v>0</v>
      </c>
      <c r="C32" s="14"/>
      <c r="E32" s="14" t="str">
        <f t="shared" si="0"/>
        <v>*  -&gt; ##34###34#</v>
      </c>
    </row>
    <row r="33" spans="2:5" x14ac:dyDescent="0.75">
      <c r="B33" s="9">
        <f>PS!B32</f>
        <v>0</v>
      </c>
      <c r="E33" s="14" t="str">
        <f t="shared" si="0"/>
        <v>*  -&gt; ##34###34#</v>
      </c>
    </row>
    <row r="34" spans="2:5" x14ac:dyDescent="0.75">
      <c r="B34" s="9">
        <f>PS!B33</f>
        <v>0</v>
      </c>
      <c r="E34" s="14" t="str">
        <f t="shared" si="0"/>
        <v>*  -&gt; ##34###34#</v>
      </c>
    </row>
    <row r="35" spans="2:5" x14ac:dyDescent="0.75">
      <c r="B35" s="9">
        <f>PS!B34</f>
        <v>0</v>
      </c>
      <c r="E35" s="14" t="str">
        <f t="shared" si="0"/>
        <v>*  -&gt; ##34###34#</v>
      </c>
    </row>
    <row r="36" spans="2:5" x14ac:dyDescent="0.75">
      <c r="B36" s="9">
        <f>PS!B35</f>
        <v>0</v>
      </c>
    </row>
    <row r="37" spans="2:5" x14ac:dyDescent="0.75">
      <c r="B37" s="9">
        <f>PS!B36</f>
        <v>0</v>
      </c>
    </row>
    <row r="38" spans="2:5" x14ac:dyDescent="0.75">
      <c r="B38" s="9">
        <f>PS!B37</f>
        <v>0</v>
      </c>
    </row>
    <row r="39" spans="2:5" x14ac:dyDescent="0.75">
      <c r="B39" s="9">
        <f>PS!B40</f>
        <v>0</v>
      </c>
    </row>
    <row r="40" spans="2:5" x14ac:dyDescent="0.75">
      <c r="B40" s="9">
        <f>PS!B41</f>
        <v>0</v>
      </c>
    </row>
    <row r="41" spans="2:5" x14ac:dyDescent="0.75">
      <c r="B41" s="9">
        <f>PS!B42</f>
        <v>0</v>
      </c>
      <c r="E41" s="1" t="s">
        <v>289</v>
      </c>
    </row>
    <row r="42" spans="2:5" x14ac:dyDescent="0.75">
      <c r="B42" s="9">
        <f>PS!B43</f>
        <v>0</v>
      </c>
    </row>
    <row r="43" spans="2:5" x14ac:dyDescent="0.75">
      <c r="B43" s="9">
        <f>PS!B40</f>
        <v>0</v>
      </c>
    </row>
    <row r="44" spans="2:5" x14ac:dyDescent="0.75">
      <c r="B44" s="9">
        <f>PS!B43</f>
        <v>0</v>
      </c>
    </row>
    <row r="45" spans="2:5" x14ac:dyDescent="0.75">
      <c r="B45" s="9">
        <f>PS!B44</f>
        <v>0</v>
      </c>
    </row>
    <row r="46" spans="2:5" x14ac:dyDescent="0.75">
      <c r="B46" s="9">
        <f>PS!B45</f>
        <v>0</v>
      </c>
    </row>
    <row r="47" spans="2:5" x14ac:dyDescent="0.75">
      <c r="B47" s="9">
        <f>PS!B46</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PS!J1</f>
        <v>// -------------------------------------------------------------------------------</v>
      </c>
    </row>
    <row r="2" spans="3:7" ht="16.75" thickBot="1" x14ac:dyDescent="0.9">
      <c r="C2" s="33" t="str">
        <f>PS!J2</f>
        <v>//  Logical Model</v>
      </c>
      <c r="G2" s="53" t="s">
        <v>978</v>
      </c>
    </row>
    <row r="3" spans="3:7" x14ac:dyDescent="0.75">
      <c r="C3" s="33" t="str">
        <f>PS!J3</f>
        <v>// -------------------------------------------------------------------------------</v>
      </c>
    </row>
    <row r="4" spans="3:7" x14ac:dyDescent="0.75">
      <c r="C4" s="25" t="str">
        <f>PS!J4</f>
        <v>Logical: LabReportEhn</v>
      </c>
    </row>
    <row r="5" spans="3:7" x14ac:dyDescent="0.75">
      <c r="C5" s="25" t="str">
        <f>PS!J5</f>
        <v>Id: LabReport</v>
      </c>
    </row>
    <row r="6" spans="3:7" x14ac:dyDescent="0.75">
      <c r="C6" s="25" t="str">
        <f>PS!J6</f>
        <v>Title: ##34#A - Patient Summary##34#</v>
      </c>
    </row>
    <row r="7" spans="3:7" x14ac:dyDescent="0.75">
      <c r="C7" s="25"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http://hl7.eu/fhir/laboratory/StructureDefinition/Subject ##34#A.1.1 - A1.2 Patient/subject##34# ##334#A.1.1 Identification of the patient/subject and A.1.2 Patient/subject related contact information  ##334#</v>
      </c>
    </row>
    <row r="10" spans="3:7" x14ac:dyDescent="0.75">
      <c r="C10" s="14" t="str">
        <f>IF(PS!J10="*  ..  ##34###34# ##334###334#","//--- END",PS!J10)</f>
        <v>* header.payer 0..1 http://hl7.eu/fhir/laboratory/StructureDefinition/Payer ##34#A.1.3 Health insurance and payment information##34# ##334#A.1.3 Health insurance and payment information##334#</v>
      </c>
    </row>
    <row r="11" spans="3:7" ht="44.25" x14ac:dyDescent="0.75">
      <c r="C11" s="14" t="str">
        <f>IF(PS!J11="*  ..  ##34###34# ##334###334#","//--- END",PS!J11)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IF(PS!J12="*  ..  ##34###34# ##334###334#","//--- END",PS!J12)</f>
        <v>* header.author 0..* http://hl7.eu/fhir/laboratory/StructureDefinition/Author ##34#A.1.5 Author##34# ##334#A.1.5 Author (by whom the Laboratory result report or a subset of its results was authored)##334#</v>
      </c>
    </row>
    <row r="13" spans="3:7" ht="44.25" x14ac:dyDescent="0.75">
      <c r="C13" s="14" t="str">
        <f>IF(PS!J13="*  ..  ##34###34# ##334###334#","//--- END",PS!J13)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IF(PS!J14="*  ..  ##34###34# ##334###334#","//--- END",PS!J14)</f>
        <v>* header.validator 0..* http://hl7.eu/fhir/laboratory/StructureDefinition/Validator ##34#A.1.7 Result validator##34# ##334#A.1.7 Result validator##334#</v>
      </c>
    </row>
    <row r="15" spans="3:7" ht="29.5" x14ac:dyDescent="0.75">
      <c r="C15" s="14" t="str">
        <f>IF(PS!J15="*  ..  ##34###34# ##334###334#","//--- END",PS!J15)</f>
        <v>* header.metadata 1..1 BackboneElement ##34#A.1.8 Patient Summary metadata##34# ##334#A.1.8 Patient Summary metadata##334#</v>
      </c>
    </row>
    <row r="16" spans="3:7" ht="29.5" x14ac:dyDescent="0.75">
      <c r="C16" s="14" t="str">
        <f>IF(PS!J16="*  ..  ##34###34# ##334###334#","//--- END",PS!J16)</f>
        <v>* header.metadata.documentId 1..1 Identifier ##34#A.1.8.0 Document Id##34# ##334#Unique identifier of the document##334#</v>
      </c>
    </row>
    <row r="17" spans="3:3" ht="29.5" x14ac:dyDescent="0.75">
      <c r="C17" s="14" t="str">
        <f>IF(PS!J17="*  ..  ##34###34# ##334###334#","//--- END",PS!J17)</f>
        <v>* header.metadata.type 1..1 CodeableConcept ##34#A.1.8.1 Document type##34# ##334#A coded type of the document. Fixed value "Patient Summary" - Preferred system(s): LOINC##334#</v>
      </c>
    </row>
    <row r="18" spans="3:3" ht="29.5" x14ac:dyDescent="0.75">
      <c r="C18" s="14" t="str">
        <f>IF(PS!J18="*  ..  ##34###34# ##334###334#","//--- END",PS!J18)</f>
        <v>* header.metadata.status 1..1 CodeableConcept ##34#A.1.8.2 Document status##34# ##334#The status of the laboratory test result report. E.g., preliminary, final. - Preferred system(s): hl7:DiagnosticReportStatus##334#</v>
      </c>
    </row>
    <row r="19" spans="3:3" ht="29.5" x14ac:dyDescent="0.75">
      <c r="C19" s="14" t="str">
        <f>IF(PS!J19="*  ..  ##34###34# ##334###334#","//--- END",PS!J19)</f>
        <v>* header.metadata.dateTime 1..1 dateTime ##34#A.1.8.3 Report date and time##34# ##334#Date and time of the result report creation. - Preferred system(s): ISO 8601##334#</v>
      </c>
    </row>
    <row r="20" spans="3:3" ht="29.5" x14ac:dyDescent="0.75">
      <c r="C20" s="14" t="str">
        <f>IF(PS!J20="*  ..  ##34###34# ##334###334#","//--- END",PS!J20)</f>
        <v>* header.metadata.title 0..1 string ##34#A.1.8.4 Document title##34# ##334#Document title, e.g. 'Laboratory Result report'##334#</v>
      </c>
    </row>
    <row r="21" spans="3:3" ht="29.5" x14ac:dyDescent="0.75">
      <c r="C21" s="14" t="str">
        <f>IF(PS!J21="*  ..  ##34###34# ##334###334#","//--- END",PS!J21)</f>
        <v>* header.metadata.studyType 0..* CodeableConcept ##34#A.1.8.5 Study type##34# ##334#Type (or types) of the laboratory study performed.  - Preferred system(s): LOINC SNOMED CT ##334#</v>
      </c>
    </row>
    <row r="22" spans="3:3" ht="29.5" x14ac:dyDescent="0.75">
      <c r="C22" s="14" t="str">
        <f>IF(PS!J22="*  ..  ##34###34# ##334###334#","//--- END",PS!J22)</f>
        <v>* header.metadata.custodian 0..1 BackboneElement ##34#A.1.8.6 Report custodian##34# ##334#Organisation that is in charge of maintaining the Patient Summary ##334#</v>
      </c>
    </row>
    <row r="23" spans="3:3" ht="29.5" x14ac:dyDescent="0.75">
      <c r="C23" s="14" t="str">
        <f>IF(PS!J23="*  ..  ##34###34# ##334###334#","//--- END",PS!J23)</f>
        <v>* header.metadata.confidentiality 0..1 CodeableConcept ##34#A.1.8.7 Confidentiality##34# ##334#Level of confidentiality of the document. Implicit value is normal. - Preferred system(s): hl7:Confidentiality##334#</v>
      </c>
    </row>
    <row r="24" spans="3:3" ht="29.5" x14ac:dyDescent="0.75">
      <c r="C24" s="14" t="str">
        <f>IF(PS!J24="*  ..  ##34###34# ##334###334#","//--- END",PS!J24)</f>
        <v>* header.metadata.language 0..1 CodeableConcept ##34#A.1.8.8 Language##34# ##334#Language in which the document is written. Language is expressed by the ISO language code.- Preferred system(s):  BCP 47##334#</v>
      </c>
    </row>
    <row r="25" spans="3:3" x14ac:dyDescent="0.75">
      <c r="C25" s="14" t="str">
        <f>IF(PS!J25="*  ..  ##34###34# ##334###334#","//--- END",PS!J25)</f>
        <v>* header.metadata.version 0..1 string ##34#A.1.8.9 Version##34# ##334#Version of the document.##334#</v>
      </c>
    </row>
    <row r="26" spans="3:3" ht="59" x14ac:dyDescent="0.75">
      <c r="C26" s="14" t="str">
        <f>IF(PS!J26="*  ..  ##34###34# ##334###334#","//--- END",PS!J26)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IF(PS!J27="*  ..  ##34###34# ##334###334#","//--- END",PS!J27)</f>
        <v>* specimen 0..* http://hl7.eu/fhir/laboratory/StructureDefinition/SpecimenLab ##34#A.4 Specimen information##34# ##334#A.4 Specimen information##334#</v>
      </c>
    </row>
    <row r="28" spans="3:3" ht="29.5" x14ac:dyDescent="0.75">
      <c r="C28" s="14" t="str">
        <f>IF(PS!J28="*  ..  ##34###34# ##334###334#","//--- END",PS!J28)</f>
        <v>* result 0..* http://hl7.eu/fhir/laboratory/StructureDefinition/Result ##34#A.5 Results data elements##34# ##334#A.5 Results data elements##334#</v>
      </c>
    </row>
    <row r="29" spans="3:3" x14ac:dyDescent="0.75">
      <c r="C29" s="14" t="str">
        <f>IF(PS!J29="*  ..  ##34###34# ##334###334#","//--- END",PS!J29)</f>
        <v>//--- END</v>
      </c>
    </row>
    <row r="30" spans="3:3" x14ac:dyDescent="0.75">
      <c r="C30" s="14" t="str">
        <f>IF(PS!J30="*  ..  ##34###34# ##334###334#","//--- END",PS!J30)</f>
        <v>//--- END</v>
      </c>
    </row>
    <row r="31" spans="3:3" x14ac:dyDescent="0.75">
      <c r="C31" s="14" t="str">
        <f>IF(PS!J31="*  ..  ##34###34# ##334###334#","//--- END",PS!J31)</f>
        <v>//--- END</v>
      </c>
    </row>
    <row r="35" spans="3:3" x14ac:dyDescent="0.75">
      <c r="C35" s="32" t="s">
        <v>525</v>
      </c>
    </row>
    <row r="36" spans="3:3" x14ac:dyDescent="0.75">
      <c r="C36" s="33" t="s">
        <v>732</v>
      </c>
    </row>
    <row r="37" spans="3:3" x14ac:dyDescent="0.75">
      <c r="C37" s="33" t="s">
        <v>525</v>
      </c>
    </row>
    <row r="38" spans="3:3" x14ac:dyDescent="0.75">
      <c r="C38" s="14" t="str">
        <f>IF(PS!L8="*  ..  ##34###34# ##334###334#","//--- END",PS!L8)</f>
        <v/>
      </c>
    </row>
    <row r="39" spans="3:3" x14ac:dyDescent="0.75">
      <c r="C39" s="14" t="str">
        <f>IF(PS!L9="*  ..  ##34###34# ##334###334#","//--- END",PS!L9)</f>
        <v/>
      </c>
    </row>
    <row r="40" spans="3:3" x14ac:dyDescent="0.75">
      <c r="C40" s="14" t="str">
        <f>IF(PS!L10="*  ..  ##34###34# ##334###334#","//--- END",PS!L10)</f>
        <v/>
      </c>
    </row>
    <row r="41" spans="3:3" x14ac:dyDescent="0.75">
      <c r="C41" s="14" t="str">
        <f>IF(PS!L11="*  ..  ##34###34# ##334###334#","//--- END",PS!L11)</f>
        <v/>
      </c>
    </row>
    <row r="42" spans="3:3" x14ac:dyDescent="0.75">
      <c r="C42" s="14" t="str">
        <f>IF(PS!L12="*  ..  ##34###34# ##334###334#","//--- END",PS!L12)</f>
        <v/>
      </c>
    </row>
    <row r="43" spans="3:3" x14ac:dyDescent="0.75">
      <c r="C43" s="14" t="str">
        <f>IF(PS!L13="*  ..  ##34###34# ##334###334#","//--- END",PS!L13)</f>
        <v/>
      </c>
    </row>
    <row r="44" spans="3:3" x14ac:dyDescent="0.75">
      <c r="C44" s="14" t="str">
        <f>IF(PS!L14="*  ..  ##34###34# ##334###334#","//--- END",PS!L14)</f>
        <v/>
      </c>
    </row>
    <row r="45" spans="3:3" x14ac:dyDescent="0.75">
      <c r="C45" s="14" t="str">
        <f>IF(PS!L15="*  ..  ##34###34# ##334###334#","//--- END",PS!L15)</f>
        <v/>
      </c>
    </row>
    <row r="46" spans="3:3" x14ac:dyDescent="0.75">
      <c r="C46" s="14" t="str">
        <f>IF(PS!L16="*  ..  ##34###34# ##334###334#","//--- END",PS!L16)</f>
        <v/>
      </c>
    </row>
    <row r="47" spans="3:3" x14ac:dyDescent="0.75">
      <c r="C47" s="14" t="str">
        <f>IF(PS!L17="*  ..  ##34###34# ##334###334#","//--- END",PS!L17)</f>
        <v/>
      </c>
    </row>
    <row r="48" spans="3:3" x14ac:dyDescent="0.75">
      <c r="C48" s="14" t="str">
        <f>IF(PS!L18="*  ..  ##34###34# ##334###334#","//--- END",PS!L18)</f>
        <v/>
      </c>
    </row>
    <row r="49" spans="3:3" x14ac:dyDescent="0.75">
      <c r="C49" s="14" t="str">
        <f>IF(PS!L19="*  ..  ##34###34# ##334###334#","//--- END",PS!L19)</f>
        <v/>
      </c>
    </row>
    <row r="50" spans="3:3" x14ac:dyDescent="0.75">
      <c r="C50" s="14" t="str">
        <f>IF(PS!L20="*  ..  ##34###34# ##334###334#","//--- END",PS!L20)</f>
        <v/>
      </c>
    </row>
    <row r="51" spans="3:3" x14ac:dyDescent="0.75">
      <c r="C51" s="14" t="str">
        <f>IF(PS!L21="*  ..  ##34###34# ##334###334#","//--- END",PS!L21)</f>
        <v/>
      </c>
    </row>
    <row r="52" spans="3:3" x14ac:dyDescent="0.75">
      <c r="C52" s="14" t="str">
        <f>IF(PS!L22="*  ..  ##34###34# ##334###334#","//--- END",PS!L22)</f>
        <v/>
      </c>
    </row>
    <row r="53" spans="3:3" x14ac:dyDescent="0.75">
      <c r="C53" s="14" t="str">
        <f>IF(PS!L23="*  ..  ##34###34# ##334###334#","//--- END",PS!L23)</f>
        <v/>
      </c>
    </row>
    <row r="54" spans="3:3" x14ac:dyDescent="0.75">
      <c r="C54" s="14" t="str">
        <f>IF(PS!L24="*  ..  ##34###34# ##334###334#","//--- END",PS!L24)</f>
        <v/>
      </c>
    </row>
    <row r="55" spans="3:3" x14ac:dyDescent="0.75">
      <c r="C55" s="14" t="str">
        <f>IF(PS!L25="*  ..  ##34###34# ##334###334#","//--- END",PS!L25)</f>
        <v/>
      </c>
    </row>
    <row r="56" spans="3:3" x14ac:dyDescent="0.75">
      <c r="C56" s="14" t="str">
        <f>IF(PS!L26="*  ..  ##34###34# ##334###334#","//--- END",PS!L26)</f>
        <v/>
      </c>
    </row>
    <row r="57" spans="3:3" x14ac:dyDescent="0.75">
      <c r="C57" s="14" t="str">
        <f>IF(PS!L27="*  ..  ##34###34# ##334###334#","//--- END",PS!L27)</f>
        <v/>
      </c>
    </row>
    <row r="58" spans="3:3" x14ac:dyDescent="0.75">
      <c r="C58" s="14" t="str">
        <f>IF(PS!L28="*  ..  ##34###34# ##334###334#","//--- END",PS!L28)</f>
        <v/>
      </c>
    </row>
    <row r="59" spans="3:3" x14ac:dyDescent="0.75">
      <c r="C59" s="14" t="str">
        <f>IF(PS!L29="*  ..  ##34###34# ##334###334#","//--- END",PS!L29)</f>
        <v>//--- END</v>
      </c>
    </row>
    <row r="60" spans="3:3" x14ac:dyDescent="0.75">
      <c r="C60" s="14" t="str">
        <f>IF(PS!L30="*  ..  ##34###34# ##334###334#","//--- END",PS!L30)</f>
        <v>//--- END</v>
      </c>
    </row>
    <row r="61" spans="3:3" x14ac:dyDescent="0.75">
      <c r="C61" s="14" t="str">
        <f>IF(PS!L31="*  ..  ##34###34# ##334###334#","//--- END",PS!L31)</f>
        <v>//--- END</v>
      </c>
    </row>
    <row r="62" spans="3:3" x14ac:dyDescent="0.75">
      <c r="C62" s="14" t="str">
        <f>IF(PS!L32="*  ..  ##34###34# ##334###334#","//--- END",PS!L32)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609</v>
      </c>
      <c r="D3" s="70" t="s">
        <v>560</v>
      </c>
      <c r="E3" t="s">
        <v>553</v>
      </c>
    </row>
    <row r="4" spans="1:19" x14ac:dyDescent="0.75">
      <c r="B4" s="70" t="s">
        <v>19</v>
      </c>
      <c r="C4" s="51" t="s">
        <v>1085</v>
      </c>
      <c r="D4" s="70" t="s">
        <v>561</v>
      </c>
      <c r="E4" s="81" t="s">
        <v>1086</v>
      </c>
    </row>
    <row r="5" spans="1:19" x14ac:dyDescent="0.75">
      <c r="B5" s="70" t="s">
        <v>13</v>
      </c>
      <c r="C5" s="10" t="s">
        <v>557</v>
      </c>
      <c r="D5" s="70"/>
      <c r="E5" s="10"/>
    </row>
    <row r="6" spans="1:19" x14ac:dyDescent="0.75">
      <c r="B6" s="70" t="s">
        <v>35</v>
      </c>
      <c r="C6" s="69" t="s">
        <v>553</v>
      </c>
      <c r="D6" s="70" t="s">
        <v>558</v>
      </c>
      <c r="E6" s="136" t="s">
        <v>553</v>
      </c>
      <c r="F6" s="136"/>
      <c r="G6" s="136"/>
    </row>
    <row r="7" spans="1:19" x14ac:dyDescent="0.75">
      <c r="B7" s="70" t="s">
        <v>18</v>
      </c>
      <c r="C7" s="77" t="s">
        <v>556</v>
      </c>
      <c r="D7" s="70" t="s">
        <v>559</v>
      </c>
      <c r="E7" s="136" t="s">
        <v>1087</v>
      </c>
      <c r="F7" s="136"/>
      <c r="G7" s="136"/>
    </row>
    <row r="8" spans="1:19" ht="44.25" x14ac:dyDescent="0.75">
      <c r="B8" s="70" t="s">
        <v>554</v>
      </c>
      <c r="C8" s="10" t="s">
        <v>557</v>
      </c>
      <c r="D8" s="70"/>
      <c r="E8" s="10"/>
      <c r="I8" s="14" t="s">
        <v>526</v>
      </c>
      <c r="J8" s="14" t="s">
        <v>527</v>
      </c>
      <c r="K8" s="14" t="s">
        <v>528</v>
      </c>
      <c r="L8" s="14" t="s">
        <v>529</v>
      </c>
      <c r="M8" s="9" t="s">
        <v>530</v>
      </c>
      <c r="P8" s="66" t="s">
        <v>531</v>
      </c>
      <c r="Q8" s="66">
        <v>6</v>
      </c>
    </row>
    <row r="9" spans="1:19" ht="29.5" x14ac:dyDescent="0.75">
      <c r="B9" s="70" t="s">
        <v>555</v>
      </c>
      <c r="C9" s="1" t="s">
        <v>1025</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
        <v>239</v>
      </c>
      <c r="C14" s="9"/>
      <c r="D14" s="4" t="s">
        <v>546</v>
      </c>
      <c r="E14" s="8"/>
      <c r="F14" s="9"/>
      <c r="G14" s="9"/>
      <c r="I14" s="14"/>
      <c r="J14" s="9"/>
      <c r="K14" s="9"/>
      <c r="L14" s="9"/>
      <c r="M14" s="68"/>
      <c r="N14" s="71"/>
    </row>
    <row r="15" spans="1:19" ht="44.25" x14ac:dyDescent="0.75">
      <c r="A15" s="23"/>
      <c r="B15" s="8" t="str">
        <f>PS!B8</f>
        <v>header</v>
      </c>
      <c r="C15" s="8" t="str">
        <f>PS!C8</f>
        <v>A.1 Report header data elements</v>
      </c>
      <c r="D15" s="14"/>
      <c r="E15" s="59"/>
      <c r="F15" s="72" t="s">
        <v>538</v>
      </c>
      <c r="G15" s="72"/>
      <c r="H15" s="73"/>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INDEX('PS-ConceptMap-1'!$I$15:$N$271,Q15+1,R15)</f>
        <v>* group[=].element[+].code = #LabReport.header</v>
      </c>
    </row>
    <row r="16" spans="1:19" ht="44.25" x14ac:dyDescent="0.75">
      <c r="A16" s="23"/>
      <c r="B16" s="9" t="str">
        <f>PS!B9</f>
        <v>header.subject</v>
      </c>
      <c r="C16" s="9" t="str">
        <f>PS!C9</f>
        <v>A.1.1 - A1.2 Patient/subject</v>
      </c>
      <c r="D16" s="14" t="s">
        <v>547</v>
      </c>
      <c r="E16" s="9"/>
      <c r="F16" s="72" t="s">
        <v>538</v>
      </c>
      <c r="G16" s="72"/>
      <c r="H16" s="73"/>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INDEX('PS-ConceptMap-1'!$I$15:$N$271,Q16+1,R16)</f>
        <v>* group[=].element[=].display = ##34#A.1 Report header data elements##34#</v>
      </c>
    </row>
    <row r="17" spans="1:19" ht="88.5" x14ac:dyDescent="0.75">
      <c r="A17" s="23"/>
      <c r="B17" s="9" t="str">
        <f>PS!B10</f>
        <v>header.payer</v>
      </c>
      <c r="C17" s="9" t="str">
        <f>PS!C10</f>
        <v>A.1.3 Health insurance and payment information</v>
      </c>
      <c r="D17" s="14" t="s">
        <v>663</v>
      </c>
      <c r="E17" s="9"/>
      <c r="F17" s="72" t="s">
        <v>538</v>
      </c>
      <c r="G17" s="14" t="s">
        <v>548</v>
      </c>
      <c r="H17" s="73"/>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INDEX('PS-ConceptMap-1'!$I$15:$N$271,Q17+1,R17)</f>
        <v>* group[=].element[=].target.code = #DiagnosticReport</v>
      </c>
    </row>
    <row r="18" spans="1:19" ht="73.75" x14ac:dyDescent="0.75">
      <c r="A18" s="23"/>
      <c r="B18" s="9" t="str">
        <f>PS!B11</f>
        <v>header.informationRecipient</v>
      </c>
      <c r="C18" s="9" t="str">
        <f>PS!C11</f>
        <v>A.1.4 Information recipient</v>
      </c>
      <c r="D18" s="14" t="s">
        <v>667</v>
      </c>
      <c r="E18" s="9"/>
      <c r="F18" s="72" t="s">
        <v>537</v>
      </c>
      <c r="G18" s="72"/>
      <c r="H18" s="73"/>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INDEX('PS-ConceptMap-1'!$I$15:$N$271,Q18+1,R18)</f>
        <v>* group[=].element[=].target.display = ##34###34#</v>
      </c>
    </row>
    <row r="19" spans="1:19" ht="73.75" x14ac:dyDescent="0.75">
      <c r="A19" s="23"/>
      <c r="B19" s="9" t="str">
        <f>PS!B12</f>
        <v>header.author</v>
      </c>
      <c r="C19" s="9" t="str">
        <f>PS!C12</f>
        <v>A.1.5 Author</v>
      </c>
      <c r="D19" s="14" t="s">
        <v>664</v>
      </c>
      <c r="E19" s="9"/>
      <c r="F19" s="72" t="s">
        <v>538</v>
      </c>
      <c r="G19" s="72" t="s">
        <v>571</v>
      </c>
      <c r="H19" s="73"/>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INDEX('PS-ConceptMap-1'!$I$15:$N$271,Q19+1,R19)</f>
        <v>* group[=].element[=].target.equivalence = #relatedto</v>
      </c>
    </row>
    <row r="20" spans="1:19" ht="59" x14ac:dyDescent="0.75">
      <c r="A20" s="23"/>
      <c r="B20" s="9" t="str">
        <f>PS!B12</f>
        <v>header.author</v>
      </c>
      <c r="C20" s="9" t="str">
        <f>PS!C12</f>
        <v>A.1.5 Author</v>
      </c>
      <c r="D20" s="14" t="s">
        <v>651</v>
      </c>
      <c r="E20" s="9"/>
      <c r="F20" s="72" t="s">
        <v>538</v>
      </c>
      <c r="G20" s="72" t="s">
        <v>572</v>
      </c>
      <c r="H20" s="73"/>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INDEX('PS-ConceptMap-1'!$I$15:$N$271,Q20+1,R20)</f>
        <v/>
      </c>
    </row>
    <row r="21" spans="1:19" ht="59" x14ac:dyDescent="0.75">
      <c r="A21" s="23"/>
      <c r="B21" s="9" t="str">
        <f>PS!B13</f>
        <v>header.legalAuthenticator</v>
      </c>
      <c r="C21" s="9" t="str">
        <f>PS!C13</f>
        <v>A.1.6 Legal authenticator</v>
      </c>
      <c r="D21" s="14"/>
      <c r="E21" s="9"/>
      <c r="F21" s="72" t="s">
        <v>539</v>
      </c>
      <c r="G21" s="72" t="s">
        <v>573</v>
      </c>
      <c r="H21" s="73"/>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INDEX('PS-ConceptMap-1'!$I$15:$N$271,Q21+1,R21)</f>
        <v>* group[=].element[+].code = #LabReport.header.subject</v>
      </c>
    </row>
    <row r="22" spans="1:19" ht="59" x14ac:dyDescent="0.75">
      <c r="A22" s="23"/>
      <c r="B22" s="9" t="str">
        <f>PS!B14</f>
        <v>header.validator</v>
      </c>
      <c r="C22" s="9" t="str">
        <f>PS!C14</f>
        <v>A.1.7 Result validator</v>
      </c>
      <c r="D22" s="14"/>
      <c r="E22" s="9"/>
      <c r="F22" s="72" t="s">
        <v>539</v>
      </c>
      <c r="G22" s="72" t="s">
        <v>573</v>
      </c>
      <c r="H22" s="73"/>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INDEX('PS-ConceptMap-1'!$I$15:$N$271,Q22+1,R22)</f>
        <v>* group[=].element[=].display = ##34#A.1.1 - A1.2 Patient/subject##34#</v>
      </c>
    </row>
    <row r="23" spans="1:19" ht="44.25" x14ac:dyDescent="0.75">
      <c r="A23" s="23"/>
      <c r="B23" s="9" t="str">
        <f>PS!B15</f>
        <v>header.metadata</v>
      </c>
      <c r="C23" s="9" t="str">
        <f>PS!C15</f>
        <v>A.1.8 Patient Summary metadata</v>
      </c>
      <c r="D23" s="14"/>
      <c r="E23" s="9"/>
      <c r="F23" s="72" t="s">
        <v>538</v>
      </c>
      <c r="G23" s="72"/>
      <c r="H23" s="73"/>
      <c r="I23" s="14" t="str">
        <f t="shared" si="17"/>
        <v>* group[=].element[+].code = #LabReport.header.metadata</v>
      </c>
      <c r="J23" s="14" t="str">
        <f t="shared" si="18"/>
        <v>* group[=].element[=].display = ##34#A.1.8 Patient Summary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INDEX('PS-ConceptMap-1'!$I$15:$N$271,Q23+1,R23)</f>
        <v>* group[=].element[=].target.code = #DiagnosticReport.subject</v>
      </c>
    </row>
    <row r="24" spans="1:19" ht="103.25" x14ac:dyDescent="0.75">
      <c r="A24" s="23"/>
      <c r="B24" s="9" t="str">
        <f>PS!B16</f>
        <v>header.metadata.documentId</v>
      </c>
      <c r="C24" s="9" t="str">
        <f>PS!C16</f>
        <v>A.1.8.0 Document Id</v>
      </c>
      <c r="D24" s="14" t="s">
        <v>308</v>
      </c>
      <c r="E24" s="14"/>
      <c r="F24" s="72" t="s">
        <v>538</v>
      </c>
      <c r="G24" s="79" t="s">
        <v>733</v>
      </c>
      <c r="H24" s="73"/>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INDEX('PS-ConceptMap-1'!$I$15:$N$271,Q24+1,R24)</f>
        <v>* group[=].element[=].target.display = ##34###34#</v>
      </c>
    </row>
    <row r="25" spans="1:19" ht="44.25" x14ac:dyDescent="0.75">
      <c r="A25" s="23"/>
      <c r="B25" s="9" t="str">
        <f>PS!B17</f>
        <v>header.metadata.type</v>
      </c>
      <c r="C25" s="9" t="str">
        <f>PS!C17</f>
        <v>A.1.8.1 Document type</v>
      </c>
      <c r="D25" s="14" t="s">
        <v>534</v>
      </c>
      <c r="E25" s="14"/>
      <c r="F25" s="72" t="s">
        <v>537</v>
      </c>
      <c r="G25" s="72"/>
      <c r="H25" s="73"/>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INDEX('PS-ConceptMap-1'!$I$15:$N$271,Q25+1,R25)</f>
        <v>* group[=].element[=].target.equivalence = #relatedto</v>
      </c>
    </row>
    <row r="26" spans="1:19" ht="73.75" x14ac:dyDescent="0.75">
      <c r="B26" s="9" t="str">
        <f>PS!B18</f>
        <v>header.metadata.status</v>
      </c>
      <c r="C26" s="9" t="str">
        <f>PS!C18</f>
        <v>A.1.8.2 Document status</v>
      </c>
      <c r="D26" s="14" t="s">
        <v>549</v>
      </c>
      <c r="E26" s="14"/>
      <c r="F26" s="72" t="s">
        <v>538</v>
      </c>
      <c r="G26" s="79" t="s">
        <v>756</v>
      </c>
      <c r="H26" s="73"/>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INDEX('PS-ConceptMap-1'!$I$15:$N$271,Q26+1,R26)</f>
        <v/>
      </c>
    </row>
    <row r="27" spans="1:19" ht="73.75" x14ac:dyDescent="0.75">
      <c r="B27" s="9" t="str">
        <f>PS!B19</f>
        <v>header.metadata.dateTime</v>
      </c>
      <c r="C27" s="9" t="str">
        <f>PS!C19</f>
        <v>A.1.8.3 Report date and time</v>
      </c>
      <c r="D27" s="14" t="s">
        <v>550</v>
      </c>
      <c r="E27" s="14"/>
      <c r="F27" s="72" t="s">
        <v>537</v>
      </c>
      <c r="G27" s="72"/>
      <c r="H27" s="73"/>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INDEX('PS-ConceptMap-1'!$I$15:$N$271,Q27+1,R27)</f>
        <v>* group[=].element[+].code = #LabReport.header.payer</v>
      </c>
    </row>
    <row r="28" spans="1:19" ht="59" x14ac:dyDescent="0.75">
      <c r="B28" s="9" t="str">
        <f>PS!B20</f>
        <v>header.metadata.title</v>
      </c>
      <c r="C28" s="9" t="str">
        <f>PS!C20</f>
        <v>A.1.8.4 Document title</v>
      </c>
      <c r="D28" s="14"/>
      <c r="E28" s="14"/>
      <c r="F28" s="72" t="s">
        <v>539</v>
      </c>
      <c r="G28" s="72" t="s">
        <v>573</v>
      </c>
      <c r="H28" s="73"/>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INDEX('PS-ConceptMap-1'!$I$15:$N$271,Q28+1,R28)</f>
        <v>* group[=].element[=].display = ##34#A.1.3 Health insurance and payment information##34#</v>
      </c>
    </row>
    <row r="29" spans="1:19" ht="44.25" x14ac:dyDescent="0.75">
      <c r="B29" s="9" t="str">
        <f>PS!B21</f>
        <v>header.metadata.studyType</v>
      </c>
      <c r="C29" s="9" t="str">
        <f>PS!C21</f>
        <v>A.1.8.5 Study type</v>
      </c>
      <c r="D29" s="14" t="s">
        <v>775</v>
      </c>
      <c r="E29" s="14"/>
      <c r="F29" s="72" t="s">
        <v>538</v>
      </c>
      <c r="G29" s="72"/>
      <c r="H29" s="73"/>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INDEX('PS-ConceptMap-1'!$I$15:$N$271,Q29+1,R29)</f>
        <v>* group[=].element[=].target.code = #DiagnosticReport.basedOn.insurance</v>
      </c>
    </row>
    <row r="30" spans="1:19" ht="59" x14ac:dyDescent="0.75">
      <c r="B30" s="9" t="str">
        <f>PS!B22</f>
        <v>header.metadata.custodian</v>
      </c>
      <c r="C30" s="9" t="str">
        <f>PS!C22</f>
        <v>A.1.8.6 Report custodian</v>
      </c>
      <c r="D30" s="14"/>
      <c r="E30" s="14"/>
      <c r="F30" s="72" t="s">
        <v>539</v>
      </c>
      <c r="G30" s="72" t="s">
        <v>573</v>
      </c>
      <c r="H30" s="73"/>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INDEX('PS-ConceptMap-1'!$I$15:$N$271,Q30+1,R30)</f>
        <v>* group[=].element[=].target.display = ##34###34#</v>
      </c>
    </row>
    <row r="31" spans="1:19" ht="59" x14ac:dyDescent="0.75">
      <c r="B31" s="9" t="str">
        <f>PS!B23</f>
        <v>header.metadata.confidentiality</v>
      </c>
      <c r="C31" s="9" t="str">
        <f>PS!C23</f>
        <v>A.1.8.7 Confidentiality</v>
      </c>
      <c r="D31" s="14"/>
      <c r="E31" s="14"/>
      <c r="F31" s="72" t="s">
        <v>539</v>
      </c>
      <c r="G31" s="72" t="s">
        <v>573</v>
      </c>
      <c r="H31" s="73"/>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INDEX('PS-ConceptMap-1'!$I$15:$N$271,Q31+1,R31)</f>
        <v>* group[=].element[=].target.equivalence = #relatedto</v>
      </c>
    </row>
    <row r="32" spans="1:19" ht="44.25" x14ac:dyDescent="0.75">
      <c r="B32" s="9" t="str">
        <f>PS!B24</f>
        <v>header.metadata.language</v>
      </c>
      <c r="C32" s="9" t="str">
        <f>PS!C24</f>
        <v>A.1.8.8 Language</v>
      </c>
      <c r="D32" s="14" t="s">
        <v>734</v>
      </c>
      <c r="E32" s="14"/>
      <c r="F32" s="72" t="s">
        <v>537</v>
      </c>
      <c r="G32" s="72"/>
      <c r="H32" s="73"/>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INDEX('PS-ConceptMap-1'!$I$15:$N$271,Q32+1,R32)</f>
        <v>* group[=].element[=].target.comment = ##34#basedOn.resolve().ofType(ServiceRequest).insurance.resolve().ofType(Coverage)##34#</v>
      </c>
    </row>
    <row r="33" spans="1:19" ht="88.5" x14ac:dyDescent="0.75">
      <c r="B33" s="9" t="str">
        <f>PS!B25</f>
        <v>header.metadata.version</v>
      </c>
      <c r="C33" s="9" t="str">
        <f>PS!C25</f>
        <v>A.1.8.9 Version</v>
      </c>
      <c r="D33" s="14"/>
      <c r="E33" s="14"/>
      <c r="F33" s="72" t="s">
        <v>539</v>
      </c>
      <c r="G33" s="79" t="s">
        <v>737</v>
      </c>
      <c r="H33" s="73"/>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INDEX('PS-ConceptMap-1'!$I$15:$N$271,Q33+1,R33)</f>
        <v>* group[=].element[+].code = #LabReport.header.informationRecipient</v>
      </c>
    </row>
    <row r="34" spans="1:19" ht="73.75" x14ac:dyDescent="0.75">
      <c r="B34" s="9" t="str">
        <f>PS!B26</f>
        <v>order</v>
      </c>
      <c r="C34" s="9" t="str">
        <f>PS!C26</f>
        <v>A.2-A.3 Order</v>
      </c>
      <c r="D34" s="14" t="s">
        <v>660</v>
      </c>
      <c r="E34" s="14"/>
      <c r="F34" s="72" t="s">
        <v>538</v>
      </c>
      <c r="G34" s="72" t="s">
        <v>551</v>
      </c>
      <c r="H34" s="73"/>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INDEX('PS-ConceptMap-1'!$I$15:$N$271,Q34+1,R34)</f>
        <v>* group[=].element[=].display = ##34#A.1.4 Information recipient##34#</v>
      </c>
    </row>
    <row r="35" spans="1:19" ht="44.25" x14ac:dyDescent="0.75">
      <c r="B35" s="9" t="str">
        <f>PS!B27</f>
        <v>specimen</v>
      </c>
      <c r="C35" s="9" t="str">
        <f>PS!C27</f>
        <v>A.4 Specimen information</v>
      </c>
      <c r="D35" s="14" t="s">
        <v>285</v>
      </c>
      <c r="E35" s="14"/>
      <c r="F35" s="72" t="s">
        <v>538</v>
      </c>
      <c r="G35" s="72"/>
      <c r="H35" s="73"/>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INDEX('PS-ConceptMap-1'!$I$15:$N$271,Q35+1,R35)</f>
        <v>* group[=].element[=].target.code = #DiagnosticReport.extension:information-recipient</v>
      </c>
    </row>
    <row r="36" spans="1:19" ht="44.25" x14ac:dyDescent="0.75">
      <c r="B36" s="9" t="str">
        <f>PS!B28</f>
        <v>result</v>
      </c>
      <c r="C36" s="9" t="str">
        <f>PS!C28</f>
        <v>A.5 Results data elements</v>
      </c>
      <c r="D36" s="14" t="s">
        <v>286</v>
      </c>
      <c r="E36" s="14"/>
      <c r="F36" s="72" t="s">
        <v>538</v>
      </c>
      <c r="G36" s="72"/>
      <c r="H36" s="73"/>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INDEX('PS-ConceptMap-1'!$I$15:$N$271,Q36+1,R36)</f>
        <v>* group[=].element[=].target.display = ##34###34#</v>
      </c>
    </row>
    <row r="37" spans="1:19" ht="73.75" x14ac:dyDescent="0.75">
      <c r="B37" s="63" t="s">
        <v>285</v>
      </c>
      <c r="C37" s="63" t="s">
        <v>156</v>
      </c>
      <c r="D37" s="14" t="s">
        <v>665</v>
      </c>
      <c r="E37" s="14"/>
      <c r="F37" s="72" t="s">
        <v>538</v>
      </c>
      <c r="G37" s="14" t="s">
        <v>848</v>
      </c>
      <c r="H37" s="73"/>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INDEX('PS-ConceptMap-1'!$I$15:$N$271,Q37+1,R37)</f>
        <v>* group[=].element[=].target.equivalence = #equivalent</v>
      </c>
    </row>
    <row r="38" spans="1:19" s="1" customFormat="1" x14ac:dyDescent="0.75">
      <c r="A38"/>
      <c r="B38" s="9"/>
      <c r="C38" s="9"/>
      <c r="D38" s="14"/>
      <c r="E38" s="14"/>
      <c r="F38" s="72"/>
      <c r="G38" s="73"/>
      <c r="H38" s="73"/>
      <c r="I38" s="14"/>
      <c r="J38" s="14"/>
      <c r="K38" s="14"/>
      <c r="L38" s="14"/>
      <c r="M38" s="14"/>
      <c r="N38" s="14"/>
      <c r="P38" s="9">
        <v>24</v>
      </c>
      <c r="Q38" s="9">
        <f t="shared" si="9"/>
        <v>3</v>
      </c>
      <c r="R38" s="9">
        <f t="shared" si="24"/>
        <v>6</v>
      </c>
      <c r="S38" s="14" t="str" cm="1">
        <f t="array" ref="S38">INDEX('PS-ConceptMap-1'!$I$15:$N$271,Q38+1,R38)</f>
        <v/>
      </c>
    </row>
    <row r="39" spans="1:19" s="1" customFormat="1" x14ac:dyDescent="0.75">
      <c r="A39"/>
      <c r="B39" s="9"/>
      <c r="C39" s="9"/>
      <c r="D39" s="57"/>
      <c r="F39" s="73"/>
      <c r="G39" s="73"/>
      <c r="H39" s="73"/>
      <c r="I39" s="14"/>
      <c r="J39" s="14"/>
      <c r="K39" s="14"/>
      <c r="L39" s="14"/>
      <c r="M39" s="14"/>
      <c r="N39" s="14"/>
      <c r="P39" s="9">
        <v>25</v>
      </c>
      <c r="Q39" s="9">
        <f t="shared" si="9"/>
        <v>4</v>
      </c>
      <c r="R39" s="9">
        <f t="shared" si="24"/>
        <v>1</v>
      </c>
      <c r="S39" s="14" t="str" cm="1">
        <f t="array" ref="S39">INDEX('PS-ConceptMap-1'!$I$15:$N$271,Q39+1,R39)</f>
        <v>* group[=].element[+].code = #LabReport.header.author</v>
      </c>
    </row>
    <row r="40" spans="1:19" s="1" customFormat="1" x14ac:dyDescent="0.75">
      <c r="A40"/>
      <c r="B40" s="9"/>
      <c r="C40" s="9"/>
      <c r="F40" s="73"/>
      <c r="G40" s="73"/>
      <c r="H40" s="73"/>
      <c r="J40"/>
      <c r="K40" s="73"/>
      <c r="L40" s="73"/>
      <c r="M40" s="71"/>
      <c r="N40" s="71"/>
      <c r="P40" s="9">
        <v>26</v>
      </c>
      <c r="Q40" s="9">
        <f t="shared" si="9"/>
        <v>4</v>
      </c>
      <c r="R40" s="9">
        <f t="shared" si="24"/>
        <v>2</v>
      </c>
      <c r="S40" s="14" t="str" cm="1">
        <f t="array" ref="S40">INDEX('PS-ConceptMap-1'!$I$15:$N$271,Q40+1,R40)</f>
        <v>* group[=].element[=].display = ##34#A.1.5 Author##34#</v>
      </c>
    </row>
    <row r="41" spans="1:19" s="1" customFormat="1" x14ac:dyDescent="0.75">
      <c r="A41"/>
      <c r="B41" s="9"/>
      <c r="C41" s="9"/>
      <c r="F41" s="73"/>
      <c r="G41" s="73"/>
      <c r="H41" s="73"/>
      <c r="J41" s="73"/>
      <c r="K41" s="73"/>
      <c r="L41" s="73"/>
      <c r="M41" s="71"/>
      <c r="N41" s="71"/>
      <c r="P41" s="9">
        <v>27</v>
      </c>
      <c r="Q41" s="9">
        <f t="shared" si="9"/>
        <v>4</v>
      </c>
      <c r="R41" s="9">
        <f t="shared" si="24"/>
        <v>3</v>
      </c>
      <c r="S41" s="14" t="str" cm="1">
        <f t="array" ref="S41">INDEX('PS-ConceptMap-1'!$I$15:$N$271,Q41+1,R41)</f>
        <v>* group[=].element[=].target.code = #DiagnosticReport.resultsInterpreter</v>
      </c>
    </row>
    <row r="42" spans="1:19" s="1" customFormat="1" x14ac:dyDescent="0.75">
      <c r="A42"/>
      <c r="B42" s="9"/>
      <c r="C42" s="9"/>
      <c r="F42" s="73"/>
      <c r="G42" s="73"/>
      <c r="H42" s="73"/>
      <c r="J42" s="73"/>
      <c r="K42" s="73"/>
      <c r="L42" s="73"/>
      <c r="M42" s="71"/>
      <c r="N42" s="71"/>
      <c r="P42" s="9">
        <v>28</v>
      </c>
      <c r="Q42" s="9">
        <f t="shared" si="9"/>
        <v>4</v>
      </c>
      <c r="R42" s="9">
        <f t="shared" si="24"/>
        <v>4</v>
      </c>
      <c r="S42" s="14" t="str" cm="1">
        <f t="array" ref="S42">INDEX('PS-ConceptMap-1'!$I$15:$N$271,Q42+1,R42)</f>
        <v>* group[=].element[=].target.display = ##34###34#</v>
      </c>
    </row>
    <row r="43" spans="1:19" s="1" customFormat="1" x14ac:dyDescent="0.75">
      <c r="A43"/>
      <c r="B43" s="9"/>
      <c r="C43" s="9"/>
      <c r="F43" s="73"/>
      <c r="G43" s="73"/>
      <c r="H43" s="73"/>
      <c r="J43" s="73"/>
      <c r="K43" s="73"/>
      <c r="L43" s="73"/>
      <c r="M43" s="71"/>
      <c r="N43" s="71"/>
      <c r="P43" s="9">
        <v>29</v>
      </c>
      <c r="Q43" s="9">
        <f t="shared" si="9"/>
        <v>4</v>
      </c>
      <c r="R43" s="9">
        <f t="shared" si="24"/>
        <v>5</v>
      </c>
      <c r="S43" s="14" t="str" cm="1">
        <f t="array" ref="S43">INDEX('PS-ConceptMap-1'!$I$15:$N$271,Q43+1,R43)</f>
        <v>* group[=].element[=].target.equivalence = #relatedto</v>
      </c>
    </row>
    <row r="44" spans="1:19" s="1" customFormat="1" x14ac:dyDescent="0.75">
      <c r="A44"/>
      <c r="B44" s="9"/>
      <c r="C44" s="9"/>
      <c r="F44" s="73"/>
      <c r="G44" s="73"/>
      <c r="H44" s="73"/>
      <c r="J44" s="73"/>
      <c r="K44" s="73"/>
      <c r="L44" s="73"/>
      <c r="M44" s="73"/>
      <c r="N44" s="73"/>
      <c r="P44" s="9">
        <v>30</v>
      </c>
      <c r="Q44" s="9">
        <f t="shared" si="9"/>
        <v>4</v>
      </c>
      <c r="R44" s="9">
        <f t="shared" si="24"/>
        <v>6</v>
      </c>
      <c r="S44" s="14" t="str" cm="1">
        <f t="array" ref="S44">INDEX('PS-ConceptMap-1'!$I$15:$N$271,Q44+1,R44)</f>
        <v>* group[=].element[=].target.comment = ##34#If the author is the interpreter##34#</v>
      </c>
    </row>
    <row r="45" spans="1:19" s="1" customFormat="1" x14ac:dyDescent="0.75">
      <c r="A45"/>
      <c r="B45" s="9"/>
      <c r="C45"/>
      <c r="F45" s="73"/>
      <c r="G45" s="73"/>
      <c r="H45" s="73"/>
      <c r="J45" s="73"/>
      <c r="K45" s="73"/>
      <c r="L45" s="73"/>
      <c r="M45" s="73"/>
      <c r="N45" s="73"/>
      <c r="P45" s="9">
        <v>31</v>
      </c>
      <c r="Q45" s="9">
        <f t="shared" si="9"/>
        <v>5</v>
      </c>
      <c r="R45" s="9">
        <f t="shared" si="24"/>
        <v>1</v>
      </c>
      <c r="S45" s="14" t="str" cm="1">
        <f t="array" ref="S45">INDEX('PS-ConceptMap-1'!$I$15:$N$271,Q45+1,R45)</f>
        <v>* group[=].element[+].code = #LabReport.header.author</v>
      </c>
    </row>
    <row r="46" spans="1:19" s="1" customFormat="1" x14ac:dyDescent="0.75">
      <c r="A46"/>
      <c r="B46" s="9"/>
      <c r="C46"/>
      <c r="F46" s="73"/>
      <c r="G46" s="73"/>
      <c r="H46" s="73"/>
      <c r="J46" s="73"/>
      <c r="K46" s="73"/>
      <c r="L46" s="73"/>
      <c r="M46" s="73"/>
      <c r="N46" s="73"/>
      <c r="P46" s="9">
        <v>32</v>
      </c>
      <c r="Q46" s="9">
        <f t="shared" si="9"/>
        <v>5</v>
      </c>
      <c r="R46" s="9">
        <f t="shared" si="24"/>
        <v>2</v>
      </c>
      <c r="S46" s="14" t="str" cm="1">
        <f t="array" ref="S46">INDEX('PS-ConceptMap-1'!$I$15:$N$271,Q46+1,R46)</f>
        <v>* group[=].element[=].display = ##34#A.1.5 Author##34#</v>
      </c>
    </row>
    <row r="47" spans="1:19" s="1" customFormat="1" x14ac:dyDescent="0.75">
      <c r="A47"/>
      <c r="B47" s="9"/>
      <c r="C47"/>
      <c r="F47" s="73"/>
      <c r="G47" s="73"/>
      <c r="H47" s="73"/>
      <c r="J47" s="73"/>
      <c r="K47" s="73"/>
      <c r="L47" s="73"/>
      <c r="M47" s="73"/>
      <c r="N47" s="73"/>
      <c r="P47" s="9">
        <v>33</v>
      </c>
      <c r="Q47" s="9">
        <f t="shared" si="9"/>
        <v>5</v>
      </c>
      <c r="R47" s="9">
        <f t="shared" si="24"/>
        <v>3</v>
      </c>
      <c r="S47" s="14" t="str" cm="1">
        <f t="array" ref="S47">INDEX('PS-ConceptMap-1'!$I$15:$N$271,Q47+1,R47)</f>
        <v>* group[=].element[=].target.code = #DiagnosticReport.performer</v>
      </c>
    </row>
    <row r="48" spans="1:19" s="1" customFormat="1" x14ac:dyDescent="0.75">
      <c r="A48"/>
      <c r="B48" s="9"/>
      <c r="C48"/>
      <c r="F48" s="73"/>
      <c r="G48" s="73"/>
      <c r="H48" s="73"/>
      <c r="J48" s="73"/>
      <c r="K48" s="73"/>
      <c r="L48" s="73"/>
      <c r="M48" s="73"/>
      <c r="N48" s="73"/>
      <c r="P48" s="9">
        <v>34</v>
      </c>
      <c r="Q48" s="9">
        <f t="shared" si="9"/>
        <v>5</v>
      </c>
      <c r="R48" s="9">
        <f t="shared" si="24"/>
        <v>4</v>
      </c>
      <c r="S48" s="14" t="str" cm="1">
        <f t="array" ref="S48">INDEX('PS-ConceptMap-1'!$I$15:$N$271,Q48+1,R48)</f>
        <v>* group[=].element[=].target.display = ##34###34#</v>
      </c>
    </row>
    <row r="49" spans="1:19" s="1" customFormat="1" x14ac:dyDescent="0.75">
      <c r="A49"/>
      <c r="B49" s="9"/>
      <c r="C49"/>
      <c r="F49" s="73"/>
      <c r="G49" s="73"/>
      <c r="H49" s="73"/>
      <c r="J49" s="73"/>
      <c r="K49" s="73"/>
      <c r="L49" s="73"/>
      <c r="M49" s="73"/>
      <c r="N49" s="73"/>
      <c r="P49" s="9">
        <v>35</v>
      </c>
      <c r="Q49" s="9">
        <f t="shared" si="9"/>
        <v>5</v>
      </c>
      <c r="R49" s="9">
        <f t="shared" si="24"/>
        <v>5</v>
      </c>
      <c r="S49" s="14" t="str" cm="1">
        <f t="array" ref="S49">INDEX('PS-ConceptMap-1'!$I$15:$N$271,Q49+1,R49)</f>
        <v>* group[=].element[=].target.equivalence = #relatedto</v>
      </c>
    </row>
    <row r="50" spans="1:19" x14ac:dyDescent="0.75">
      <c r="F50" s="73"/>
      <c r="G50" s="73"/>
      <c r="H50" s="73"/>
      <c r="J50" s="73"/>
      <c r="K50" s="73"/>
      <c r="L50" s="73"/>
      <c r="M50" s="73"/>
      <c r="N50" s="73"/>
      <c r="P50" s="9">
        <v>36</v>
      </c>
      <c r="Q50" s="9">
        <f t="shared" si="9"/>
        <v>5</v>
      </c>
      <c r="R50" s="9">
        <f t="shared" si="24"/>
        <v>6</v>
      </c>
      <c r="S50" s="14" t="str" cm="1">
        <f t="array" ref="S50">INDEX('PS-ConceptMap-1'!$I$15:$N$271,Q50+1,R50)</f>
        <v>* group[=].element[=].target.comment = ##34#If the author is the perfomer##34#</v>
      </c>
    </row>
    <row r="51" spans="1:19" x14ac:dyDescent="0.75">
      <c r="F51" s="73"/>
      <c r="G51" s="73"/>
      <c r="H51" s="73"/>
      <c r="J51" s="73"/>
      <c r="K51" s="73"/>
      <c r="L51" s="73"/>
      <c r="M51" s="73"/>
      <c r="N51" s="73"/>
      <c r="P51" s="9">
        <v>37</v>
      </c>
      <c r="Q51" s="9">
        <f t="shared" si="9"/>
        <v>6</v>
      </c>
      <c r="R51" s="9">
        <f t="shared" si="24"/>
        <v>1</v>
      </c>
      <c r="S51" s="14" t="str" cm="1">
        <f t="array" ref="S51">INDEX('PS-ConceptMap-1'!$I$15:$N$271,Q51+1,R51)</f>
        <v>* group[=].element[+].code = #LabReport.header.legalAuthenticator</v>
      </c>
    </row>
    <row r="52" spans="1:19" x14ac:dyDescent="0.75">
      <c r="F52" s="73"/>
      <c r="G52" s="73"/>
      <c r="H52" s="73"/>
      <c r="J52" s="73"/>
      <c r="K52" s="73"/>
      <c r="L52" s="73"/>
      <c r="M52" s="73"/>
      <c r="N52" s="73"/>
      <c r="P52" s="9">
        <v>38</v>
      </c>
      <c r="Q52" s="9">
        <f t="shared" si="9"/>
        <v>6</v>
      </c>
      <c r="R52" s="9">
        <f t="shared" si="24"/>
        <v>2</v>
      </c>
      <c r="S52" s="14" t="str" cm="1">
        <f t="array" ref="S52">INDEX('PS-ConceptMap-1'!$I$15:$N$271,Q52+1,R52)</f>
        <v>* group[=].element[=].display = ##34#A.1.6 Legal authenticator##34#</v>
      </c>
    </row>
    <row r="53" spans="1:19" x14ac:dyDescent="0.75">
      <c r="F53" s="73"/>
      <c r="G53" s="73"/>
      <c r="H53" s="73"/>
      <c r="J53" s="73"/>
      <c r="K53" s="73"/>
      <c r="L53" s="73"/>
      <c r="M53" s="73"/>
      <c r="N53" s="73"/>
      <c r="P53" s="9">
        <v>39</v>
      </c>
      <c r="Q53" s="9">
        <f t="shared" si="9"/>
        <v>6</v>
      </c>
      <c r="R53" s="9">
        <f t="shared" si="24"/>
        <v>3</v>
      </c>
      <c r="S53" s="14" t="str" cm="1">
        <f t="array" ref="S53">INDEX('PS-ConceptMap-1'!$I$15:$N$271,Q53+1,R53)</f>
        <v>//-- unmatched</v>
      </c>
    </row>
    <row r="54" spans="1:19" ht="29.5" x14ac:dyDescent="0.75">
      <c r="B54" t="s">
        <v>526</v>
      </c>
      <c r="C54" t="s">
        <v>527</v>
      </c>
      <c r="D54" s="1" t="s">
        <v>528</v>
      </c>
      <c r="E54" t="s">
        <v>529</v>
      </c>
      <c r="P54" s="9">
        <v>40</v>
      </c>
      <c r="Q54" s="9">
        <f t="shared" si="9"/>
        <v>6</v>
      </c>
      <c r="R54" s="9">
        <f t="shared" si="24"/>
        <v>4</v>
      </c>
      <c r="S54" s="14" t="str" cm="1">
        <f t="array" ref="S54">INDEX('PS-ConceptMap-1'!$I$15:$N$271,Q54+1,R54)</f>
        <v>//-- unmatched</v>
      </c>
    </row>
    <row r="55" spans="1:19" x14ac:dyDescent="0.75">
      <c r="P55" s="9">
        <v>41</v>
      </c>
      <c r="Q55" s="9">
        <f t="shared" si="9"/>
        <v>6</v>
      </c>
      <c r="R55" s="9">
        <f t="shared" si="24"/>
        <v>5</v>
      </c>
      <c r="S55" s="14" t="str" cm="1">
        <f t="array" ref="S55">INDEX('PS-ConceptMap-1'!$I$15:$N$271,Q55+1,R55)</f>
        <v>* group[=].element[=].target.equivalence = #unmatched</v>
      </c>
    </row>
    <row r="56" spans="1:19" ht="29.5" x14ac:dyDescent="0.75">
      <c r="P56" s="9">
        <v>42</v>
      </c>
      <c r="Q56" s="9">
        <f t="shared" si="9"/>
        <v>6</v>
      </c>
      <c r="R56" s="9">
        <f t="shared" si="24"/>
        <v>6</v>
      </c>
      <c r="S56" s="14" t="str" cm="1">
        <f t="array" ref="S56">INDEX('PS-ConceptMap-1'!$I$15:$N$271,Q56+1,R56)</f>
        <v>* group[=].element[=].target.comment = ##34#Mapped in the Composition resource##34#</v>
      </c>
    </row>
    <row r="57" spans="1:19" x14ac:dyDescent="0.75">
      <c r="P57" s="9">
        <v>43</v>
      </c>
      <c r="Q57" s="9">
        <f t="shared" si="9"/>
        <v>7</v>
      </c>
      <c r="R57" s="9">
        <f t="shared" si="24"/>
        <v>1</v>
      </c>
      <c r="S57" s="14" t="str" cm="1">
        <f t="array" ref="S57">INDEX('PS-ConceptMap-1'!$I$15:$N$271,Q57+1,R57)</f>
        <v>* group[=].element[+].code = #LabReport.header.validator</v>
      </c>
    </row>
    <row r="58" spans="1:19" x14ac:dyDescent="0.75">
      <c r="P58" s="9">
        <v>44</v>
      </c>
      <c r="Q58" s="9">
        <f t="shared" si="9"/>
        <v>7</v>
      </c>
      <c r="R58" s="9">
        <f t="shared" si="24"/>
        <v>2</v>
      </c>
      <c r="S58" s="14" t="str" cm="1">
        <f t="array" ref="S58">INDEX('PS-ConceptMap-1'!$I$15:$N$271,Q58+1,R58)</f>
        <v>* group[=].element[=].display = ##34#A.1.7 Result validator##34#</v>
      </c>
    </row>
    <row r="59" spans="1:19" x14ac:dyDescent="0.75">
      <c r="P59" s="9">
        <v>45</v>
      </c>
      <c r="Q59" s="9">
        <f t="shared" si="9"/>
        <v>7</v>
      </c>
      <c r="R59" s="9">
        <f t="shared" si="24"/>
        <v>3</v>
      </c>
      <c r="S59" s="14" t="str" cm="1">
        <f t="array" ref="S59">INDEX('PS-ConceptMap-1'!$I$15:$N$271,Q59+1,R59)</f>
        <v>//-- unmatched</v>
      </c>
    </row>
    <row r="60" spans="1:19" x14ac:dyDescent="0.75">
      <c r="P60" s="9">
        <v>46</v>
      </c>
      <c r="Q60" s="9">
        <f t="shared" si="9"/>
        <v>7</v>
      </c>
      <c r="R60" s="9">
        <f t="shared" si="24"/>
        <v>4</v>
      </c>
      <c r="S60" s="14" t="str" cm="1">
        <f t="array" ref="S60">INDEX('PS-ConceptMap-1'!$I$15:$N$271,Q60+1,R60)</f>
        <v>//-- unmatched</v>
      </c>
    </row>
    <row r="61" spans="1:19" x14ac:dyDescent="0.75">
      <c r="P61" s="9">
        <v>47</v>
      </c>
      <c r="Q61" s="9">
        <f t="shared" si="9"/>
        <v>7</v>
      </c>
      <c r="R61" s="9">
        <f t="shared" si="24"/>
        <v>5</v>
      </c>
      <c r="S61" s="14" t="str" cm="1">
        <f t="array" ref="S61">INDEX('PS-ConceptMap-1'!$I$15:$N$271,Q61+1,R61)</f>
        <v>* group[=].element[=].target.equivalence = #unmatched</v>
      </c>
    </row>
    <row r="62" spans="1:19" ht="29.5" x14ac:dyDescent="0.75">
      <c r="P62" s="9">
        <v>48</v>
      </c>
      <c r="Q62" s="9">
        <f t="shared" si="9"/>
        <v>7</v>
      </c>
      <c r="R62" s="9">
        <f t="shared" si="24"/>
        <v>6</v>
      </c>
      <c r="S62" s="14" t="str" cm="1">
        <f t="array" ref="S62">INDEX('PS-ConceptMap-1'!$I$15:$N$271,Q62+1,R62)</f>
        <v>* group[=].element[=].target.comment = ##34#Mapped in the Composition resource##34#</v>
      </c>
    </row>
    <row r="63" spans="1:19" x14ac:dyDescent="0.75">
      <c r="P63" s="9">
        <v>49</v>
      </c>
      <c r="Q63" s="9">
        <f t="shared" si="9"/>
        <v>8</v>
      </c>
      <c r="R63" s="9">
        <f t="shared" si="24"/>
        <v>1</v>
      </c>
      <c r="S63" s="14" t="str" cm="1">
        <f t="array" ref="S63">INDEX('PS-ConceptMap-1'!$I$15:$N$271,Q63+1,R63)</f>
        <v>* group[=].element[+].code = #LabReport.header.metadata</v>
      </c>
    </row>
    <row r="64" spans="1:19" x14ac:dyDescent="0.75">
      <c r="P64" s="9">
        <v>50</v>
      </c>
      <c r="Q64" s="9">
        <f t="shared" si="9"/>
        <v>8</v>
      </c>
      <c r="R64" s="9">
        <f t="shared" si="24"/>
        <v>2</v>
      </c>
      <c r="S64" s="14" t="str" cm="1">
        <f t="array" ref="S64">INDEX('PS-ConceptMap-1'!$I$15:$N$271,Q64+1,R64)</f>
        <v>* group[=].element[=].display = ##34#A.1.8 Patient Summary metadata##34#</v>
      </c>
    </row>
    <row r="65" spans="16:19" x14ac:dyDescent="0.75">
      <c r="P65" s="9">
        <v>51</v>
      </c>
      <c r="Q65" s="9">
        <f t="shared" si="9"/>
        <v>8</v>
      </c>
      <c r="R65" s="9">
        <f t="shared" si="24"/>
        <v>3</v>
      </c>
      <c r="S65" s="14" t="str" cm="1">
        <f t="array" ref="S65">INDEX('PS-ConceptMap-1'!$I$15:$N$271,Q65+1,R65)</f>
        <v>* group[=].element[=].target.code = #DiagnosticReport</v>
      </c>
    </row>
    <row r="66" spans="16:19" x14ac:dyDescent="0.75">
      <c r="P66" s="9">
        <v>52</v>
      </c>
      <c r="Q66" s="9">
        <f t="shared" si="9"/>
        <v>8</v>
      </c>
      <c r="R66" s="9">
        <f t="shared" si="24"/>
        <v>4</v>
      </c>
      <c r="S66" s="14" t="str" cm="1">
        <f t="array" ref="S66">INDEX('PS-ConceptMap-1'!$I$15:$N$271,Q66+1,R66)</f>
        <v>* group[=].element[=].target.display = ##34###34#</v>
      </c>
    </row>
    <row r="67" spans="16:19" x14ac:dyDescent="0.75">
      <c r="P67" s="9">
        <v>53</v>
      </c>
      <c r="Q67" s="9">
        <f t="shared" si="9"/>
        <v>8</v>
      </c>
      <c r="R67" s="9">
        <f t="shared" si="24"/>
        <v>5</v>
      </c>
      <c r="S67" s="14" t="str" cm="1">
        <f t="array" ref="S67">INDEX('PS-ConceptMap-1'!$I$15:$N$271,Q67+1,R67)</f>
        <v>* group[=].element[=].target.equivalence = #relatedto</v>
      </c>
    </row>
    <row r="68" spans="16:19" x14ac:dyDescent="0.75">
      <c r="P68" s="9">
        <v>54</v>
      </c>
      <c r="Q68" s="9">
        <f t="shared" si="9"/>
        <v>8</v>
      </c>
      <c r="R68" s="9">
        <f t="shared" si="24"/>
        <v>6</v>
      </c>
      <c r="S68" s="14" t="str" cm="1">
        <f t="array" ref="S68">INDEX('PS-ConceptMap-1'!$I$15:$N$271,Q68+1,R68)</f>
        <v/>
      </c>
    </row>
    <row r="69" spans="16:19" x14ac:dyDescent="0.75">
      <c r="P69" s="9">
        <v>55</v>
      </c>
      <c r="Q69" s="9">
        <f t="shared" si="9"/>
        <v>9</v>
      </c>
      <c r="R69" s="9">
        <f t="shared" si="24"/>
        <v>1</v>
      </c>
      <c r="S69" s="14" t="str" cm="1">
        <f t="array" ref="S69">INDEX('PS-ConceptMap-1'!$I$15:$N$271,Q69+1,R69)</f>
        <v>* group[=].element[+].code = #LabReport.header.metadata.documentId</v>
      </c>
    </row>
    <row r="70" spans="16:19" x14ac:dyDescent="0.75">
      <c r="P70" s="9">
        <v>56</v>
      </c>
      <c r="Q70" s="9">
        <f t="shared" si="9"/>
        <v>9</v>
      </c>
      <c r="R70" s="9">
        <f t="shared" si="24"/>
        <v>2</v>
      </c>
      <c r="S70" s="14" t="str" cm="1">
        <f t="array" ref="S70">INDEX('PS-ConceptMap-1'!$I$15:$N$271,Q70+1,R70)</f>
        <v>* group[=].element[=].display = ##34#A.1.8.0 Document Id##34#</v>
      </c>
    </row>
    <row r="71" spans="16:19" x14ac:dyDescent="0.75">
      <c r="P71" s="9">
        <v>57</v>
      </c>
      <c r="Q71" s="9">
        <f t="shared" si="9"/>
        <v>9</v>
      </c>
      <c r="R71" s="9">
        <f t="shared" si="24"/>
        <v>3</v>
      </c>
      <c r="S71" s="14" t="str" cm="1">
        <f t="array" ref="S71">INDEX('PS-ConceptMap-1'!$I$15:$N$271,Q71+1,R71)</f>
        <v>* group[=].element[=].target.code = #DiagnosticReport.identifier</v>
      </c>
    </row>
    <row r="72" spans="16:19" x14ac:dyDescent="0.75">
      <c r="P72" s="9">
        <v>58</v>
      </c>
      <c r="Q72" s="9">
        <f t="shared" si="9"/>
        <v>9</v>
      </c>
      <c r="R72" s="9">
        <f t="shared" si="24"/>
        <v>4</v>
      </c>
      <c r="S72" s="14" t="str" cm="1">
        <f t="array" ref="S72">INDEX('PS-ConceptMap-1'!$I$15:$N$271,Q72+1,R72)</f>
        <v>* group[=].element[=].target.display = ##34###34#</v>
      </c>
    </row>
    <row r="73" spans="16:19" x14ac:dyDescent="0.75">
      <c r="P73" s="9">
        <v>59</v>
      </c>
      <c r="Q73" s="9">
        <f t="shared" si="9"/>
        <v>9</v>
      </c>
      <c r="R73" s="9">
        <f t="shared" si="24"/>
        <v>5</v>
      </c>
      <c r="S73" s="14" t="str" cm="1">
        <f t="array" ref="S73">INDEX('PS-ConceptMap-1'!$I$15:$N$271,Q73+1,R73)</f>
        <v>* group[=].element[=].target.equivalence = #relatedto</v>
      </c>
    </row>
    <row r="74" spans="16:19" ht="44.25" x14ac:dyDescent="0.75">
      <c r="P74" s="9">
        <v>60</v>
      </c>
      <c r="Q74" s="9">
        <f t="shared" si="9"/>
        <v>9</v>
      </c>
      <c r="R74" s="9">
        <f t="shared" si="24"/>
        <v>6</v>
      </c>
      <c r="S74" s="14" t="str" cm="1">
        <f t="array" ref="S74">INDEX('PS-ConceptMap-1'!$I$15:$N$271,Q74+1,R74)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INDEX('PS-ConceptMap-1'!$I$15:$N$271,Q75+1,R75)</f>
        <v>* group[=].element[+].code = #LabReport.header.metadata.type</v>
      </c>
    </row>
    <row r="76" spans="16:19" x14ac:dyDescent="0.75">
      <c r="P76" s="9">
        <v>62</v>
      </c>
      <c r="Q76" s="9">
        <f t="shared" si="9"/>
        <v>10</v>
      </c>
      <c r="R76" s="9">
        <f t="shared" si="24"/>
        <v>2</v>
      </c>
      <c r="S76" s="14" t="str" cm="1">
        <f t="array" ref="S76">INDEX('PS-ConceptMap-1'!$I$15:$N$271,Q76+1,R76)</f>
        <v>* group[=].element[=].display = ##34#A.1.8.1 Document type##34#</v>
      </c>
    </row>
    <row r="77" spans="16:19" x14ac:dyDescent="0.75">
      <c r="P77" s="9">
        <v>63</v>
      </c>
      <c r="Q77" s="9">
        <f t="shared" si="9"/>
        <v>10</v>
      </c>
      <c r="R77" s="9">
        <f t="shared" si="24"/>
        <v>3</v>
      </c>
      <c r="S77" s="14" t="str" cm="1">
        <f t="array" ref="S77">INDEX('PS-ConceptMap-1'!$I$15:$N$271,Q77+1,R77)</f>
        <v>* group[=].element[=].target.code = #DiagnosticReport.code</v>
      </c>
    </row>
    <row r="78" spans="16:19" x14ac:dyDescent="0.75">
      <c r="P78" s="9">
        <v>64</v>
      </c>
      <c r="Q78" s="9">
        <f t="shared" si="9"/>
        <v>10</v>
      </c>
      <c r="R78" s="9">
        <f t="shared" si="24"/>
        <v>4</v>
      </c>
      <c r="S78" s="14" t="str" cm="1">
        <f t="array" ref="S78">INDEX('PS-ConceptMap-1'!$I$15:$N$271,Q78+1,R78)</f>
        <v>* group[=].element[=].target.display = ##34###34#</v>
      </c>
    </row>
    <row r="79" spans="16:19" x14ac:dyDescent="0.75">
      <c r="P79" s="9">
        <v>65</v>
      </c>
      <c r="Q79" s="9">
        <f t="shared" si="9"/>
        <v>10</v>
      </c>
      <c r="R79" s="9">
        <f t="shared" si="24"/>
        <v>5</v>
      </c>
      <c r="S79" s="14" t="str" cm="1">
        <f t="array" ref="S79">INDEX('PS-ConceptMap-1'!$I$15:$N$271,Q79+1,R79)</f>
        <v>* group[=].element[=].target.equivalence = #equivalent</v>
      </c>
    </row>
    <row r="80" spans="16:19" x14ac:dyDescent="0.75">
      <c r="P80" s="9">
        <v>66</v>
      </c>
      <c r="Q80" s="9">
        <f t="shared" si="9"/>
        <v>10</v>
      </c>
      <c r="R80" s="9">
        <f t="shared" si="24"/>
        <v>6</v>
      </c>
      <c r="S80" s="14" t="str" cm="1">
        <f t="array" ref="S80">INDEX('PS-ConceptMap-1'!$I$15:$N$271,Q80+1,R80)</f>
        <v/>
      </c>
    </row>
    <row r="81" spans="16:19" x14ac:dyDescent="0.75">
      <c r="P81" s="9">
        <v>67</v>
      </c>
      <c r="Q81" s="9">
        <f t="shared" si="9"/>
        <v>11</v>
      </c>
      <c r="R81" s="9">
        <f t="shared" si="24"/>
        <v>1</v>
      </c>
      <c r="S81" s="14" t="str" cm="1">
        <f t="array" ref="S81">INDEX('PS-ConceptMap-1'!$I$15:$N$271,Q81+1,R81)</f>
        <v>* group[=].element[+].code = #LabReport.header.metadata.status</v>
      </c>
    </row>
    <row r="82" spans="16:19" x14ac:dyDescent="0.75">
      <c r="P82" s="9">
        <v>68</v>
      </c>
      <c r="Q82" s="9">
        <f t="shared" si="9"/>
        <v>11</v>
      </c>
      <c r="R82" s="9">
        <f t="shared" si="24"/>
        <v>2</v>
      </c>
      <c r="S82" s="14" t="str" cm="1">
        <f t="array" ref="S82">INDEX('PS-ConceptMap-1'!$I$15:$N$271,Q82+1,R82)</f>
        <v>* group[=].element[=].display = ##34#A.1.8.2 Document status##34#</v>
      </c>
    </row>
    <row r="83" spans="16:19" x14ac:dyDescent="0.75">
      <c r="P83" s="9">
        <v>69</v>
      </c>
      <c r="Q83" s="9">
        <f t="shared" si="9"/>
        <v>11</v>
      </c>
      <c r="R83" s="9">
        <f t="shared" si="24"/>
        <v>3</v>
      </c>
      <c r="S83" s="14" t="str" cm="1">
        <f t="array" ref="S83">INDEX('PS-ConceptMap-1'!$I$15:$N$271,Q83+1,R83)</f>
        <v>* group[=].element[=].target.code = #DiagnosticReport.status</v>
      </c>
    </row>
    <row r="84" spans="16:19" x14ac:dyDescent="0.75">
      <c r="P84" s="9">
        <v>70</v>
      </c>
      <c r="Q84" s="9">
        <f t="shared" si="9"/>
        <v>11</v>
      </c>
      <c r="R84" s="9">
        <f t="shared" si="24"/>
        <v>4</v>
      </c>
      <c r="S84" s="14" t="str" cm="1">
        <f t="array" ref="S84">INDEX('PS-ConceptMap-1'!$I$15:$N$271,Q84+1,R84)</f>
        <v>* group[=].element[=].target.display = ##34###34#</v>
      </c>
    </row>
    <row r="85" spans="16:19" x14ac:dyDescent="0.75">
      <c r="P85" s="9">
        <v>71</v>
      </c>
      <c r="Q85" s="9">
        <f t="shared" si="9"/>
        <v>11</v>
      </c>
      <c r="R85" s="9">
        <f t="shared" si="24"/>
        <v>5</v>
      </c>
      <c r="S85" s="14" t="str" cm="1">
        <f t="array" ref="S85">INDEX('PS-ConceptMap-1'!$I$15:$N$271,Q85+1,R85)</f>
        <v>* group[=].element[=].target.equivalence = #relatedto</v>
      </c>
    </row>
    <row r="86" spans="16:19" ht="29.5" x14ac:dyDescent="0.75">
      <c r="P86" s="9">
        <v>72</v>
      </c>
      <c r="Q86" s="9">
        <f t="shared" si="9"/>
        <v>11</v>
      </c>
      <c r="R86" s="9">
        <f t="shared" si="24"/>
        <v>6</v>
      </c>
      <c r="S86" s="14" t="str" cm="1">
        <f t="array" ref="S86">INDEX('PS-ConceptMap-1'!$I$15:$N$271,Q86+1,R86)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INDEX('PS-ConceptMap-1'!$I$15:$N$271,Q87+1,R87)</f>
        <v>* group[=].element[+].code = #LabReport.header.metadata.dateTime</v>
      </c>
    </row>
    <row r="88" spans="16:19" x14ac:dyDescent="0.75">
      <c r="P88" s="9">
        <v>74</v>
      </c>
      <c r="Q88" s="9">
        <f t="shared" si="9"/>
        <v>12</v>
      </c>
      <c r="R88" s="9">
        <f t="shared" ref="R88:R151" si="25">IF(MOD(P88,$Q$8)=0,$Q$8,MOD(P88,$Q$8))</f>
        <v>2</v>
      </c>
      <c r="S88" s="14" t="str" cm="1">
        <f t="array" ref="S88">INDEX('PS-ConceptMap-1'!$I$15:$N$271,Q88+1,R88)</f>
        <v>* group[=].element[=].display = ##34#A.1.8.3 Report date and time##34#</v>
      </c>
    </row>
    <row r="89" spans="16:19" x14ac:dyDescent="0.75">
      <c r="P89" s="9">
        <v>75</v>
      </c>
      <c r="Q89" s="9">
        <f t="shared" si="9"/>
        <v>12</v>
      </c>
      <c r="R89" s="9">
        <f t="shared" si="25"/>
        <v>3</v>
      </c>
      <c r="S89" s="14" t="str" cm="1">
        <f t="array" ref="S89">INDEX('PS-ConceptMap-1'!$I$15:$N$271,Q89+1,R89)</f>
        <v>* group[=].element[=].target.code = #DiagnosticReport.effectiveDateTime</v>
      </c>
    </row>
    <row r="90" spans="16:19" x14ac:dyDescent="0.75">
      <c r="P90" s="9">
        <v>76</v>
      </c>
      <c r="Q90" s="9">
        <f t="shared" si="9"/>
        <v>12</v>
      </c>
      <c r="R90" s="9">
        <f t="shared" si="25"/>
        <v>4</v>
      </c>
      <c r="S90" s="14" t="str" cm="1">
        <f t="array" ref="S90">INDEX('PS-ConceptMap-1'!$I$15:$N$271,Q90+1,R90)</f>
        <v>* group[=].element[=].target.display = ##34###34#</v>
      </c>
    </row>
    <row r="91" spans="16:19" x14ac:dyDescent="0.75">
      <c r="P91" s="9">
        <v>77</v>
      </c>
      <c r="Q91" s="9">
        <f t="shared" si="9"/>
        <v>12</v>
      </c>
      <c r="R91" s="9">
        <f t="shared" si="25"/>
        <v>5</v>
      </c>
      <c r="S91" s="14" t="str" cm="1">
        <f t="array" ref="S91">INDEX('PS-ConceptMap-1'!$I$15:$N$271,Q91+1,R91)</f>
        <v>* group[=].element[=].target.equivalence = #equivalent</v>
      </c>
    </row>
    <row r="92" spans="16:19" x14ac:dyDescent="0.75">
      <c r="P92" s="9">
        <v>78</v>
      </c>
      <c r="Q92" s="9">
        <f t="shared" si="9"/>
        <v>12</v>
      </c>
      <c r="R92" s="9">
        <f t="shared" si="25"/>
        <v>6</v>
      </c>
      <c r="S92" s="14" t="str" cm="1">
        <f t="array" ref="S92">INDEX('PS-ConceptMap-1'!$I$15:$N$271,Q92+1,R92)</f>
        <v/>
      </c>
    </row>
    <row r="93" spans="16:19" x14ac:dyDescent="0.75">
      <c r="P93" s="9">
        <v>79</v>
      </c>
      <c r="Q93" s="9">
        <f t="shared" si="9"/>
        <v>13</v>
      </c>
      <c r="R93" s="9">
        <f t="shared" si="25"/>
        <v>1</v>
      </c>
      <c r="S93" s="14" t="str" cm="1">
        <f t="array" ref="S93">INDEX('PS-ConceptMap-1'!$I$15:$N$271,Q93+1,R93)</f>
        <v>* group[=].element[+].code = #LabReport.header.metadata.title</v>
      </c>
    </row>
    <row r="94" spans="16:19" x14ac:dyDescent="0.75">
      <c r="P94" s="9">
        <v>80</v>
      </c>
      <c r="Q94" s="9">
        <f t="shared" si="9"/>
        <v>13</v>
      </c>
      <c r="R94" s="9">
        <f t="shared" si="25"/>
        <v>2</v>
      </c>
      <c r="S94" s="14" t="str" cm="1">
        <f t="array" ref="S94">INDEX('PS-ConceptMap-1'!$I$15:$N$271,Q94+1,R94)</f>
        <v>* group[=].element[=].display = ##34#A.1.8.4 Document title##34#</v>
      </c>
    </row>
    <row r="95" spans="16:19" x14ac:dyDescent="0.75">
      <c r="P95" s="9">
        <v>81</v>
      </c>
      <c r="Q95" s="9">
        <f t="shared" si="9"/>
        <v>13</v>
      </c>
      <c r="R95" s="9">
        <f t="shared" si="25"/>
        <v>3</v>
      </c>
      <c r="S95" s="14" t="str" cm="1">
        <f t="array" ref="S95">INDEX('PS-ConceptMap-1'!$I$15:$N$271,Q95+1,R95)</f>
        <v>//-- unmatched</v>
      </c>
    </row>
    <row r="96" spans="16:19" x14ac:dyDescent="0.75">
      <c r="P96" s="9">
        <v>82</v>
      </c>
      <c r="Q96" s="9">
        <f t="shared" si="9"/>
        <v>13</v>
      </c>
      <c r="R96" s="9">
        <f t="shared" si="25"/>
        <v>4</v>
      </c>
      <c r="S96" s="14" t="str" cm="1">
        <f t="array" ref="S96">INDEX('PS-ConceptMap-1'!$I$15:$N$271,Q96+1,R96)</f>
        <v>//-- unmatched</v>
      </c>
    </row>
    <row r="97" spans="16:19" x14ac:dyDescent="0.75">
      <c r="P97" s="9">
        <v>83</v>
      </c>
      <c r="Q97" s="9">
        <f t="shared" si="9"/>
        <v>13</v>
      </c>
      <c r="R97" s="9">
        <f t="shared" si="25"/>
        <v>5</v>
      </c>
      <c r="S97" s="14" t="str" cm="1">
        <f t="array" ref="S97">INDEX('PS-ConceptMap-1'!$I$15:$N$271,Q97+1,R97)</f>
        <v>* group[=].element[=].target.equivalence = #unmatched</v>
      </c>
    </row>
    <row r="98" spans="16:19" ht="29.5" x14ac:dyDescent="0.75">
      <c r="P98" s="9">
        <v>84</v>
      </c>
      <c r="Q98" s="9">
        <f t="shared" si="9"/>
        <v>13</v>
      </c>
      <c r="R98" s="9">
        <f t="shared" si="25"/>
        <v>6</v>
      </c>
      <c r="S98" s="14" t="str" cm="1">
        <f t="array" ref="S98">INDEX('PS-ConceptMap-1'!$I$15:$N$271,Q98+1,R98)</f>
        <v>* group[=].element[=].target.comment = ##34#Mapped in the Composition resource##34#</v>
      </c>
    </row>
    <row r="99" spans="16:19" x14ac:dyDescent="0.75">
      <c r="P99" s="9">
        <v>85</v>
      </c>
      <c r="Q99" s="9">
        <f t="shared" si="9"/>
        <v>14</v>
      </c>
      <c r="R99" s="9">
        <f t="shared" si="25"/>
        <v>1</v>
      </c>
      <c r="S99" s="14" t="str" cm="1">
        <f t="array" ref="S99">INDEX('PS-ConceptMap-1'!$I$15:$N$271,Q99+1,R99)</f>
        <v>* group[=].element[+].code = #LabReport.header.metadata.studyType</v>
      </c>
    </row>
    <row r="100" spans="16:19" x14ac:dyDescent="0.75">
      <c r="P100" s="9">
        <v>86</v>
      </c>
      <c r="Q100" s="9">
        <f t="shared" si="9"/>
        <v>14</v>
      </c>
      <c r="R100" s="9">
        <f t="shared" si="25"/>
        <v>2</v>
      </c>
      <c r="S100" s="14" t="str" cm="1">
        <f t="array" ref="S100">INDEX('PS-ConceptMap-1'!$I$15:$N$271,Q100+1,R100)</f>
        <v>* group[=].element[=].display = ##34#A.1.8.5 Study type##34#</v>
      </c>
    </row>
    <row r="101" spans="16:19" x14ac:dyDescent="0.75">
      <c r="P101" s="9">
        <v>87</v>
      </c>
      <c r="Q101" s="9">
        <f t="shared" si="9"/>
        <v>14</v>
      </c>
      <c r="R101" s="9">
        <f t="shared" si="25"/>
        <v>3</v>
      </c>
      <c r="S101" s="14" t="str" cm="1">
        <f t="array" ref="S101">INDEX('PS-ConceptMap-1'!$I$15:$N$271,Q101+1,R101)</f>
        <v>* group[=].element[=].target.code = #DiagnosticReport.category</v>
      </c>
    </row>
    <row r="102" spans="16:19" x14ac:dyDescent="0.75">
      <c r="P102" s="9">
        <v>88</v>
      </c>
      <c r="Q102" s="9">
        <f t="shared" si="9"/>
        <v>14</v>
      </c>
      <c r="R102" s="9">
        <f t="shared" si="25"/>
        <v>4</v>
      </c>
      <c r="S102" s="14" t="str" cm="1">
        <f t="array" ref="S102">INDEX('PS-ConceptMap-1'!$I$15:$N$271,Q102+1,R102)</f>
        <v>* group[=].element[=].target.display = ##34###34#</v>
      </c>
    </row>
    <row r="103" spans="16:19" x14ac:dyDescent="0.75">
      <c r="P103" s="9">
        <v>89</v>
      </c>
      <c r="Q103" s="9">
        <f t="shared" si="9"/>
        <v>14</v>
      </c>
      <c r="R103" s="9">
        <f t="shared" si="25"/>
        <v>5</v>
      </c>
      <c r="S103" s="14" t="str" cm="1">
        <f t="array" ref="S103">INDEX('PS-ConceptMap-1'!$I$15:$N$271,Q103+1,R103)</f>
        <v>* group[=].element[=].target.equivalence = #relatedto</v>
      </c>
    </row>
    <row r="104" spans="16:19" x14ac:dyDescent="0.75">
      <c r="P104" s="9">
        <v>90</v>
      </c>
      <c r="Q104" s="9">
        <f t="shared" si="9"/>
        <v>14</v>
      </c>
      <c r="R104" s="9">
        <f t="shared" si="25"/>
        <v>6</v>
      </c>
      <c r="S104" s="14" t="str" cm="1">
        <f t="array" ref="S104">INDEX('PS-ConceptMap-1'!$I$15:$N$271,Q104+1,R104)</f>
        <v/>
      </c>
    </row>
    <row r="105" spans="16:19" x14ac:dyDescent="0.75">
      <c r="P105" s="9">
        <v>91</v>
      </c>
      <c r="Q105" s="9">
        <f t="shared" si="9"/>
        <v>15</v>
      </c>
      <c r="R105" s="9">
        <f t="shared" si="25"/>
        <v>1</v>
      </c>
      <c r="S105" s="14" t="str" cm="1">
        <f t="array" ref="S105">INDEX('PS-ConceptMap-1'!$I$15:$N$271,Q105+1,R105)</f>
        <v>* group[=].element[+].code = #LabReport.header.metadata.custodian</v>
      </c>
    </row>
    <row r="106" spans="16:19" x14ac:dyDescent="0.75">
      <c r="P106" s="9">
        <v>92</v>
      </c>
      <c r="Q106" s="9">
        <f t="shared" si="9"/>
        <v>15</v>
      </c>
      <c r="R106" s="9">
        <f t="shared" si="25"/>
        <v>2</v>
      </c>
      <c r="S106" s="14" t="str" cm="1">
        <f t="array" ref="S106">INDEX('PS-ConceptMap-1'!$I$15:$N$271,Q106+1,R106)</f>
        <v>* group[=].element[=].display = ##34#A.1.8.6 Report custodian##34#</v>
      </c>
    </row>
    <row r="107" spans="16:19" x14ac:dyDescent="0.75">
      <c r="P107" s="9">
        <v>93</v>
      </c>
      <c r="Q107" s="9">
        <f t="shared" si="9"/>
        <v>15</v>
      </c>
      <c r="R107" s="9">
        <f t="shared" si="25"/>
        <v>3</v>
      </c>
      <c r="S107" s="14" t="str" cm="1">
        <f t="array" ref="S107">INDEX('PS-ConceptMap-1'!$I$15:$N$271,Q107+1,R107)</f>
        <v>//-- unmatched</v>
      </c>
    </row>
    <row r="108" spans="16:19" x14ac:dyDescent="0.75">
      <c r="P108" s="9">
        <v>94</v>
      </c>
      <c r="Q108" s="9">
        <f t="shared" si="9"/>
        <v>15</v>
      </c>
      <c r="R108" s="9">
        <f t="shared" si="25"/>
        <v>4</v>
      </c>
      <c r="S108" s="14" t="str" cm="1">
        <f t="array" ref="S108">INDEX('PS-ConceptMap-1'!$I$15:$N$271,Q108+1,R108)</f>
        <v>//-- unmatched</v>
      </c>
    </row>
    <row r="109" spans="16:19" x14ac:dyDescent="0.75">
      <c r="P109" s="9">
        <v>95</v>
      </c>
      <c r="Q109" s="9">
        <f t="shared" si="9"/>
        <v>15</v>
      </c>
      <c r="R109" s="9">
        <f t="shared" si="25"/>
        <v>5</v>
      </c>
      <c r="S109" s="14" t="str" cm="1">
        <f t="array" ref="S109">INDEX('PS-ConceptMap-1'!$I$15:$N$271,Q109+1,R109)</f>
        <v>* group[=].element[=].target.equivalence = #unmatched</v>
      </c>
    </row>
    <row r="110" spans="16:19" ht="29.5" x14ac:dyDescent="0.75">
      <c r="P110" s="9">
        <v>96</v>
      </c>
      <c r="Q110" s="9">
        <f t="shared" si="9"/>
        <v>15</v>
      </c>
      <c r="R110" s="9">
        <f t="shared" si="25"/>
        <v>6</v>
      </c>
      <c r="S110" s="14" t="str" cm="1">
        <f t="array" ref="S110">INDEX('PS-ConceptMap-1'!$I$15:$N$271,Q110+1,R110)</f>
        <v>* group[=].element[=].target.comment = ##34#Mapped in the Composition resource##34#</v>
      </c>
    </row>
    <row r="111" spans="16:19" x14ac:dyDescent="0.75">
      <c r="P111" s="9">
        <v>97</v>
      </c>
      <c r="Q111" s="9">
        <f t="shared" si="9"/>
        <v>16</v>
      </c>
      <c r="R111" s="9">
        <f t="shared" si="25"/>
        <v>1</v>
      </c>
      <c r="S111" s="14" t="str" cm="1">
        <f t="array" ref="S111">INDEX('PS-ConceptMap-1'!$I$15:$N$271,Q111+1,R111)</f>
        <v>* group[=].element[+].code = #LabReport.header.metadata.confidentiality</v>
      </c>
    </row>
    <row r="112" spans="16:19" x14ac:dyDescent="0.75">
      <c r="P112" s="9">
        <v>98</v>
      </c>
      <c r="Q112" s="9">
        <f t="shared" si="9"/>
        <v>16</v>
      </c>
      <c r="R112" s="9">
        <f t="shared" si="25"/>
        <v>2</v>
      </c>
      <c r="S112" s="14" t="str" cm="1">
        <f t="array" ref="S112">INDEX('PS-ConceptMap-1'!$I$15:$N$271,Q112+1,R112)</f>
        <v>* group[=].element[=].display = ##34#A.1.8.7 Confidentiality##34#</v>
      </c>
    </row>
    <row r="113" spans="16:19" x14ac:dyDescent="0.75">
      <c r="P113" s="9">
        <v>99</v>
      </c>
      <c r="Q113" s="9">
        <f t="shared" si="9"/>
        <v>16</v>
      </c>
      <c r="R113" s="9">
        <f t="shared" si="25"/>
        <v>3</v>
      </c>
      <c r="S113" s="14" t="str" cm="1">
        <f t="array" ref="S113">INDEX('PS-ConceptMap-1'!$I$15:$N$271,Q113+1,R113)</f>
        <v>//-- unmatched</v>
      </c>
    </row>
    <row r="114" spans="16:19" x14ac:dyDescent="0.75">
      <c r="P114" s="9">
        <v>100</v>
      </c>
      <c r="Q114" s="9">
        <f t="shared" si="9"/>
        <v>16</v>
      </c>
      <c r="R114" s="9">
        <f t="shared" si="25"/>
        <v>4</v>
      </c>
      <c r="S114" s="14" t="str" cm="1">
        <f t="array" ref="S114">INDEX('PS-ConceptMap-1'!$I$15:$N$271,Q114+1,R114)</f>
        <v>//-- unmatched</v>
      </c>
    </row>
    <row r="115" spans="16:19" x14ac:dyDescent="0.75">
      <c r="P115" s="9">
        <v>101</v>
      </c>
      <c r="Q115" s="9">
        <f t="shared" si="9"/>
        <v>16</v>
      </c>
      <c r="R115" s="9">
        <f t="shared" si="25"/>
        <v>5</v>
      </c>
      <c r="S115" s="14" t="str" cm="1">
        <f t="array" ref="S115">INDEX('PS-ConceptMap-1'!$I$15:$N$271,Q115+1,R115)</f>
        <v>* group[=].element[=].target.equivalence = #unmatched</v>
      </c>
    </row>
    <row r="116" spans="16:19" ht="29.5" x14ac:dyDescent="0.75">
      <c r="P116" s="9">
        <v>102</v>
      </c>
      <c r="Q116" s="9">
        <f t="shared" si="9"/>
        <v>16</v>
      </c>
      <c r="R116" s="9">
        <f t="shared" si="25"/>
        <v>6</v>
      </c>
      <c r="S116" s="14" t="str" cm="1">
        <f t="array" ref="S116">INDEX('PS-ConceptMap-1'!$I$15:$N$271,Q116+1,R116)</f>
        <v>* group[=].element[=].target.comment = ##34#Mapped in the Composition resource##34#</v>
      </c>
    </row>
    <row r="117" spans="16:19" x14ac:dyDescent="0.75">
      <c r="P117" s="9">
        <v>103</v>
      </c>
      <c r="Q117" s="9">
        <f t="shared" si="9"/>
        <v>17</v>
      </c>
      <c r="R117" s="9">
        <f t="shared" si="25"/>
        <v>1</v>
      </c>
      <c r="S117" s="14" t="str" cm="1">
        <f t="array" ref="S117">INDEX('PS-ConceptMap-1'!$I$15:$N$271,Q117+1,R117)</f>
        <v>* group[=].element[+].code = #LabReport.header.metadata.language</v>
      </c>
    </row>
    <row r="118" spans="16:19" x14ac:dyDescent="0.75">
      <c r="P118" s="9">
        <v>104</v>
      </c>
      <c r="Q118" s="9">
        <f t="shared" si="9"/>
        <v>17</v>
      </c>
      <c r="R118" s="9">
        <f t="shared" si="25"/>
        <v>2</v>
      </c>
      <c r="S118" s="14" t="str" cm="1">
        <f t="array" ref="S118">INDEX('PS-ConceptMap-1'!$I$15:$N$271,Q118+1,R118)</f>
        <v>* group[=].element[=].display = ##34#A.1.8.8 Language##34#</v>
      </c>
    </row>
    <row r="119" spans="16:19" x14ac:dyDescent="0.75">
      <c r="P119" s="9">
        <v>105</v>
      </c>
      <c r="Q119" s="9">
        <f t="shared" si="9"/>
        <v>17</v>
      </c>
      <c r="R119" s="9">
        <f t="shared" si="25"/>
        <v>3</v>
      </c>
      <c r="S119" s="14" t="str" cm="1">
        <f t="array" ref="S119">INDEX('PS-ConceptMap-1'!$I$15:$N$271,Q119+1,R119)</f>
        <v>* group[=].element[=].target.code = #DiagnosticReport.language</v>
      </c>
    </row>
    <row r="120" spans="16:19" x14ac:dyDescent="0.75">
      <c r="P120" s="9">
        <v>106</v>
      </c>
      <c r="Q120" s="9">
        <f t="shared" si="9"/>
        <v>17</v>
      </c>
      <c r="R120" s="9">
        <f t="shared" si="25"/>
        <v>4</v>
      </c>
      <c r="S120" s="14" t="str" cm="1">
        <f t="array" ref="S120">INDEX('PS-ConceptMap-1'!$I$15:$N$271,Q120+1,R120)</f>
        <v>* group[=].element[=].target.display = ##34###34#</v>
      </c>
    </row>
    <row r="121" spans="16:19" x14ac:dyDescent="0.75">
      <c r="P121" s="9">
        <v>107</v>
      </c>
      <c r="Q121" s="9">
        <f t="shared" si="9"/>
        <v>17</v>
      </c>
      <c r="R121" s="9">
        <f t="shared" si="25"/>
        <v>5</v>
      </c>
      <c r="S121" s="14" t="str" cm="1">
        <f t="array" ref="S121">INDEX('PS-ConceptMap-1'!$I$15:$N$271,Q121+1,R121)</f>
        <v>* group[=].element[=].target.equivalence = #equivalent</v>
      </c>
    </row>
    <row r="122" spans="16:19" x14ac:dyDescent="0.75">
      <c r="P122" s="9">
        <v>108</v>
      </c>
      <c r="Q122" s="9">
        <f t="shared" si="9"/>
        <v>17</v>
      </c>
      <c r="R122" s="9">
        <f t="shared" si="25"/>
        <v>6</v>
      </c>
      <c r="S122" s="14" t="str" cm="1">
        <f t="array" ref="S122">INDEX('PS-ConceptMap-1'!$I$15:$N$271,Q122+1,R122)</f>
        <v/>
      </c>
    </row>
    <row r="123" spans="16:19" x14ac:dyDescent="0.75">
      <c r="P123" s="9">
        <v>109</v>
      </c>
      <c r="Q123" s="9">
        <f t="shared" si="9"/>
        <v>18</v>
      </c>
      <c r="R123" s="9">
        <f t="shared" si="25"/>
        <v>1</v>
      </c>
      <c r="S123" s="14" t="str" cm="1">
        <f t="array" ref="S123">INDEX('PS-ConceptMap-1'!$I$15:$N$271,Q123+1,R123)</f>
        <v>* group[=].element[+].code = #LabReport.header.metadata.version</v>
      </c>
    </row>
    <row r="124" spans="16:19" x14ac:dyDescent="0.75">
      <c r="P124" s="9">
        <v>110</v>
      </c>
      <c r="Q124" s="9">
        <f t="shared" si="9"/>
        <v>18</v>
      </c>
      <c r="R124" s="9">
        <f t="shared" si="25"/>
        <v>2</v>
      </c>
      <c r="S124" s="14" t="str" cm="1">
        <f t="array" ref="S124">INDEX('PS-ConceptMap-1'!$I$15:$N$271,Q124+1,R124)</f>
        <v>* group[=].element[=].display = ##34#A.1.8.9 Version##34#</v>
      </c>
    </row>
    <row r="125" spans="16:19" x14ac:dyDescent="0.75">
      <c r="P125" s="9">
        <v>111</v>
      </c>
      <c r="Q125" s="9">
        <f t="shared" si="9"/>
        <v>18</v>
      </c>
      <c r="R125" s="9">
        <f t="shared" si="25"/>
        <v>3</v>
      </c>
      <c r="S125" s="14" t="str" cm="1">
        <f t="array" ref="S125">INDEX('PS-ConceptMap-1'!$I$15:$N$271,Q125+1,R125)</f>
        <v>//-- unmatched</v>
      </c>
    </row>
    <row r="126" spans="16:19" x14ac:dyDescent="0.75">
      <c r="P126" s="9">
        <v>112</v>
      </c>
      <c r="Q126" s="9">
        <f t="shared" si="9"/>
        <v>18</v>
      </c>
      <c r="R126" s="9">
        <f t="shared" si="25"/>
        <v>4</v>
      </c>
      <c r="S126" s="14" t="str" cm="1">
        <f t="array" ref="S126">INDEX('PS-ConceptMap-1'!$I$15:$N$271,Q126+1,R126)</f>
        <v>//-- unmatched</v>
      </c>
    </row>
    <row r="127" spans="16:19" x14ac:dyDescent="0.75">
      <c r="P127" s="9">
        <v>113</v>
      </c>
      <c r="Q127" s="9">
        <f t="shared" si="9"/>
        <v>18</v>
      </c>
      <c r="R127" s="9">
        <f t="shared" si="25"/>
        <v>5</v>
      </c>
      <c r="S127" s="14" t="str" cm="1">
        <f t="array" ref="S127">INDEX('PS-ConceptMap-1'!$I$15:$N$271,Q127+1,R127)</f>
        <v>* group[=].element[=].target.equivalence = #unmatched</v>
      </c>
    </row>
    <row r="128" spans="16:19" ht="29.5" x14ac:dyDescent="0.75">
      <c r="P128" s="9">
        <v>114</v>
      </c>
      <c r="Q128" s="9">
        <f t="shared" si="9"/>
        <v>18</v>
      </c>
      <c r="R128" s="9">
        <f t="shared" si="25"/>
        <v>6</v>
      </c>
      <c r="S128" s="14" t="str" cm="1">
        <f t="array" ref="S128">INDEX('PS-ConceptMap-1'!$I$15:$N$271,Q128+1,R128)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INDEX('PS-ConceptMap-1'!$I$15:$N$271,Q129+1,R129)</f>
        <v>* group[=].element[+].code = #LabReport.order</v>
      </c>
    </row>
    <row r="130" spans="16:19" x14ac:dyDescent="0.75">
      <c r="P130" s="9">
        <v>116</v>
      </c>
      <c r="Q130" s="9">
        <f t="shared" si="9"/>
        <v>19</v>
      </c>
      <c r="R130" s="9">
        <f t="shared" si="25"/>
        <v>2</v>
      </c>
      <c r="S130" s="14" t="str" cm="1">
        <f t="array" ref="S130">INDEX('PS-ConceptMap-1'!$I$15:$N$271,Q130+1,R130)</f>
        <v>* group[=].element[=].display = ##34#A.2-A.3 Order##34#</v>
      </c>
    </row>
    <row r="131" spans="16:19" x14ac:dyDescent="0.75">
      <c r="P131" s="9">
        <v>117</v>
      </c>
      <c r="Q131" s="9">
        <f t="shared" si="9"/>
        <v>19</v>
      </c>
      <c r="R131" s="9">
        <f t="shared" si="25"/>
        <v>3</v>
      </c>
      <c r="S131" s="14" t="str" cm="1">
        <f t="array" ref="S131">INDEX('PS-ConceptMap-1'!$I$15:$N$271,Q131+1,R131)</f>
        <v>* group[=].element[=].target.code = #DiagnosticReport.basedOn</v>
      </c>
    </row>
    <row r="132" spans="16:19" x14ac:dyDescent="0.75">
      <c r="P132" s="9">
        <v>118</v>
      </c>
      <c r="Q132" s="9">
        <f t="shared" si="9"/>
        <v>19</v>
      </c>
      <c r="R132" s="9">
        <f t="shared" si="25"/>
        <v>4</v>
      </c>
      <c r="S132" s="14" t="str" cm="1">
        <f t="array" ref="S132">INDEX('PS-ConceptMap-1'!$I$15:$N$271,Q132+1,R132)</f>
        <v>* group[=].element[=].target.display = ##34###34#</v>
      </c>
    </row>
    <row r="133" spans="16:19" x14ac:dyDescent="0.75">
      <c r="P133" s="9">
        <v>119</v>
      </c>
      <c r="Q133" s="9">
        <f t="shared" si="9"/>
        <v>19</v>
      </c>
      <c r="R133" s="9">
        <f t="shared" si="25"/>
        <v>5</v>
      </c>
      <c r="S133" s="14" t="str" cm="1">
        <f t="array" ref="S133">INDEX('PS-ConceptMap-1'!$I$15:$N$271,Q133+1,R133)</f>
        <v>* group[=].element[=].target.equivalence = #relatedto</v>
      </c>
    </row>
    <row r="134" spans="16:19" ht="29.5" x14ac:dyDescent="0.75">
      <c r="P134" s="9">
        <v>120</v>
      </c>
      <c r="Q134" s="9">
        <f t="shared" si="9"/>
        <v>19</v>
      </c>
      <c r="R134" s="9">
        <f t="shared" si="25"/>
        <v>6</v>
      </c>
      <c r="S134" s="14" t="str" cm="1">
        <f t="array" ref="S134">INDEX('PS-ConceptMap-1'!$I$15:$N$271,Q134+1,R134)</f>
        <v>* group[=].element[=].target.comment = ##34#basedOn.resolve().ofType(ServiceRequest)##34#</v>
      </c>
    </row>
    <row r="135" spans="16:19" x14ac:dyDescent="0.75">
      <c r="P135" s="9">
        <v>121</v>
      </c>
      <c r="Q135" s="9">
        <f t="shared" si="9"/>
        <v>20</v>
      </c>
      <c r="R135" s="9">
        <f t="shared" si="25"/>
        <v>1</v>
      </c>
      <c r="S135" s="14" t="str" cm="1">
        <f t="array" ref="S135">INDEX('PS-ConceptMap-1'!$I$15:$N$271,Q135+1,R135)</f>
        <v>* group[=].element[+].code = #LabReport.specimen</v>
      </c>
    </row>
    <row r="136" spans="16:19" x14ac:dyDescent="0.75">
      <c r="P136" s="9">
        <v>122</v>
      </c>
      <c r="Q136" s="9">
        <f t="shared" si="9"/>
        <v>20</v>
      </c>
      <c r="R136" s="9">
        <f t="shared" si="25"/>
        <v>2</v>
      </c>
      <c r="S136" s="14" t="str" cm="1">
        <f t="array" ref="S136">INDEX('PS-ConceptMap-1'!$I$15:$N$271,Q136+1,R136)</f>
        <v>* group[=].element[=].display = ##34#A.4 Specimen information##34#</v>
      </c>
    </row>
    <row r="137" spans="16:19" x14ac:dyDescent="0.75">
      <c r="P137" s="9">
        <v>123</v>
      </c>
      <c r="Q137" s="9">
        <f t="shared" si="9"/>
        <v>20</v>
      </c>
      <c r="R137" s="9">
        <f t="shared" si="25"/>
        <v>3</v>
      </c>
      <c r="S137" s="14" t="str" cm="1">
        <f t="array" ref="S137">INDEX('PS-ConceptMap-1'!$I$15:$N$271,Q137+1,R137)</f>
        <v>* group[=].element[=].target.code = #DiagnosticReport.specimen</v>
      </c>
    </row>
    <row r="138" spans="16:19" x14ac:dyDescent="0.75">
      <c r="P138" s="9">
        <v>124</v>
      </c>
      <c r="Q138" s="9">
        <f t="shared" si="9"/>
        <v>20</v>
      </c>
      <c r="R138" s="9">
        <f t="shared" si="25"/>
        <v>4</v>
      </c>
      <c r="S138" s="14" t="str" cm="1">
        <f t="array" ref="S138">INDEX('PS-ConceptMap-1'!$I$15:$N$271,Q138+1,R138)</f>
        <v>* group[=].element[=].target.display = ##34###34#</v>
      </c>
    </row>
    <row r="139" spans="16:19" x14ac:dyDescent="0.75">
      <c r="P139" s="9">
        <v>125</v>
      </c>
      <c r="Q139" s="9">
        <f t="shared" si="9"/>
        <v>20</v>
      </c>
      <c r="R139" s="9">
        <f t="shared" si="25"/>
        <v>5</v>
      </c>
      <c r="S139" s="14" t="str" cm="1">
        <f t="array" ref="S139">INDEX('PS-ConceptMap-1'!$I$15:$N$271,Q139+1,R139)</f>
        <v>* group[=].element[=].target.equivalence = #relatedto</v>
      </c>
    </row>
    <row r="140" spans="16:19" x14ac:dyDescent="0.75">
      <c r="P140" s="9">
        <v>126</v>
      </c>
      <c r="Q140" s="9">
        <f t="shared" si="9"/>
        <v>20</v>
      </c>
      <c r="R140" s="9">
        <f t="shared" si="25"/>
        <v>6</v>
      </c>
      <c r="S140" s="14" t="str" cm="1">
        <f t="array" ref="S140">INDEX('PS-ConceptMap-1'!$I$15:$N$271,Q140+1,R140)</f>
        <v/>
      </c>
    </row>
    <row r="141" spans="16:19" x14ac:dyDescent="0.75">
      <c r="P141" s="9">
        <v>127</v>
      </c>
      <c r="Q141" s="9">
        <f t="shared" si="9"/>
        <v>21</v>
      </c>
      <c r="R141" s="9">
        <f t="shared" si="25"/>
        <v>1</v>
      </c>
      <c r="S141" s="14" t="str" cm="1">
        <f t="array" ref="S141">INDEX('PS-ConceptMap-1'!$I$15:$N$271,Q141+1,R141)</f>
        <v>* group[=].element[+].code = #LabReport.result</v>
      </c>
    </row>
    <row r="142" spans="16:19" x14ac:dyDescent="0.75">
      <c r="P142" s="9">
        <v>128</v>
      </c>
      <c r="Q142" s="9">
        <f t="shared" si="9"/>
        <v>21</v>
      </c>
      <c r="R142" s="9">
        <f t="shared" si="25"/>
        <v>2</v>
      </c>
      <c r="S142" s="14" t="str" cm="1">
        <f t="array" ref="S142">INDEX('PS-ConceptMap-1'!$I$15:$N$271,Q142+1,R142)</f>
        <v>* group[=].element[=].display = ##34#A.5 Results data elements##34#</v>
      </c>
    </row>
    <row r="143" spans="16:19" x14ac:dyDescent="0.75">
      <c r="P143" s="9">
        <v>129</v>
      </c>
      <c r="Q143" s="9">
        <f t="shared" si="9"/>
        <v>21</v>
      </c>
      <c r="R143" s="9">
        <f t="shared" si="25"/>
        <v>3</v>
      </c>
      <c r="S143" s="14" t="str" cm="1">
        <f t="array" ref="S143">INDEX('PS-ConceptMap-1'!$I$15:$N$271,Q143+1,R143)</f>
        <v>* group[=].element[=].target.code = #DiagnosticReport.result</v>
      </c>
    </row>
    <row r="144" spans="16:19" x14ac:dyDescent="0.75">
      <c r="P144" s="9">
        <v>130</v>
      </c>
      <c r="Q144" s="9">
        <f t="shared" si="9"/>
        <v>21</v>
      </c>
      <c r="R144" s="9">
        <f t="shared" si="25"/>
        <v>4</v>
      </c>
      <c r="S144" s="14" t="str" cm="1">
        <f t="array" ref="S144">INDEX('PS-ConceptMap-1'!$I$15:$N$271,Q144+1,R144)</f>
        <v>* group[=].element[=].target.display = ##34###34#</v>
      </c>
    </row>
    <row r="145" spans="16:19" x14ac:dyDescent="0.75">
      <c r="P145" s="9">
        <v>131</v>
      </c>
      <c r="Q145" s="9">
        <f t="shared" si="9"/>
        <v>21</v>
      </c>
      <c r="R145" s="9">
        <f t="shared" si="25"/>
        <v>5</v>
      </c>
      <c r="S145" s="14" t="str" cm="1">
        <f t="array" ref="S145">INDEX('PS-ConceptMap-1'!$I$15:$N$271,Q145+1,R145)</f>
        <v>* group[=].element[=].target.equivalence = #relatedto</v>
      </c>
    </row>
    <row r="146" spans="16:19" x14ac:dyDescent="0.75">
      <c r="P146" s="9">
        <v>132</v>
      </c>
      <c r="Q146" s="9">
        <f t="shared" si="9"/>
        <v>21</v>
      </c>
      <c r="R146" s="9">
        <f t="shared" si="25"/>
        <v>6</v>
      </c>
      <c r="S146" s="14" t="str" cm="1">
        <f t="array" ref="S146">INDEX('PS-ConceptMap-1'!$I$15:$N$271,Q146+1,R146)</f>
        <v/>
      </c>
    </row>
    <row r="147" spans="16:19" x14ac:dyDescent="0.75">
      <c r="P147" s="9">
        <v>133</v>
      </c>
      <c r="Q147" s="9">
        <f t="shared" si="9"/>
        <v>22</v>
      </c>
      <c r="R147" s="9">
        <f t="shared" si="25"/>
        <v>1</v>
      </c>
      <c r="S147" s="14" t="str" cm="1">
        <f t="array" ref="S147">INDEX('PS-ConceptMap-1'!$I$15:$N$271,Q147+1,R147)</f>
        <v>* group[=].element[+].code = #LabReport.specimen</v>
      </c>
    </row>
    <row r="148" spans="16:19" x14ac:dyDescent="0.75">
      <c r="P148" s="9">
        <v>134</v>
      </c>
      <c r="Q148" s="9">
        <f t="shared" si="9"/>
        <v>22</v>
      </c>
      <c r="R148" s="9">
        <f t="shared" si="25"/>
        <v>2</v>
      </c>
      <c r="S148" s="14" t="str" cm="1">
        <f t="array" ref="S148">INDEX('PS-ConceptMap-1'!$I$15:$N$271,Q148+1,R148)</f>
        <v>* group[=].element[=].display = ##34#A.4 Specimen information##34#</v>
      </c>
    </row>
    <row r="149" spans="16:19" x14ac:dyDescent="0.75">
      <c r="P149" s="9">
        <v>135</v>
      </c>
      <c r="Q149" s="9">
        <f t="shared" si="9"/>
        <v>22</v>
      </c>
      <c r="R149" s="9">
        <f t="shared" si="25"/>
        <v>3</v>
      </c>
      <c r="S149" s="14" t="str" cm="1">
        <f t="array" ref="S149">INDEX('PS-ConceptMap-1'!$I$15:$N$271,Q149+1,R149)</f>
        <v>* group[=].element[=].target.code = #DiagnosticReport.result.specimen</v>
      </c>
    </row>
    <row r="150" spans="16:19" x14ac:dyDescent="0.75">
      <c r="P150" s="9">
        <v>136</v>
      </c>
      <c r="Q150" s="9">
        <f t="shared" si="9"/>
        <v>22</v>
      </c>
      <c r="R150" s="9">
        <f t="shared" si="25"/>
        <v>4</v>
      </c>
      <c r="S150" s="14" t="str" cm="1">
        <f t="array" ref="S150">INDEX('PS-ConceptMap-1'!$I$15:$N$271,Q150+1,R150)</f>
        <v>* group[=].element[=].target.display = ##34###34#</v>
      </c>
    </row>
    <row r="151" spans="16:19" x14ac:dyDescent="0.75">
      <c r="P151" s="9">
        <v>137</v>
      </c>
      <c r="Q151" s="9">
        <f t="shared" si="9"/>
        <v>22</v>
      </c>
      <c r="R151" s="9">
        <f t="shared" si="25"/>
        <v>5</v>
      </c>
      <c r="S151" s="14" t="str" cm="1">
        <f t="array" ref="S151">INDEX('PS-ConceptMap-1'!$I$15:$N$271,Q151+1,R151)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INDEX('PS-ConceptMap-1'!$I$15:$N$271,Q152+1,R152)</f>
        <v>* group[=].element[=].target.comment = ##34#result.resolve().ofType(Observation)##34#</v>
      </c>
    </row>
    <row r="153" spans="16:19" x14ac:dyDescent="0.75">
      <c r="P153" s="9">
        <v>139</v>
      </c>
      <c r="Q153" s="9">
        <f t="shared" si="9"/>
        <v>23</v>
      </c>
      <c r="R153" s="9">
        <f t="shared" si="26"/>
        <v>1</v>
      </c>
      <c r="S153" s="14" cm="1">
        <f t="array" ref="S153">INDEX('PS-ConceptMap-1'!$I$15:$N$271,Q153+1,R153)</f>
        <v>0</v>
      </c>
    </row>
    <row r="154" spans="16:19" x14ac:dyDescent="0.75">
      <c r="P154" s="9">
        <v>140</v>
      </c>
      <c r="Q154" s="9">
        <f t="shared" si="9"/>
        <v>23</v>
      </c>
      <c r="R154" s="9">
        <f t="shared" si="26"/>
        <v>2</v>
      </c>
      <c r="S154" s="14" cm="1">
        <f t="array" ref="S154">INDEX('PS-ConceptMap-1'!$I$15:$N$271,Q154+1,R154)</f>
        <v>0</v>
      </c>
    </row>
    <row r="155" spans="16:19" x14ac:dyDescent="0.75">
      <c r="P155" s="9">
        <v>141</v>
      </c>
      <c r="Q155" s="9">
        <f t="shared" si="9"/>
        <v>23</v>
      </c>
      <c r="R155" s="9">
        <f t="shared" si="26"/>
        <v>3</v>
      </c>
      <c r="S155" s="14" cm="1">
        <f t="array" ref="S155">INDEX('PS-ConceptMap-1'!$I$15:$N$271,Q155+1,R155)</f>
        <v>0</v>
      </c>
    </row>
    <row r="156" spans="16:19" x14ac:dyDescent="0.75">
      <c r="P156" s="9">
        <v>142</v>
      </c>
      <c r="Q156" s="9">
        <f t="shared" si="9"/>
        <v>23</v>
      </c>
      <c r="R156" s="9">
        <f t="shared" si="26"/>
        <v>4</v>
      </c>
      <c r="S156" s="14" cm="1">
        <f t="array" ref="S156">INDEX('PS-ConceptMap-1'!$I$15:$N$271,Q156+1,R156)</f>
        <v>0</v>
      </c>
    </row>
    <row r="157" spans="16:19" x14ac:dyDescent="0.75">
      <c r="P157" s="9">
        <v>143</v>
      </c>
      <c r="Q157" s="9">
        <f t="shared" si="9"/>
        <v>23</v>
      </c>
      <c r="R157" s="9">
        <f t="shared" si="26"/>
        <v>5</v>
      </c>
      <c r="S157" s="14" cm="1">
        <f t="array" ref="S157">INDEX('PS-ConceptMap-1'!$I$15:$N$271,Q157+1,R157)</f>
        <v>0</v>
      </c>
    </row>
    <row r="158" spans="16:19" x14ac:dyDescent="0.75">
      <c r="P158" s="9">
        <v>144</v>
      </c>
      <c r="Q158" s="9">
        <f t="shared" si="9"/>
        <v>23</v>
      </c>
      <c r="R158" s="9">
        <f t="shared" si="26"/>
        <v>6</v>
      </c>
      <c r="S158" s="14" cm="1">
        <f t="array" ref="S158">INDEX('PS-ConceptMap-1'!$I$15:$N$271,Q158+1,R158)</f>
        <v>0</v>
      </c>
    </row>
    <row r="159" spans="16:19" x14ac:dyDescent="0.75">
      <c r="P159" s="9">
        <v>145</v>
      </c>
      <c r="Q159" s="9">
        <f t="shared" si="9"/>
        <v>24</v>
      </c>
      <c r="R159" s="9">
        <f t="shared" si="26"/>
        <v>1</v>
      </c>
      <c r="S159" s="14" cm="1">
        <f t="array" ref="S159">INDEX('PS-ConceptMap-1'!$I$15:$N$271,Q159+1,R159)</f>
        <v>0</v>
      </c>
    </row>
    <row r="160" spans="16:19" x14ac:dyDescent="0.75">
      <c r="P160" s="9">
        <v>146</v>
      </c>
      <c r="Q160" s="9">
        <f t="shared" si="9"/>
        <v>24</v>
      </c>
      <c r="R160" s="9">
        <f t="shared" si="26"/>
        <v>2</v>
      </c>
      <c r="S160" s="14" cm="1">
        <f t="array" ref="S160">INDEX('PS-ConceptMap-1'!$I$15:$N$271,Q160+1,R160)</f>
        <v>0</v>
      </c>
    </row>
    <row r="161" spans="16:19" x14ac:dyDescent="0.75">
      <c r="P161" s="9">
        <v>147</v>
      </c>
      <c r="Q161" s="9">
        <f t="shared" si="9"/>
        <v>24</v>
      </c>
      <c r="R161" s="9">
        <f t="shared" si="26"/>
        <v>3</v>
      </c>
      <c r="S161" s="14" cm="1">
        <f t="array" ref="S161">INDEX('PS-ConceptMap-1'!$I$15:$N$271,Q161+1,R161)</f>
        <v>0</v>
      </c>
    </row>
    <row r="162" spans="16:19" x14ac:dyDescent="0.75">
      <c r="P162" s="9">
        <v>148</v>
      </c>
      <c r="Q162" s="9">
        <f t="shared" si="9"/>
        <v>24</v>
      </c>
      <c r="R162" s="9">
        <f t="shared" si="26"/>
        <v>4</v>
      </c>
      <c r="S162" s="14" cm="1">
        <f t="array" ref="S162">INDEX('PS-ConceptMap-1'!$I$15:$N$271,Q162+1,R162)</f>
        <v>0</v>
      </c>
    </row>
    <row r="163" spans="16:19" x14ac:dyDescent="0.75">
      <c r="P163" s="9">
        <v>149</v>
      </c>
      <c r="Q163" s="9">
        <f t="shared" si="9"/>
        <v>24</v>
      </c>
      <c r="R163" s="9">
        <f t="shared" si="26"/>
        <v>5</v>
      </c>
      <c r="S163" s="14" cm="1">
        <f t="array" ref="S163">INDEX('PS-ConceptMap-1'!$I$15:$N$271,Q163+1,R163)</f>
        <v>0</v>
      </c>
    </row>
    <row r="164" spans="16:19" x14ac:dyDescent="0.75">
      <c r="P164" s="9">
        <v>150</v>
      </c>
      <c r="Q164" s="9">
        <f t="shared" si="9"/>
        <v>24</v>
      </c>
      <c r="R164" s="9">
        <f t="shared" si="26"/>
        <v>6</v>
      </c>
      <c r="S164" s="14" cm="1">
        <f t="array" ref="S164">INDEX('PS-ConceptMap-1'!$I$15:$N$271,Q164+1,R164)</f>
        <v>0</v>
      </c>
    </row>
    <row r="165" spans="16:19" x14ac:dyDescent="0.75">
      <c r="P165" s="9">
        <v>151</v>
      </c>
      <c r="Q165" s="9">
        <f t="shared" si="9"/>
        <v>25</v>
      </c>
      <c r="R165" s="9">
        <f t="shared" si="26"/>
        <v>1</v>
      </c>
      <c r="S165" s="14" cm="1">
        <f t="array" ref="S165">INDEX('PS-ConceptMap-1'!$I$15:$N$271,Q165+1,R165)</f>
        <v>0</v>
      </c>
    </row>
    <row r="166" spans="16:19" x14ac:dyDescent="0.75">
      <c r="P166" s="9">
        <v>152</v>
      </c>
      <c r="Q166" s="9">
        <f t="shared" si="9"/>
        <v>25</v>
      </c>
      <c r="R166" s="9">
        <f t="shared" si="26"/>
        <v>2</v>
      </c>
      <c r="S166" s="14" cm="1">
        <f t="array" ref="S166">INDEX('PS-ConceptMap-1'!$I$15:$N$271,Q166+1,R166)</f>
        <v>0</v>
      </c>
    </row>
    <row r="167" spans="16:19" x14ac:dyDescent="0.75">
      <c r="P167" s="9">
        <v>153</v>
      </c>
      <c r="Q167" s="9">
        <f t="shared" si="9"/>
        <v>25</v>
      </c>
      <c r="R167" s="9">
        <f t="shared" si="26"/>
        <v>3</v>
      </c>
      <c r="S167" s="14" cm="1">
        <f t="array" ref="S167">INDEX('PS-ConceptMap-1'!$I$15:$N$271,Q167+1,R167)</f>
        <v>0</v>
      </c>
    </row>
    <row r="168" spans="16:19" x14ac:dyDescent="0.75">
      <c r="P168" s="9">
        <v>154</v>
      </c>
      <c r="Q168" s="9">
        <f t="shared" si="9"/>
        <v>25</v>
      </c>
      <c r="R168" s="9">
        <f t="shared" si="26"/>
        <v>4</v>
      </c>
      <c r="S168" s="14" cm="1">
        <f t="array" ref="S168">INDEX('PS-ConceptMap-1'!$I$15:$N$271,Q168+1,R168)</f>
        <v>0</v>
      </c>
    </row>
    <row r="169" spans="16:19" x14ac:dyDescent="0.75">
      <c r="P169" s="9">
        <v>155</v>
      </c>
      <c r="Q169" s="9">
        <f t="shared" si="9"/>
        <v>25</v>
      </c>
      <c r="R169" s="9">
        <f t="shared" si="26"/>
        <v>5</v>
      </c>
      <c r="S169" s="14" cm="1">
        <f t="array" ref="S169">INDEX('PS-ConceptMap-1'!$I$15:$N$271,Q169+1,R169)</f>
        <v>0</v>
      </c>
    </row>
    <row r="170" spans="16:19" x14ac:dyDescent="0.75">
      <c r="P170" s="9">
        <v>156</v>
      </c>
      <c r="Q170" s="9">
        <f t="shared" si="9"/>
        <v>25</v>
      </c>
      <c r="R170" s="9">
        <f t="shared" si="26"/>
        <v>6</v>
      </c>
      <c r="S170" s="14" cm="1">
        <f t="array" ref="S170">INDEX('PS-ConceptMap-1'!$I$15:$N$271,Q170+1,R170)</f>
        <v>0</v>
      </c>
    </row>
    <row r="171" spans="16:19" x14ac:dyDescent="0.75">
      <c r="P171" s="9">
        <v>157</v>
      </c>
      <c r="Q171" s="9">
        <f t="shared" si="9"/>
        <v>26</v>
      </c>
      <c r="R171" s="9">
        <f t="shared" si="26"/>
        <v>1</v>
      </c>
      <c r="S171" s="14" cm="1">
        <f t="array" ref="S171">INDEX('PS-ConceptMap-1'!$I$15:$N$271,Q171+1,R171)</f>
        <v>0</v>
      </c>
    </row>
    <row r="172" spans="16:19" x14ac:dyDescent="0.75">
      <c r="P172" s="9">
        <v>158</v>
      </c>
      <c r="Q172" s="9">
        <f t="shared" si="9"/>
        <v>26</v>
      </c>
      <c r="R172" s="9">
        <f t="shared" si="26"/>
        <v>2</v>
      </c>
      <c r="S172" s="14" cm="1">
        <f t="array" ref="S172">INDEX('PS-ConceptMap-1'!$I$15:$N$271,Q172+1,R172)</f>
        <v>0</v>
      </c>
    </row>
    <row r="173" spans="16:19" x14ac:dyDescent="0.75">
      <c r="P173" s="9">
        <v>159</v>
      </c>
      <c r="Q173" s="9">
        <f t="shared" si="9"/>
        <v>26</v>
      </c>
      <c r="R173" s="9">
        <f t="shared" si="26"/>
        <v>3</v>
      </c>
      <c r="S173" s="14" cm="1">
        <f t="array" ref="S173">INDEX('PS-ConceptMap-1'!$I$15:$N$271,Q173+1,R173)</f>
        <v>0</v>
      </c>
    </row>
    <row r="174" spans="16:19" x14ac:dyDescent="0.75">
      <c r="P174" s="9">
        <v>160</v>
      </c>
      <c r="Q174" s="9">
        <f t="shared" si="9"/>
        <v>26</v>
      </c>
      <c r="R174" s="9">
        <f t="shared" si="26"/>
        <v>4</v>
      </c>
      <c r="S174" s="14" cm="1">
        <f t="array" ref="S174">INDEX('PS-ConceptMap-1'!$I$15:$N$271,Q174+1,R174)</f>
        <v>0</v>
      </c>
    </row>
    <row r="175" spans="16:19" x14ac:dyDescent="0.75">
      <c r="P175" s="9">
        <v>161</v>
      </c>
      <c r="Q175" s="9">
        <f t="shared" si="9"/>
        <v>26</v>
      </c>
      <c r="R175" s="9">
        <f t="shared" si="26"/>
        <v>5</v>
      </c>
      <c r="S175" s="14" cm="1">
        <f t="array" ref="S175">INDEX('PS-ConceptMap-1'!$I$15:$N$271,Q175+1,R175)</f>
        <v>0</v>
      </c>
    </row>
    <row r="176" spans="16:19" x14ac:dyDescent="0.75">
      <c r="P176" s="9">
        <v>162</v>
      </c>
      <c r="Q176" s="9">
        <f t="shared" si="9"/>
        <v>26</v>
      </c>
      <c r="R176" s="9">
        <f t="shared" si="26"/>
        <v>6</v>
      </c>
      <c r="S176" s="14" cm="1">
        <f t="array" ref="S176">INDEX('PS-ConceptMap-1'!$I$15:$N$271,Q176+1,R176)</f>
        <v>0</v>
      </c>
    </row>
    <row r="177" spans="16:19" x14ac:dyDescent="0.75">
      <c r="P177" s="9">
        <v>163</v>
      </c>
      <c r="Q177" s="9">
        <f t="shared" si="9"/>
        <v>27</v>
      </c>
      <c r="R177" s="9">
        <f t="shared" si="26"/>
        <v>1</v>
      </c>
      <c r="S177" s="14" cm="1">
        <f t="array" ref="S177">INDEX('PS-ConceptMap-1'!$I$15:$N$271,Q177+1,R177)</f>
        <v>0</v>
      </c>
    </row>
    <row r="178" spans="16:19" x14ac:dyDescent="0.75">
      <c r="P178" s="9">
        <v>164</v>
      </c>
      <c r="Q178" s="9">
        <f t="shared" si="9"/>
        <v>27</v>
      </c>
      <c r="R178" s="9">
        <f t="shared" si="26"/>
        <v>2</v>
      </c>
      <c r="S178" s="14" cm="1">
        <f t="array" ref="S178">INDEX('PS-ConceptMap-1'!$I$15:$N$271,Q178+1,R178)</f>
        <v>0</v>
      </c>
    </row>
    <row r="179" spans="16:19" x14ac:dyDescent="0.75">
      <c r="P179" s="9">
        <v>165</v>
      </c>
      <c r="Q179" s="9">
        <f t="shared" si="9"/>
        <v>27</v>
      </c>
      <c r="R179" s="9">
        <f t="shared" si="26"/>
        <v>3</v>
      </c>
      <c r="S179" s="14" cm="1">
        <f t="array" ref="S179">INDEX('PS-ConceptMap-1'!$I$15:$N$271,Q179+1,R179)</f>
        <v>0</v>
      </c>
    </row>
    <row r="180" spans="16:19" x14ac:dyDescent="0.75">
      <c r="P180" s="9">
        <v>166</v>
      </c>
      <c r="Q180" s="9">
        <f t="shared" si="9"/>
        <v>27</v>
      </c>
      <c r="R180" s="9">
        <f t="shared" si="26"/>
        <v>4</v>
      </c>
      <c r="S180" s="14" cm="1">
        <f t="array" ref="S180">INDEX('PS-ConceptMap-1'!$I$15:$N$271,Q180+1,R180)</f>
        <v>0</v>
      </c>
    </row>
    <row r="181" spans="16:19" x14ac:dyDescent="0.75">
      <c r="P181" s="9">
        <v>167</v>
      </c>
      <c r="Q181" s="9">
        <f t="shared" si="9"/>
        <v>27</v>
      </c>
      <c r="R181" s="9">
        <f t="shared" si="26"/>
        <v>5</v>
      </c>
      <c r="S181" s="14" cm="1">
        <f t="array" ref="S181">INDEX('PS-ConceptMap-1'!$I$15:$N$271,Q181+1,R181)</f>
        <v>0</v>
      </c>
    </row>
    <row r="182" spans="16:19" x14ac:dyDescent="0.75">
      <c r="P182" s="9">
        <v>168</v>
      </c>
      <c r="Q182" s="9">
        <f t="shared" si="9"/>
        <v>27</v>
      </c>
      <c r="R182" s="9">
        <f t="shared" si="26"/>
        <v>6</v>
      </c>
      <c r="S182" s="14" cm="1">
        <f t="array" ref="S182">INDEX('PS-ConceptMap-1'!$I$15:$N$271,Q182+1,R182)</f>
        <v>0</v>
      </c>
    </row>
    <row r="183" spans="16:19" x14ac:dyDescent="0.75">
      <c r="P183" s="9">
        <v>169</v>
      </c>
      <c r="Q183" s="9">
        <f t="shared" si="9"/>
        <v>28</v>
      </c>
      <c r="R183" s="9">
        <f t="shared" si="26"/>
        <v>1</v>
      </c>
      <c r="S183" s="14" cm="1">
        <f t="array" ref="S183">INDEX('PS-ConceptMap-1'!$I$15:$N$271,Q183+1,R183)</f>
        <v>0</v>
      </c>
    </row>
    <row r="184" spans="16:19" x14ac:dyDescent="0.75">
      <c r="P184" s="9">
        <v>170</v>
      </c>
      <c r="Q184" s="9">
        <f t="shared" si="9"/>
        <v>28</v>
      </c>
      <c r="R184" s="9">
        <f t="shared" si="26"/>
        <v>2</v>
      </c>
      <c r="S184" s="14" cm="1">
        <f t="array" ref="S184">INDEX('PS-ConceptMap-1'!$I$15:$N$271,Q184+1,R184)</f>
        <v>0</v>
      </c>
    </row>
    <row r="185" spans="16:19" x14ac:dyDescent="0.75">
      <c r="P185" s="9">
        <v>171</v>
      </c>
      <c r="Q185" s="9">
        <f t="shared" si="9"/>
        <v>28</v>
      </c>
      <c r="R185" s="9">
        <f t="shared" si="26"/>
        <v>3</v>
      </c>
      <c r="S185" s="14" cm="1">
        <f t="array" ref="S185">INDEX('PS-ConceptMap-1'!$I$15:$N$271,Q185+1,R185)</f>
        <v>0</v>
      </c>
    </row>
    <row r="186" spans="16:19" x14ac:dyDescent="0.75">
      <c r="P186" s="9">
        <v>172</v>
      </c>
      <c r="Q186" s="9">
        <f t="shared" si="9"/>
        <v>28</v>
      </c>
      <c r="R186" s="9">
        <f t="shared" si="26"/>
        <v>4</v>
      </c>
      <c r="S186" s="14" cm="1">
        <f t="array" ref="S186">INDEX('PS-ConceptMap-1'!$I$15:$N$271,Q186+1,R186)</f>
        <v>0</v>
      </c>
    </row>
    <row r="187" spans="16:19" x14ac:dyDescent="0.75">
      <c r="P187" s="9">
        <v>173</v>
      </c>
      <c r="Q187" s="9">
        <f t="shared" si="9"/>
        <v>28</v>
      </c>
      <c r="R187" s="9">
        <f t="shared" si="26"/>
        <v>5</v>
      </c>
      <c r="S187" s="14" cm="1">
        <f t="array" ref="S187">INDEX('PS-ConceptMap-1'!$I$15:$N$271,Q187+1,R187)</f>
        <v>0</v>
      </c>
    </row>
    <row r="188" spans="16:19" x14ac:dyDescent="0.75">
      <c r="P188" s="9">
        <v>174</v>
      </c>
      <c r="Q188" s="9">
        <f t="shared" si="9"/>
        <v>28</v>
      </c>
      <c r="R188" s="9">
        <f t="shared" si="26"/>
        <v>6</v>
      </c>
      <c r="S188" s="14" cm="1">
        <f t="array" ref="S188">INDEX('PS-ConceptMap-1'!$I$15:$N$271,Q188+1,R188)</f>
        <v>0</v>
      </c>
    </row>
    <row r="189" spans="16:19" x14ac:dyDescent="0.75">
      <c r="P189" s="9">
        <v>175</v>
      </c>
      <c r="Q189" s="9">
        <f t="shared" si="9"/>
        <v>29</v>
      </c>
      <c r="R189" s="9">
        <f t="shared" si="26"/>
        <v>1</v>
      </c>
      <c r="S189" s="14" cm="1">
        <f t="array" ref="S189">INDEX('PS-ConceptMap-1'!$I$15:$N$271,Q189+1,R189)</f>
        <v>0</v>
      </c>
    </row>
    <row r="190" spans="16:19" x14ac:dyDescent="0.75">
      <c r="P190" s="9">
        <v>176</v>
      </c>
      <c r="Q190" s="9">
        <f t="shared" si="9"/>
        <v>29</v>
      </c>
      <c r="R190" s="9">
        <f t="shared" si="26"/>
        <v>2</v>
      </c>
      <c r="S190" s="14" cm="1">
        <f t="array" ref="S190">INDEX('PS-ConceptMap-1'!$I$15:$N$271,Q190+1,R190)</f>
        <v>0</v>
      </c>
    </row>
    <row r="191" spans="16:19" x14ac:dyDescent="0.75">
      <c r="P191" s="9">
        <v>177</v>
      </c>
      <c r="Q191" s="9">
        <f t="shared" si="9"/>
        <v>29</v>
      </c>
      <c r="R191" s="9">
        <f t="shared" si="26"/>
        <v>3</v>
      </c>
      <c r="S191" s="14" cm="1">
        <f t="array" ref="S191">INDEX('PS-ConceptMap-1'!$I$15:$N$271,Q191+1,R191)</f>
        <v>0</v>
      </c>
    </row>
  </sheetData>
  <mergeCells count="2">
    <mergeCell ref="E6:G6"/>
    <mergeCell ref="E7:G7"/>
  </mergeCells>
  <hyperlinks>
    <hyperlink ref="C6" r:id="rId1" xr:uid="{A86D3F4C-7DEC-4627-A1F4-A90F0A5BCA34}"/>
    <hyperlink ref="E4" r:id="rId2" display="http://hl7.eu/fhir/laboratory/StructureDefinition/Bundle-eu-lab" xr:uid="{37B8E575-9F3A-4269-88F9-10E630456E2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tr">
        <f>'PS-ConceptMap-1'!C3</f>
        <v>LabRpt2FHIR</v>
      </c>
      <c r="D3" s="70" t="s">
        <v>560</v>
      </c>
      <c r="E3" t="str">
        <f>'PS-ConceptMap-1'!E3</f>
        <v>http://hl7.eu/fhir/laboratory/StructureDefinition/LabReport</v>
      </c>
    </row>
    <row r="4" spans="1:19" x14ac:dyDescent="0.75">
      <c r="B4" s="70" t="s">
        <v>19</v>
      </c>
      <c r="C4" s="51" t="s">
        <v>1088</v>
      </c>
      <c r="D4" s="70" t="s">
        <v>561</v>
      </c>
      <c r="E4" s="81" t="s">
        <v>1086</v>
      </c>
    </row>
    <row r="5" spans="1:19" x14ac:dyDescent="0.75">
      <c r="B5" s="70" t="s">
        <v>13</v>
      </c>
      <c r="C5" s="10" t="s">
        <v>557</v>
      </c>
      <c r="D5" s="70"/>
      <c r="E5" s="10"/>
    </row>
    <row r="6" spans="1:19" x14ac:dyDescent="0.75">
      <c r="B6" s="70" t="s">
        <v>35</v>
      </c>
      <c r="C6" s="69" t="s">
        <v>553</v>
      </c>
      <c r="D6" s="70" t="s">
        <v>558</v>
      </c>
      <c r="E6" t="s">
        <v>553</v>
      </c>
    </row>
    <row r="7" spans="1:19" x14ac:dyDescent="0.75">
      <c r="B7" s="70" t="s">
        <v>18</v>
      </c>
      <c r="C7" s="77" t="s">
        <v>556</v>
      </c>
      <c r="D7" s="70" t="s">
        <v>559</v>
      </c>
      <c r="E7" t="s">
        <v>1089</v>
      </c>
    </row>
    <row r="8" spans="1:19" ht="44.25" x14ac:dyDescent="0.75">
      <c r="B8" s="70" t="s">
        <v>554</v>
      </c>
      <c r="C8" s="10" t="s">
        <v>557</v>
      </c>
      <c r="D8" s="70"/>
      <c r="E8" s="10"/>
      <c r="I8" s="14" t="s">
        <v>526</v>
      </c>
      <c r="J8" s="14" t="s">
        <v>527</v>
      </c>
      <c r="K8" s="14" t="s">
        <v>528</v>
      </c>
      <c r="L8" s="14" t="s">
        <v>529</v>
      </c>
      <c r="M8" s="9" t="s">
        <v>530</v>
      </c>
      <c r="P8" s="66" t="s">
        <v>531</v>
      </c>
      <c r="Q8" s="66">
        <v>6</v>
      </c>
    </row>
    <row r="9" spans="1:19" ht="29.5" x14ac:dyDescent="0.75">
      <c r="B9" s="70" t="s">
        <v>555</v>
      </c>
      <c r="C9" s="1" t="s">
        <v>1025</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
        <v>239</v>
      </c>
      <c r="C14" s="9"/>
      <c r="D14" s="4" t="s">
        <v>263</v>
      </c>
      <c r="E14" s="8"/>
      <c r="F14" s="9"/>
      <c r="G14" s="9"/>
      <c r="I14" s="14"/>
      <c r="J14" s="9"/>
      <c r="K14" s="9"/>
      <c r="L14" s="9"/>
      <c r="M14" s="68"/>
      <c r="N14" s="71"/>
    </row>
    <row r="15" spans="1:19" ht="44.25" x14ac:dyDescent="0.75">
      <c r="A15" s="23"/>
      <c r="B15" s="8" t="str">
        <f>PS!B8</f>
        <v>header</v>
      </c>
      <c r="C15" s="8" t="str">
        <f>PS!C8</f>
        <v>A.1 Report header data elements</v>
      </c>
      <c r="D15" s="14"/>
      <c r="E15" s="59"/>
      <c r="F15" s="72" t="s">
        <v>538</v>
      </c>
      <c r="G15" s="72"/>
      <c r="H15" s="73"/>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#LabReport.header</v>
      </c>
    </row>
    <row r="16" spans="1:19" ht="44.25" x14ac:dyDescent="0.75">
      <c r="A16" s="23"/>
      <c r="B16" s="9" t="str">
        <f>PS!B9</f>
        <v>header.subject</v>
      </c>
      <c r="C16" s="9" t="str">
        <f>PS!C9</f>
        <v>A.1.1 - A1.2 Patient/subject</v>
      </c>
      <c r="D16" s="14" t="s">
        <v>547</v>
      </c>
      <c r="E16" s="9"/>
      <c r="F16" s="72" t="s">
        <v>538</v>
      </c>
      <c r="G16" s="72"/>
      <c r="H16" s="73"/>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3"/>
      <c r="B17" s="9" t="str">
        <f>PS!B10</f>
        <v>header.payer</v>
      </c>
      <c r="C17" s="9" t="str">
        <f>PS!C10</f>
        <v>A.1.3 Health insurance and payment information</v>
      </c>
      <c r="D17" s="14" t="s">
        <v>666</v>
      </c>
      <c r="E17" s="9"/>
      <c r="F17" s="72" t="s">
        <v>538</v>
      </c>
      <c r="G17" s="14" t="s">
        <v>564</v>
      </c>
      <c r="H17" s="73"/>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3"/>
      <c r="B18" s="9" t="str">
        <f>PS!B11</f>
        <v>header.informationRecipient</v>
      </c>
      <c r="C18" s="9" t="str">
        <f>PS!C11</f>
        <v>A.1.4 Information recipient</v>
      </c>
      <c r="D18" s="14" t="s">
        <v>667</v>
      </c>
      <c r="E18" s="9"/>
      <c r="F18" s="72" t="s">
        <v>537</v>
      </c>
      <c r="G18" s="72"/>
      <c r="H18" s="73"/>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3"/>
      <c r="B19" s="9" t="str">
        <f>PS!B12</f>
        <v>header.author</v>
      </c>
      <c r="C19" s="9" t="str">
        <f>PS!C12</f>
        <v>A.1.5 Author</v>
      </c>
      <c r="D19" s="14" t="s">
        <v>668</v>
      </c>
      <c r="E19" s="9"/>
      <c r="F19" s="72" t="s">
        <v>538</v>
      </c>
      <c r="G19" s="72"/>
      <c r="H19" s="73"/>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3"/>
      <c r="B20" s="9" t="str">
        <f>PS!B13</f>
        <v>header.legalAuthenticator</v>
      </c>
      <c r="C20" s="9" t="str">
        <f>PS!C13</f>
        <v>A.1.6 Legal authenticator</v>
      </c>
      <c r="D20" s="14" t="s">
        <v>669</v>
      </c>
      <c r="E20" s="9"/>
      <c r="F20" s="72" t="s">
        <v>537</v>
      </c>
      <c r="G20" s="79" t="s">
        <v>849</v>
      </c>
      <c r="H20" s="73"/>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3"/>
      <c r="B21" s="9" t="str">
        <f>PS!B14</f>
        <v>header.validator</v>
      </c>
      <c r="C21" s="9" t="str">
        <f>PS!C14</f>
        <v>A.1.7 Result validator</v>
      </c>
      <c r="D21" s="14" t="s">
        <v>669</v>
      </c>
      <c r="E21" s="9"/>
      <c r="F21" s="72" t="s">
        <v>537</v>
      </c>
      <c r="G21" s="79" t="s">
        <v>850</v>
      </c>
      <c r="H21" s="73"/>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#LabReport.header.subject</v>
      </c>
    </row>
    <row r="22" spans="1:19" ht="44.25" x14ac:dyDescent="0.75">
      <c r="A22" s="23"/>
      <c r="B22" s="9" t="str">
        <f>PS!B15</f>
        <v>header.metadata</v>
      </c>
      <c r="C22" s="9" t="str">
        <f>PS!C15</f>
        <v>A.1.8 Patient Summary metadata</v>
      </c>
      <c r="D22" s="14"/>
      <c r="E22" s="14"/>
      <c r="F22" s="72" t="s">
        <v>538</v>
      </c>
      <c r="G22" s="80"/>
      <c r="H22" s="73"/>
      <c r="I22" s="14" t="str">
        <f t="shared" si="8"/>
        <v>* group[=].element[+].code = #LabReport.header.metadata</v>
      </c>
      <c r="J22" s="14" t="str">
        <f t="shared" si="9"/>
        <v>* group[=].element[=].display = ##34#A.1.8 Patient Summary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3"/>
      <c r="B23" s="9" t="str">
        <f>PS!B16</f>
        <v>header.metadata.documentId</v>
      </c>
      <c r="C23" s="9" t="str">
        <f>PS!C16</f>
        <v>A.1.8.0 Document Id</v>
      </c>
      <c r="D23" s="14" t="s">
        <v>308</v>
      </c>
      <c r="E23" s="14"/>
      <c r="F23" s="72" t="s">
        <v>537</v>
      </c>
      <c r="G23" s="79" t="s">
        <v>733</v>
      </c>
      <c r="H23" s="73"/>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header.metadata.type</v>
      </c>
      <c r="C24" s="9" t="str">
        <f>PS!C17</f>
        <v>A.1.8.1 Document type</v>
      </c>
      <c r="D24" s="14" t="s">
        <v>630</v>
      </c>
      <c r="E24" s="14"/>
      <c r="F24" s="72" t="s">
        <v>537</v>
      </c>
      <c r="G24" s="72"/>
      <c r="H24" s="73"/>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header.metadata.status</v>
      </c>
      <c r="C25" s="9" t="str">
        <f>PS!C18</f>
        <v>A.1.8.2 Document status</v>
      </c>
      <c r="D25" s="14" t="s">
        <v>549</v>
      </c>
      <c r="E25" s="14"/>
      <c r="F25" s="72" t="s">
        <v>538</v>
      </c>
      <c r="G25" s="79" t="s">
        <v>757</v>
      </c>
      <c r="H25" s="73"/>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header.metadata.dateTime</v>
      </c>
      <c r="C26" s="9" t="str">
        <f>PS!C19</f>
        <v>A.1.8.3 Report date and time</v>
      </c>
      <c r="D26" s="14" t="s">
        <v>565</v>
      </c>
      <c r="E26" s="14"/>
      <c r="F26" s="72" t="s">
        <v>537</v>
      </c>
      <c r="G26" s="72"/>
      <c r="H26" s="73"/>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header.metadata.title</v>
      </c>
      <c r="C27" s="9" t="str">
        <f>PS!C20</f>
        <v>A.1.8.4 Document title</v>
      </c>
      <c r="D27" s="14" t="s">
        <v>566</v>
      </c>
      <c r="E27" s="14"/>
      <c r="F27" s="72" t="s">
        <v>537</v>
      </c>
      <c r="G27" s="72"/>
      <c r="H27" s="73"/>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#LabReport.header.payer</v>
      </c>
    </row>
    <row r="28" spans="1:19" ht="44.25" x14ac:dyDescent="0.75">
      <c r="B28" s="9" t="str">
        <f>PS!B21</f>
        <v>header.metadata.studyType</v>
      </c>
      <c r="C28" s="9" t="str">
        <f>PS!C21</f>
        <v>A.1.8.5 Study type</v>
      </c>
      <c r="D28" s="14" t="s">
        <v>775</v>
      </c>
      <c r="E28" s="14"/>
      <c r="F28" s="72" t="s">
        <v>538</v>
      </c>
      <c r="G28" s="72"/>
      <c r="H28" s="73"/>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Health insurance and payment information##34#</v>
      </c>
    </row>
    <row r="29" spans="1:19" ht="44.25" x14ac:dyDescent="0.75">
      <c r="B29" s="9" t="str">
        <f>PS!B22</f>
        <v>header.metadata.custodian</v>
      </c>
      <c r="C29" s="9" t="str">
        <f>PS!C22</f>
        <v>A.1.8.6 Report custodian</v>
      </c>
      <c r="D29" s="14" t="s">
        <v>567</v>
      </c>
      <c r="E29" s="14"/>
      <c r="F29" s="72" t="s">
        <v>537</v>
      </c>
      <c r="G29" s="72"/>
      <c r="H29" s="73"/>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str">
        <f>PS!B23</f>
        <v>header.metadata.confidentiality</v>
      </c>
      <c r="C30" s="9" t="str">
        <f>PS!C23</f>
        <v>A.1.8.7 Confidentiality</v>
      </c>
      <c r="D30" s="1" t="s">
        <v>735</v>
      </c>
      <c r="E30" s="14"/>
      <c r="F30" s="72" t="s">
        <v>537</v>
      </c>
      <c r="G30" s="14"/>
      <c r="H30" s="73"/>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str">
        <f>PS!B24</f>
        <v>header.metadata.language</v>
      </c>
      <c r="C31" s="9" t="str">
        <f>PS!C24</f>
        <v>A.1.8.8 Language</v>
      </c>
      <c r="D31" s="14" t="s">
        <v>734</v>
      </c>
      <c r="E31" s="14"/>
      <c r="F31" s="72" t="s">
        <v>537</v>
      </c>
      <c r="G31" s="72"/>
      <c r="H31" s="73"/>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str">
        <f>PS!B25</f>
        <v>header.metadata.version</v>
      </c>
      <c r="C32" s="9" t="str">
        <f>PS!C25</f>
        <v>A.1.8.9 Version</v>
      </c>
      <c r="D32" s="14" t="s">
        <v>736</v>
      </c>
      <c r="E32" s="14"/>
      <c r="F32" s="72" t="s">
        <v>537</v>
      </c>
      <c r="G32" s="72" t="s">
        <v>738</v>
      </c>
      <c r="H32" s="73"/>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##34#extension(http://hl7.eu/fhir/laboratory/StructureDefinition/composition-basedOn-order-or-requisition).resolve().ofType(ServiceRequest).insurance.resolve().ofType(Coverage)##34#</v>
      </c>
    </row>
    <row r="33" spans="1:19" ht="118" x14ac:dyDescent="0.75">
      <c r="B33" s="9" t="str">
        <f>PS!B26</f>
        <v>order</v>
      </c>
      <c r="C33" s="9" t="str">
        <f>PS!C26</f>
        <v>A.2-A.3 Order</v>
      </c>
      <c r="D33" s="14" t="s">
        <v>666</v>
      </c>
      <c r="E33" s="14"/>
      <c r="F33" s="72" t="s">
        <v>538</v>
      </c>
      <c r="G33" s="14" t="s">
        <v>568</v>
      </c>
      <c r="H33" s="73"/>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INDEX('PS-ConceptMap-2'!$I$15:$N$272,Q33+1,R33)</f>
        <v>* group[=].element[+].code = #LabReport.header.informationRecipient</v>
      </c>
    </row>
    <row r="34" spans="1:19" ht="59" x14ac:dyDescent="0.75">
      <c r="B34" s="9" t="str">
        <f>PS!B27</f>
        <v>specimen</v>
      </c>
      <c r="C34" s="9" t="str">
        <f>PS!C27</f>
        <v>A.4 Specimen information</v>
      </c>
      <c r="D34" s="14" t="s">
        <v>979</v>
      </c>
      <c r="E34" s="14"/>
      <c r="F34" s="72" t="s">
        <v>538</v>
      </c>
      <c r="G34" s="72" t="s">
        <v>569</v>
      </c>
      <c r="H34" s="73"/>
      <c r="I34" s="14" t="str">
        <f t="shared" si="8"/>
        <v>* group[=].element[+].code = #LabReport.specimen</v>
      </c>
      <c r="J34" s="14" t="str">
        <f t="shared" si="9"/>
        <v>* group[=].element[=].display = ##34#A.4 Specimen information##34#</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Information recipient##34#</v>
      </c>
    </row>
    <row r="35" spans="1:19" ht="59" x14ac:dyDescent="0.75">
      <c r="B35" s="9" t="str">
        <f>PS!B28</f>
        <v>result</v>
      </c>
      <c r="C35" s="9" t="str">
        <f>PS!C28</f>
        <v>A.5 Results data elements</v>
      </c>
      <c r="D35" s="14" t="s">
        <v>980</v>
      </c>
      <c r="E35" s="14"/>
      <c r="F35" s="72" t="s">
        <v>538</v>
      </c>
      <c r="G35" s="72" t="s">
        <v>569</v>
      </c>
      <c r="H35" s="73"/>
      <c r="I35" s="14" t="str">
        <f t="shared" si="8"/>
        <v>* group[=].element[+].code = #LabReport.result</v>
      </c>
      <c r="J35" s="14" t="str">
        <f t="shared" si="9"/>
        <v>* group[=].element[=].display = ##34#A.5 Results data elements##34#</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285</v>
      </c>
      <c r="C36" s="9" t="s">
        <v>156</v>
      </c>
      <c r="D36" s="14" t="s">
        <v>981</v>
      </c>
      <c r="E36" s="14"/>
      <c r="F36" s="72" t="s">
        <v>538</v>
      </c>
      <c r="G36" s="72" t="s">
        <v>570</v>
      </c>
      <c r="H36" s="73"/>
      <c r="I36" s="14" t="str">
        <f t="shared" si="8"/>
        <v>* group[=].element[+].code = #LabReport.specimen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286</v>
      </c>
      <c r="C37" s="9" t="s">
        <v>185</v>
      </c>
      <c r="D37" s="14" t="s">
        <v>982</v>
      </c>
      <c r="E37" s="14"/>
      <c r="F37" s="72" t="s">
        <v>538</v>
      </c>
      <c r="G37" s="72" t="s">
        <v>570</v>
      </c>
      <c r="H37" s="73"/>
      <c r="I37" s="14" t="str">
        <f t="shared" si="8"/>
        <v>* group[=].element[+].code = #LabReport.result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72"/>
      <c r="G38" s="72"/>
      <c r="H38" s="73"/>
      <c r="K38" s="73"/>
      <c r="L38" s="73"/>
      <c r="M38" s="71"/>
      <c r="N38" s="71"/>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3"/>
      <c r="L39" s="73"/>
      <c r="M39" s="71"/>
      <c r="N39" s="71"/>
      <c r="P39" s="9">
        <v>25</v>
      </c>
      <c r="Q39" s="9">
        <f t="shared" si="6"/>
        <v>4</v>
      </c>
      <c r="R39" s="9">
        <f t="shared" si="7"/>
        <v>1</v>
      </c>
      <c r="S39" s="14" t="str" cm="1">
        <f t="array" ref="S39">INDEX('PS-ConceptMap-2'!$I$15:$N$272,Q39+1,R39)</f>
        <v>* group[=].element[+].code = #LabReport.header.author</v>
      </c>
    </row>
    <row r="40" spans="1:19" s="1" customFormat="1" x14ac:dyDescent="0.75">
      <c r="A40"/>
      <c r="B40" s="9"/>
      <c r="C40"/>
      <c r="D40" s="9"/>
      <c r="E40"/>
      <c r="F40" s="9"/>
      <c r="G40"/>
      <c r="H40" s="9"/>
      <c r="J40"/>
      <c r="K40" s="73"/>
      <c r="L40" s="73"/>
      <c r="M40" s="71"/>
      <c r="N40" s="71"/>
      <c r="P40" s="9">
        <v>26</v>
      </c>
      <c r="Q40" s="9">
        <f t="shared" si="6"/>
        <v>4</v>
      </c>
      <c r="R40" s="9">
        <f t="shared" si="7"/>
        <v>2</v>
      </c>
      <c r="S40" s="14" t="str" cm="1">
        <f t="array" ref="S40">INDEX('PS-ConceptMap-2'!$I$15:$N$272,Q40+1,R40)</f>
        <v>* group[=].element[=].display = ##34#A.1.5 Author##34#</v>
      </c>
    </row>
    <row r="41" spans="1:19" s="1" customFormat="1" x14ac:dyDescent="0.75">
      <c r="A41"/>
      <c r="B41" s="9"/>
      <c r="C41"/>
      <c r="D41" s="9"/>
      <c r="E41"/>
      <c r="F41" s="9"/>
      <c r="G41"/>
      <c r="H41" s="9"/>
      <c r="J41"/>
      <c r="K41" s="73"/>
      <c r="L41" s="73"/>
      <c r="M41" s="71"/>
      <c r="N41" s="71"/>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3"/>
      <c r="K42" s="73"/>
      <c r="L42" s="73"/>
      <c r="M42" s="71"/>
      <c r="N42" s="71"/>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3"/>
      <c r="K43" s="73"/>
      <c r="L43" s="73"/>
      <c r="M43" s="71"/>
      <c r="N43" s="71"/>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3"/>
      <c r="K44" s="73"/>
      <c r="L44" s="73"/>
      <c r="M44" s="71"/>
      <c r="N44" s="71"/>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3"/>
      <c r="K45" s="73"/>
      <c r="L45" s="73"/>
      <c r="M45" s="73"/>
      <c r="N45" s="73"/>
      <c r="P45" s="9">
        <v>31</v>
      </c>
      <c r="Q45" s="9">
        <f t="shared" si="6"/>
        <v>5</v>
      </c>
      <c r="R45" s="9">
        <f t="shared" si="7"/>
        <v>1</v>
      </c>
      <c r="S45" s="14" t="str" cm="1">
        <f t="array" ref="S45">INDEX('PS-ConceptMap-2'!$I$15:$N$272,Q45+1,R45)</f>
        <v>* group[=].element[+].code = #LabReport.header.legalAuthenticator</v>
      </c>
    </row>
    <row r="46" spans="1:19" s="1" customFormat="1" x14ac:dyDescent="0.75">
      <c r="A46"/>
      <c r="B46" s="9"/>
      <c r="C46"/>
      <c r="D46" s="9"/>
      <c r="E46"/>
      <c r="F46" s="9"/>
      <c r="G46"/>
      <c r="H46" s="9"/>
      <c r="J46" s="73"/>
      <c r="K46" s="73"/>
      <c r="L46" s="73"/>
      <c r="M46" s="73"/>
      <c r="N46" s="73"/>
      <c r="P46" s="9">
        <v>32</v>
      </c>
      <c r="Q46" s="9">
        <f t="shared" si="6"/>
        <v>5</v>
      </c>
      <c r="R46" s="9">
        <f t="shared" si="7"/>
        <v>2</v>
      </c>
      <c r="S46" s="14" t="str" cm="1">
        <f t="array" ref="S46">INDEX('PS-ConceptMap-2'!$I$15:$N$272,Q46+1,R46)</f>
        <v>* group[=].element[=].display = ##34#A.1.6 Legal authenticator##34#</v>
      </c>
    </row>
    <row r="47" spans="1:19" s="1" customFormat="1" x14ac:dyDescent="0.75">
      <c r="A47"/>
      <c r="B47" s="9"/>
      <c r="C47"/>
      <c r="D47" s="9"/>
      <c r="E47"/>
      <c r="F47" s="9"/>
      <c r="G47"/>
      <c r="H47" s="9"/>
      <c r="J47" s="73"/>
      <c r="K47" s="73"/>
      <c r="L47" s="73"/>
      <c r="M47" s="73"/>
      <c r="N47" s="73"/>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3"/>
      <c r="K48" s="73"/>
      <c r="L48" s="73"/>
      <c r="M48" s="73"/>
      <c r="N48" s="73"/>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3"/>
      <c r="K49" s="73"/>
      <c r="L49" s="73"/>
      <c r="M49" s="73"/>
      <c r="N49" s="73"/>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3"/>
      <c r="K50" s="73"/>
      <c r="L50" s="73"/>
      <c r="M50" s="73"/>
      <c r="N50" s="73"/>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3"/>
      <c r="K51" s="73"/>
      <c r="L51" s="73"/>
      <c r="M51" s="73"/>
      <c r="N51" s="73"/>
      <c r="P51" s="9">
        <v>37</v>
      </c>
      <c r="Q51" s="9">
        <f t="shared" si="6"/>
        <v>6</v>
      </c>
      <c r="R51" s="9">
        <f t="shared" si="7"/>
        <v>1</v>
      </c>
      <c r="S51" s="14" t="str" cm="1">
        <f t="array" ref="S51">INDEX('PS-ConceptMap-2'!$I$15:$N$272,Q51+1,R51)</f>
        <v>* group[=].element[+].code = #LabReport.header.validator</v>
      </c>
    </row>
    <row r="52" spans="1:19" x14ac:dyDescent="0.75">
      <c r="D52"/>
      <c r="E52"/>
      <c r="J52" s="73"/>
      <c r="K52" s="73"/>
      <c r="L52" s="73"/>
      <c r="M52" s="73"/>
      <c r="N52" s="73"/>
      <c r="P52" s="9">
        <v>38</v>
      </c>
      <c r="Q52" s="9">
        <f t="shared" si="6"/>
        <v>6</v>
      </c>
      <c r="R52" s="9">
        <f t="shared" si="7"/>
        <v>2</v>
      </c>
      <c r="S52" s="14" t="str" cm="1">
        <f t="array" ref="S52">INDEX('PS-ConceptMap-2'!$I$15:$N$272,Q52+1,R52)</f>
        <v>* group[=].element[=].display = ##34#A.1.7 Result validator##34#</v>
      </c>
    </row>
    <row r="53" spans="1:19" x14ac:dyDescent="0.75">
      <c r="D53"/>
      <c r="E53"/>
      <c r="J53" s="73"/>
      <c r="K53" s="73"/>
      <c r="L53" s="73"/>
      <c r="M53" s="73"/>
      <c r="N53" s="73"/>
      <c r="P53" s="9">
        <v>39</v>
      </c>
      <c r="Q53" s="9">
        <f t="shared" si="6"/>
        <v>6</v>
      </c>
      <c r="R53" s="9">
        <f t="shared" si="7"/>
        <v>3</v>
      </c>
      <c r="S53" s="14" t="str" cm="1">
        <f t="array" ref="S53">INDEX('PS-ConceptMap-2'!$I$15:$N$272,Q53+1,R53)</f>
        <v>* group[=].element[=].target.code = #Composition.attester.party</v>
      </c>
    </row>
    <row r="54" spans="1:19" x14ac:dyDescent="0.75">
      <c r="D54"/>
      <c r="E54"/>
      <c r="J54" s="73"/>
      <c r="K54" s="73"/>
      <c r="L54" s="73"/>
      <c r="M54" s="73"/>
      <c r="N54" s="73"/>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#LabReport.header.metadata</v>
      </c>
    </row>
    <row r="58" spans="1:19" x14ac:dyDescent="0.75">
      <c r="P58" s="9">
        <v>44</v>
      </c>
      <c r="Q58" s="9">
        <f t="shared" si="6"/>
        <v>7</v>
      </c>
      <c r="R58" s="9">
        <f t="shared" si="7"/>
        <v>2</v>
      </c>
      <c r="S58" s="14" t="str" cm="1">
        <f t="array" ref="S58">INDEX('PS-ConceptMap-2'!$I$15:$N$272,Q58+1,R58)</f>
        <v>* group[=].element[=].display = ##34#A.1.8 Patient Summary metadata##34#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#LabReport.header.metadata.documentId</v>
      </c>
    </row>
    <row r="64" spans="1:19" x14ac:dyDescent="0.75">
      <c r="P64" s="9">
        <v>50</v>
      </c>
      <c r="Q64" s="9">
        <f t="shared" si="6"/>
        <v>8</v>
      </c>
      <c r="R64" s="9">
        <f t="shared" si="7"/>
        <v>2</v>
      </c>
      <c r="S64" s="14" t="str" cm="1">
        <f t="array" ref="S64">INDEX('PS-ConceptMap-2'!$I$15:$N$272,Q64+1,R64)</f>
        <v>* group[=].element[=].display = ##34#A.1.8.0 Document Id##34#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#LabReport.header.metadata.type</v>
      </c>
    </row>
    <row r="70" spans="16:19" x14ac:dyDescent="0.75">
      <c r="P70" s="9">
        <v>56</v>
      </c>
      <c r="Q70" s="9">
        <f t="shared" si="6"/>
        <v>9</v>
      </c>
      <c r="R70" s="9">
        <f t="shared" si="7"/>
        <v>2</v>
      </c>
      <c r="S70" s="14" t="str" cm="1">
        <f t="array" ref="S70">INDEX('PS-ConceptMap-2'!$I$15:$N$272,Q70+1,R70)</f>
        <v>* group[=].element[=].display = ##34#A.1.8.1 Document type##34#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#LabReport.header.metadata.status</v>
      </c>
    </row>
    <row r="76" spans="16:19" x14ac:dyDescent="0.75">
      <c r="P76" s="9">
        <v>62</v>
      </c>
      <c r="Q76" s="9">
        <f t="shared" si="6"/>
        <v>10</v>
      </c>
      <c r="R76" s="9">
        <f t="shared" si="7"/>
        <v>2</v>
      </c>
      <c r="S76" s="14" t="str" cm="1">
        <f t="array" ref="S76">INDEX('PS-ConceptMap-2'!$I$15:$N$272,Q76+1,R76)</f>
        <v>* group[=].element[=].display = ##34#A.1.8.2 Document status##34#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INDEX('PS-ConceptMap-2'!$I$15:$N$272,Q81+1,R81)</f>
        <v>* group[=].element[+].code = #LabReport.header.metadata.dateTime</v>
      </c>
    </row>
    <row r="82" spans="16:19" x14ac:dyDescent="0.75">
      <c r="P82" s="9">
        <v>68</v>
      </c>
      <c r="Q82" s="9">
        <f t="shared" si="14"/>
        <v>11</v>
      </c>
      <c r="R82" s="9">
        <f t="shared" si="15"/>
        <v>2</v>
      </c>
      <c r="S82" s="14" t="str" cm="1">
        <f t="array" ref="S82">INDEX('PS-ConceptMap-2'!$I$15:$N$272,Q82+1,R82)</f>
        <v>* group[=].element[=].display = ##34#A.1.8.3 Report date and time##34#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#LabReport.header.metadata.title</v>
      </c>
    </row>
    <row r="88" spans="16:19" x14ac:dyDescent="0.75">
      <c r="P88" s="9">
        <v>74</v>
      </c>
      <c r="Q88" s="9">
        <f t="shared" si="14"/>
        <v>12</v>
      </c>
      <c r="R88" s="9">
        <f t="shared" si="15"/>
        <v>2</v>
      </c>
      <c r="S88" s="14" t="str" cm="1">
        <f t="array" ref="S88">INDEX('PS-ConceptMap-2'!$I$15:$N$272,Q88+1,R88)</f>
        <v>* group[=].element[=].display = ##34#A.1.8.4 Document title##34#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str" cm="1">
        <f t="array" ref="S93">INDEX('PS-ConceptMap-2'!$I$15:$N$272,Q93+1,R93)</f>
        <v>* group[=].element[+].code = #LabReport.header.metadata.studyType</v>
      </c>
    </row>
    <row r="94" spans="16:19" x14ac:dyDescent="0.75">
      <c r="P94" s="9">
        <v>80</v>
      </c>
      <c r="Q94" s="9">
        <f t="shared" si="14"/>
        <v>13</v>
      </c>
      <c r="R94" s="9">
        <f t="shared" si="15"/>
        <v>2</v>
      </c>
      <c r="S94" s="14" t="str" cm="1">
        <f t="array" ref="S94">INDEX('PS-ConceptMap-2'!$I$15:$N$272,Q94+1,R94)</f>
        <v>* group[=].element[=].display = ##34#A.1.8.5 Study type##34#</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str" cm="1">
        <f t="array" ref="S99">INDEX('PS-ConceptMap-2'!$I$15:$N$272,Q99+1,R99)</f>
        <v>* group[=].element[+].code = #LabReport.header.metadata.custodian</v>
      </c>
    </row>
    <row r="100" spans="16:19" x14ac:dyDescent="0.75">
      <c r="P100" s="9">
        <v>86</v>
      </c>
      <c r="Q100" s="9">
        <f t="shared" si="14"/>
        <v>14</v>
      </c>
      <c r="R100" s="9">
        <f t="shared" si="15"/>
        <v>2</v>
      </c>
      <c r="S100" s="14" t="str" cm="1">
        <f t="array" ref="S100">INDEX('PS-ConceptMap-2'!$I$15:$N$272,Q100+1,R100)</f>
        <v>* group[=].element[=].display = ##34#A.1.8.6 Report custodian##34#</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str" cm="1">
        <f t="array" ref="S105">INDEX('PS-ConceptMap-2'!$I$15:$N$272,Q105+1,R105)</f>
        <v>* group[=].element[+].code = #LabReport.header.metadata.confidentiality</v>
      </c>
    </row>
    <row r="106" spans="16:19" x14ac:dyDescent="0.75">
      <c r="P106" s="9">
        <v>92</v>
      </c>
      <c r="Q106" s="9">
        <f t="shared" si="14"/>
        <v>15</v>
      </c>
      <c r="R106" s="9">
        <f t="shared" si="15"/>
        <v>2</v>
      </c>
      <c r="S106" s="14" t="str" cm="1">
        <f t="array" ref="S106">INDEX('PS-ConceptMap-2'!$I$15:$N$272,Q106+1,R106)</f>
        <v>* group[=].element[=].display = ##34#A.1.8.7 Confidentiality##34#</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str" cm="1">
        <f t="array" ref="S111">INDEX('PS-ConceptMap-2'!$I$15:$N$272,Q111+1,R111)</f>
        <v>* group[=].element[+].code = #LabReport.header.metadata.language</v>
      </c>
    </row>
    <row r="112" spans="16:19" x14ac:dyDescent="0.75">
      <c r="P112" s="9">
        <v>98</v>
      </c>
      <c r="Q112" s="9">
        <f t="shared" si="14"/>
        <v>16</v>
      </c>
      <c r="R112" s="9">
        <f t="shared" si="15"/>
        <v>2</v>
      </c>
      <c r="S112" s="14" t="str" cm="1">
        <f t="array" ref="S112">INDEX('PS-ConceptMap-2'!$I$15:$N$272,Q112+1,R112)</f>
        <v>* group[=].element[=].display = ##34#A.1.8.8 Language##34#</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str" cm="1">
        <f t="array" ref="S117">INDEX('PS-ConceptMap-2'!$I$15:$N$272,Q117+1,R117)</f>
        <v>* group[=].element[+].code = #LabReport.header.metadata.version</v>
      </c>
    </row>
    <row r="118" spans="16:19" x14ac:dyDescent="0.75">
      <c r="P118" s="9">
        <v>104</v>
      </c>
      <c r="Q118" s="9">
        <f t="shared" si="14"/>
        <v>17</v>
      </c>
      <c r="R118" s="9">
        <f t="shared" si="15"/>
        <v>2</v>
      </c>
      <c r="S118" s="14" t="str" cm="1">
        <f t="array" ref="S118">INDEX('PS-ConceptMap-2'!$I$15:$N$272,Q118+1,R118)</f>
        <v>* group[=].element[=].display = ##34#A.1.8.9 Version##34#</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str" cm="1">
        <f t="array" ref="S123">INDEX('PS-ConceptMap-2'!$I$15:$N$272,Q123+1,R123)</f>
        <v>* group[=].element[+].code = #LabReport.order</v>
      </c>
    </row>
    <row r="124" spans="16:19" x14ac:dyDescent="0.75">
      <c r="P124" s="9">
        <v>110</v>
      </c>
      <c r="Q124" s="9">
        <f t="shared" si="14"/>
        <v>18</v>
      </c>
      <c r="R124" s="9">
        <f t="shared" si="15"/>
        <v>2</v>
      </c>
      <c r="S124" s="14" t="str" cm="1">
        <f t="array" ref="S124">INDEX('PS-ConceptMap-2'!$I$15:$N$272,Q124+1,R124)</f>
        <v>* group[=].element[=].display = ##34#A.2-A.3 Order##34#</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INDEX('PS-ConceptMap-2'!$I$15:$N$272,Q129+1,R129)</f>
        <v>* group[=].element[+].code = #LabReport.specimen</v>
      </c>
    </row>
    <row r="130" spans="16:19" x14ac:dyDescent="0.75">
      <c r="P130" s="9">
        <v>116</v>
      </c>
      <c r="Q130" s="9">
        <f t="shared" si="14"/>
        <v>19</v>
      </c>
      <c r="R130" s="9">
        <f t="shared" si="15"/>
        <v>2</v>
      </c>
      <c r="S130" s="14" t="str" cm="1">
        <f t="array" ref="S130">INDEX('PS-ConceptMap-2'!$I$15:$N$272,Q130+1,R130)</f>
        <v>* group[=].element[=].display = ##34#A.4 Specimen information##34#</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str" cm="1">
        <f t="array" ref="S135">INDEX('PS-ConceptMap-2'!$I$15:$N$272,Q135+1,R135)</f>
        <v>* group[=].element[+].code = #LabReport.result</v>
      </c>
    </row>
    <row r="136" spans="16:19" x14ac:dyDescent="0.75">
      <c r="P136" s="9">
        <v>122</v>
      </c>
      <c r="Q136" s="9">
        <f t="shared" si="14"/>
        <v>20</v>
      </c>
      <c r="R136" s="9">
        <f t="shared" si="15"/>
        <v>2</v>
      </c>
      <c r="S136" s="14" t="str" cm="1">
        <f t="array" ref="S136">INDEX('PS-ConceptMap-2'!$I$15:$N$272,Q136+1,R136)</f>
        <v>* group[=].element[=].display = ##34#A.5 Results data elements##34#</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#LabReport.specimen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#LabReport.result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xr:uid="{C45E566D-E06A-4329-88C7-EEB6948E5590}"/>
    <hyperlink ref="E4" r:id="rId2" display="http://hl7.eu/fhir/laboratory/StructureDefinition/Bundle-eu-lab" xr:uid="{3ECB2FB9-61D2-4922-A1DB-E0191819688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562</v>
      </c>
    </row>
    <row r="3" spans="2:7" x14ac:dyDescent="0.75">
      <c r="B3" s="33" t="s">
        <v>37</v>
      </c>
    </row>
    <row r="4" spans="2:7" x14ac:dyDescent="0.75">
      <c r="B4" s="74" t="str">
        <f>"Instance: "&amp;'PS-ConceptMap-1'!C4</f>
        <v>Instance: labRpt2FHIR-eu-ps</v>
      </c>
    </row>
    <row r="5" spans="2:7" x14ac:dyDescent="0.75">
      <c r="B5" s="74" t="s">
        <v>541</v>
      </c>
    </row>
    <row r="6" spans="2:7" x14ac:dyDescent="0.75">
      <c r="B6" s="74" t="s">
        <v>542</v>
      </c>
    </row>
    <row r="7" spans="2:7" x14ac:dyDescent="0.75">
      <c r="B7" s="74" t="s">
        <v>552</v>
      </c>
    </row>
    <row r="8" spans="2:7" x14ac:dyDescent="0.75">
      <c r="B8" s="74" t="str">
        <f>"* name = ##34#"&amp;'PS-ConceptMap-1'!C3&amp;"##34#"</f>
        <v>* name = ##34#LabRpt2FHIR##34#</v>
      </c>
    </row>
    <row r="9" spans="2:7" x14ac:dyDescent="0.75">
      <c r="B9" s="74" t="str">
        <f>"* title = ##34#"&amp;'PS-ConceptMap-1'!C5&amp;"##34#"</f>
        <v>* title = ##34#eHN Lab Report to this guide Map##34#</v>
      </c>
    </row>
    <row r="10" spans="2:7" x14ac:dyDescent="0.75">
      <c r="B10" s="74" t="s">
        <v>543</v>
      </c>
    </row>
    <row r="11" spans="2:7" x14ac:dyDescent="0.75">
      <c r="B11" s="74" t="s">
        <v>544</v>
      </c>
    </row>
    <row r="12" spans="2:7" x14ac:dyDescent="0.75">
      <c r="B12" s="74" t="str">
        <f>"* description = ##34#"&amp;'PS-ConceptMap-1'!C8&amp;"##34#"</f>
        <v>* description = ##34#eHN Lab Report to this guide Map##34#</v>
      </c>
    </row>
    <row r="13" spans="2:7" x14ac:dyDescent="0.75">
      <c r="B13" s="74" t="str">
        <f>"* purpose = ##34#"&amp;'PS-ConceptMap-1'!C9&amp;"##34#"</f>
        <v>* purpose = ##34#It shows how the Patient Summary data set defined by the EU eHN guidelines is mapped into this guide##34#</v>
      </c>
    </row>
    <row r="14" spans="2:7" x14ac:dyDescent="0.75">
      <c r="B14" s="75" t="str">
        <f>"* sourceUri = ##34#"&amp;'PS-ConceptMap-1'!E3&amp;"##34#"</f>
        <v>* sourceUri = ##34#http://hl7.eu/fhir/laboratory/StructureDefinition/LabReport##34#</v>
      </c>
    </row>
    <row r="15" spans="2:7" x14ac:dyDescent="0.75">
      <c r="B15" s="75" t="str">
        <f>"* targetUri = ##34#"&amp;'PS-ConceptMap-1'!E4&amp;"##34#"</f>
        <v>* targetUri = ##34#http://hl7.eu/fhir/laboratory/StructureDefinition/Bundle-eu-ps##34#</v>
      </c>
    </row>
    <row r="16" spans="2:7" x14ac:dyDescent="0.75">
      <c r="B16" s="74"/>
    </row>
    <row r="17" spans="2:7" x14ac:dyDescent="0.75">
      <c r="B17" s="76" t="str">
        <f>"* group[+].source = ##34#"&amp;'PS-ConceptMap-1'!E6&amp;"##34#"</f>
        <v>* group[+].source = ##34#http://hl7.eu/fhir/laboratory/StructureDefinition/LabReport##34#</v>
      </c>
    </row>
    <row r="18" spans="2:7" x14ac:dyDescent="0.75">
      <c r="B18" s="76" t="str">
        <f>"* group[=].target = ##34#"&amp;'PS-ConceptMap-1'!E7&amp;"##34#"</f>
        <v>* group[=].target = ##34#http://hl7.eu/fhir/laboratory/StructureDefinition/DiagnosticReport-eu-ps##34#</v>
      </c>
    </row>
    <row r="19" spans="2:7" x14ac:dyDescent="0.75">
      <c r="B19" s="78"/>
    </row>
    <row r="20" spans="2:7" x14ac:dyDescent="0.75">
      <c r="B20" s="14" t="str">
        <f>IF('PS-ConceptMap-1'!S15=0,"//---END",'PS-ConceptMap-1'!S15)</f>
        <v>* group[=].element[+].code = #LabReport.header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#DiagnosticReport</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#LabReport.header.subject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#DiagnosticReport.subject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#LabReport.header.payer</v>
      </c>
    </row>
    <row r="33" spans="2:2" x14ac:dyDescent="0.75">
      <c r="B33" s="14" t="str">
        <f>IF('PS-ConceptMap-1'!S28=0,"//---END",'PS-ConceptMap-1'!S28)</f>
        <v>* group[=].element[=].display = ##34#A.1.3 Health insurance and payment information##34#</v>
      </c>
    </row>
    <row r="34" spans="2:2" x14ac:dyDescent="0.75">
      <c r="B34" s="14" t="str">
        <f>IF('PS-ConceptMap-1'!S29=0,"//---END",'PS-ConceptMap-1'!S29)</f>
        <v>* group[=].element[=].target.code = #DiagnosticReport.basedOn.insurance</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##34#basedOn.resolve().ofType(ServiceRequest).insurance.resolve().ofType(Coverage)##34#</v>
      </c>
    </row>
    <row r="38" spans="2:2" x14ac:dyDescent="0.75">
      <c r="B38" s="14" t="str">
        <f>IF('PS-ConceptMap-1'!S33=0,"//---END",'PS-ConceptMap-1'!S33)</f>
        <v>* group[=].element[+].code = #LabReport.header.informationRecipient</v>
      </c>
    </row>
    <row r="39" spans="2:2" x14ac:dyDescent="0.75">
      <c r="B39" s="14" t="str">
        <f>IF('PS-ConceptMap-1'!S34=0,"//---END",'PS-ConceptMap-1'!S34)</f>
        <v>* group[=].element[=].display = ##34#A.1.4 Information recipient##34#</v>
      </c>
    </row>
    <row r="40" spans="2:2" x14ac:dyDescent="0.75">
      <c r="B40" s="14" t="str">
        <f>IF('PS-ConceptMap-1'!S35=0,"//---END",'PS-ConceptMap-1'!S35)</f>
        <v>* group[=].element[=].target.code = #DiagnosticReport.extension:information-recipient</v>
      </c>
    </row>
    <row r="41" spans="2:2" x14ac:dyDescent="0.75">
      <c r="B41" s="14" t="str">
        <f>IF('PS-ConceptMap-1'!S36=0,"//---END",'PS-ConceptMap-1'!S36)</f>
        <v>* group[=].element[=].target.display = ##34###34#</v>
      </c>
    </row>
    <row r="42" spans="2:2" x14ac:dyDescent="0.75">
      <c r="B42" s="14" t="str">
        <f>IF('PS-ConceptMap-1'!S37=0,"//---END",'PS-ConceptMap-1'!S37)</f>
        <v>* group[=].element[=].target.equivalence = #equivalent</v>
      </c>
    </row>
    <row r="43" spans="2:2" x14ac:dyDescent="0.75">
      <c r="B43" s="14" t="str">
        <f>IF('PS-ConceptMap-1'!S38=0,"//---END",'PS-ConceptMap-1'!S38)</f>
        <v/>
      </c>
    </row>
    <row r="44" spans="2:2" x14ac:dyDescent="0.75">
      <c r="B44" s="14" t="str">
        <f>IF('PS-ConceptMap-1'!S39=0,"//---END",'PS-ConceptMap-1'!S39)</f>
        <v>* group[=].element[+].code = #LabReport.header.author</v>
      </c>
    </row>
    <row r="45" spans="2:2" x14ac:dyDescent="0.75">
      <c r="B45" s="14" t="str">
        <f>IF('PS-ConceptMap-1'!S40=0,"//---END",'PS-ConceptMap-1'!S40)</f>
        <v>* group[=].element[=].display = ##34#A.1.5 Author##34#</v>
      </c>
    </row>
    <row r="46" spans="2:2" x14ac:dyDescent="0.75">
      <c r="B46" s="14" t="str">
        <f>IF('PS-ConceptMap-1'!S41=0,"//---END",'PS-ConceptMap-1'!S41)</f>
        <v>* group[=].element[=].target.code = #DiagnosticReport.resultsInterpreter</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group[=].element[=].target.comment = ##34#If the author is the interpreter##34#</v>
      </c>
    </row>
    <row r="50" spans="2:2" x14ac:dyDescent="0.75">
      <c r="B50" s="14" t="str">
        <f>IF('PS-ConceptMap-1'!S45=0,"//---END",'PS-ConceptMap-1'!S45)</f>
        <v>* group[=].element[+].code = #LabReport.header.author</v>
      </c>
    </row>
    <row r="51" spans="2:2" x14ac:dyDescent="0.75">
      <c r="B51" s="14" t="str">
        <f>IF('PS-ConceptMap-1'!S46=0,"//---END",'PS-ConceptMap-1'!S46)</f>
        <v>* group[=].element[=].display = ##34#A.1.5 Author##34#</v>
      </c>
    </row>
    <row r="52" spans="2:2" x14ac:dyDescent="0.75">
      <c r="B52" s="14" t="str">
        <f>IF('PS-ConceptMap-1'!S47=0,"//---END",'PS-ConceptMap-1'!S47)</f>
        <v>* group[=].element[=].target.code = #DiagnosticReport.performer</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##34#If the author is the perfomer##34#</v>
      </c>
    </row>
    <row r="56" spans="2:2" x14ac:dyDescent="0.75">
      <c r="B56" s="14" t="str">
        <f>IF('PS-ConceptMap-1'!S51=0,"//---END",'PS-ConceptMap-1'!S51)</f>
        <v>* group[=].element[+].code = #LabReport.header.legalAuthenticator</v>
      </c>
    </row>
    <row r="57" spans="2:2" x14ac:dyDescent="0.75">
      <c r="B57" s="14" t="str">
        <f>IF('PS-ConceptMap-1'!S52=0,"//---END",'PS-ConceptMap-1'!S52)</f>
        <v>* group[=].element[=].display = ##34#A.1.6 Legal authenticator##34#</v>
      </c>
    </row>
    <row r="58" spans="2:2" x14ac:dyDescent="0.75">
      <c r="B58" s="14" t="str">
        <f>IF('PS-ConceptMap-1'!S53=0,"//---END",'PS-ConceptMap-1'!S53)</f>
        <v>//-- unmatched</v>
      </c>
    </row>
    <row r="59" spans="2:2" x14ac:dyDescent="0.75">
      <c r="B59" s="14" t="str">
        <f>IF('PS-ConceptMap-1'!S54=0,"//---END",'PS-ConceptMap-1'!S54)</f>
        <v>//-- unmatched</v>
      </c>
    </row>
    <row r="60" spans="2:2" x14ac:dyDescent="0.75">
      <c r="B60" s="14" t="str">
        <f>IF('PS-ConceptMap-1'!S55=0,"//---END",'PS-ConceptMap-1'!S55)</f>
        <v>* group[=].element[=].target.equivalence = #unmatched</v>
      </c>
    </row>
    <row r="61" spans="2:2" x14ac:dyDescent="0.75">
      <c r="B61" s="14" t="str">
        <f>IF('PS-ConceptMap-1'!S56=0,"//---END",'PS-ConceptMap-1'!S56)</f>
        <v>* group[=].element[=].target.comment = ##34#Mapped in the Composition resource##34#</v>
      </c>
    </row>
    <row r="62" spans="2:2" x14ac:dyDescent="0.75">
      <c r="B62" s="14" t="str">
        <f>IF('PS-ConceptMap-1'!S57=0,"//---END",'PS-ConceptMap-1'!S57)</f>
        <v>* group[=].element[+].code = #LabReport.header.validator</v>
      </c>
    </row>
    <row r="63" spans="2:2" x14ac:dyDescent="0.75">
      <c r="B63" s="14" t="str">
        <f>IF('PS-ConceptMap-1'!S58=0,"//---END",'PS-ConceptMap-1'!S58)</f>
        <v>* group[=].element[=].display = ##34#A.1.7 Result validator##34#</v>
      </c>
    </row>
    <row r="64" spans="2:2" x14ac:dyDescent="0.75">
      <c r="B64" s="14" t="str">
        <f>IF('PS-ConceptMap-1'!S59=0,"//---END",'PS-ConceptMap-1'!S59)</f>
        <v>//-- unmatched</v>
      </c>
    </row>
    <row r="65" spans="2:4" x14ac:dyDescent="0.75">
      <c r="B65" s="14" t="str">
        <f>IF('PS-ConceptMap-1'!S60=0,"//---END",'PS-ConceptMap-1'!S60)</f>
        <v>//-- unmatched</v>
      </c>
    </row>
    <row r="66" spans="2:4" x14ac:dyDescent="0.75">
      <c r="B66" s="14" t="str">
        <f>IF('PS-ConceptMap-1'!S61=0,"//---END",'PS-ConceptMap-1'!S61)</f>
        <v>* group[=].element[=].target.equivalence = #unmatched</v>
      </c>
    </row>
    <row r="67" spans="2:4" x14ac:dyDescent="0.75">
      <c r="B67" s="14" t="str">
        <f>IF('PS-ConceptMap-1'!S62=0,"//---END",'PS-ConceptMap-1'!S62)</f>
        <v>* group[=].element[=].target.comment = ##34#Mapped in the Composition resource##34#</v>
      </c>
    </row>
    <row r="68" spans="2:4" x14ac:dyDescent="0.75">
      <c r="B68" s="14" t="str">
        <f>IF('PS-ConceptMap-1'!S63=0,"//---END",'PS-ConceptMap-1'!S63)</f>
        <v>* group[=].element[+].code = #LabReport.header.metadata</v>
      </c>
    </row>
    <row r="69" spans="2:4" x14ac:dyDescent="0.75">
      <c r="B69" s="14" t="str">
        <f>IF('PS-ConceptMap-1'!S64=0,"//---END",'PS-ConceptMap-1'!S64)</f>
        <v>* group[=].element[=].display = ##34#A.1.8 Patient Summary metadata##34#</v>
      </c>
    </row>
    <row r="70" spans="2:4" x14ac:dyDescent="0.75">
      <c r="B70" s="14" t="str">
        <f>IF('PS-ConceptMap-1'!S65=0,"//---END",'PS-ConceptMap-1'!S65)</f>
        <v>* group[=].element[=].target.code = #DiagnosticReport</v>
      </c>
      <c r="D70" s="73"/>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x14ac:dyDescent="0.75">
      <c r="B73" s="14" t="str">
        <f>IF('PS-ConceptMap-1'!S68=0,"//---END",'PS-ConceptMap-1'!S68)</f>
        <v/>
      </c>
    </row>
    <row r="74" spans="2:4" x14ac:dyDescent="0.75">
      <c r="B74" s="14" t="str">
        <f>IF('PS-ConceptMap-1'!S69=0,"//---END",'PS-ConceptMap-1'!S69)</f>
        <v>* group[=].element[+].code = #LabReport.header.metadata.documentId</v>
      </c>
    </row>
    <row r="75" spans="2:4" x14ac:dyDescent="0.75">
      <c r="B75" s="14" t="str">
        <f>IF('PS-ConceptMap-1'!S70=0,"//---END",'PS-ConceptMap-1'!S70)</f>
        <v>* group[=].element[=].display = ##34#A.1.8.0 Document Id##34#</v>
      </c>
    </row>
    <row r="76" spans="2:4" x14ac:dyDescent="0.75">
      <c r="B76" s="14" t="str">
        <f>IF('PS-ConceptMap-1'!S71=0,"//---END",'PS-ConceptMap-1'!S71)</f>
        <v>* group[=].element[=].target.code = #DiagnosticReport.identifier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ht="29.5" x14ac:dyDescent="0.75">
      <c r="B79" s="14" t="str">
        <f>IF('PS-ConceptMap-1'!S74=0,"//---END",'PS-ConceptMap-1'!S74)</f>
        <v>* group[=].element[=].target.comment = ##34#If it is the identifier of the report indipendently by its version. Otherwise you should refer to the Bundle.indentifier##34#</v>
      </c>
    </row>
    <row r="80" spans="2:4" x14ac:dyDescent="0.75">
      <c r="B80" s="14" t="str">
        <f>IF('PS-ConceptMap-1'!S75=0,"//---END",'PS-ConceptMap-1'!S75)</f>
        <v>* group[=].element[+].code = #LabReport.header.metadata.type</v>
      </c>
    </row>
    <row r="81" spans="2:2" x14ac:dyDescent="0.75">
      <c r="B81" s="14" t="str">
        <f>IF('PS-ConceptMap-1'!S76=0,"//---END",'PS-ConceptMap-1'!S76)</f>
        <v>* group[=].element[=].display = ##34#A.1.8.1 Document type##34#</v>
      </c>
    </row>
    <row r="82" spans="2:2" x14ac:dyDescent="0.75">
      <c r="B82" s="14" t="str">
        <f>IF('PS-ConceptMap-1'!S77=0,"//---END",'PS-ConceptMap-1'!S77)</f>
        <v>* group[=].element[=].target.code = #DiagnosticReport.code</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c>
    </row>
    <row r="86" spans="2:2" x14ac:dyDescent="0.75">
      <c r="B86" s="14" t="str">
        <f>IF('PS-ConceptMap-1'!S81=0,"//---END",'PS-ConceptMap-1'!S81)</f>
        <v>* group[=].element[+].code = #LabReport.header.metadata.status</v>
      </c>
    </row>
    <row r="87" spans="2:2" x14ac:dyDescent="0.75">
      <c r="B87" s="14" t="str">
        <f>IF('PS-ConceptMap-1'!S82=0,"//---END",'PS-ConceptMap-1'!S82)</f>
        <v>* group[=].element[=].display = ##34#A.1.8.2 Document status##34#</v>
      </c>
    </row>
    <row r="88" spans="2:2" x14ac:dyDescent="0.75">
      <c r="B88" s="14" t="str">
        <f>IF('PS-ConceptMap-1'!S83=0,"//---END",'PS-ConceptMap-1'!S83)</f>
        <v>* group[=].element[=].target.code = #DiagnosticReport.status</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##34#For FHIR R4 the more granular status is recorded in the DiagnosticReport.status##34#</v>
      </c>
    </row>
    <row r="92" spans="2:2" x14ac:dyDescent="0.75">
      <c r="B92" s="14" t="str">
        <f>IF('PS-ConceptMap-1'!S87=0,"//---END",'PS-ConceptMap-1'!S87)</f>
        <v>* group[=].element[+].code = #LabReport.header.metadata.dateTime</v>
      </c>
    </row>
    <row r="93" spans="2:2" x14ac:dyDescent="0.75">
      <c r="B93" s="14" t="str">
        <f>IF('PS-ConceptMap-1'!S88=0,"//---END",'PS-ConceptMap-1'!S88)</f>
        <v>* group[=].element[=].display = ##34#A.1.8.3 Report date and time##34#</v>
      </c>
    </row>
    <row r="94" spans="2:2" x14ac:dyDescent="0.75">
      <c r="B94" s="14" t="str">
        <f>IF('PS-ConceptMap-1'!S89=0,"//---END",'PS-ConceptMap-1'!S89)</f>
        <v>* group[=].element[=].target.code = #DiagnosticReport.effectiveDateTime</v>
      </c>
    </row>
    <row r="95" spans="2:2" x14ac:dyDescent="0.75">
      <c r="B95" s="14" t="str">
        <f>IF('PS-ConceptMap-1'!S90=0,"//---END",'PS-ConceptMap-1'!S90)</f>
        <v>* group[=].element[=].target.display = ##34###34#</v>
      </c>
    </row>
    <row r="96" spans="2:2" x14ac:dyDescent="0.75">
      <c r="B96" s="14" t="str">
        <f>IF('PS-ConceptMap-1'!S91=0,"//---END",'PS-ConceptMap-1'!S91)</f>
        <v>* group[=].element[=].target.equivalence = #equivalent</v>
      </c>
    </row>
    <row r="97" spans="2:2" x14ac:dyDescent="0.75">
      <c r="B97" s="14" t="str">
        <f>IF('PS-ConceptMap-1'!S92=0,"//---END",'PS-ConceptMap-1'!S92)</f>
        <v/>
      </c>
    </row>
    <row r="98" spans="2:2" x14ac:dyDescent="0.75">
      <c r="B98" s="14" t="str">
        <f>IF('PS-ConceptMap-1'!S93=0,"//---END",'PS-ConceptMap-1'!S93)</f>
        <v>* group[=].element[+].code = #LabReport.header.metadata.title</v>
      </c>
    </row>
    <row r="99" spans="2:2" x14ac:dyDescent="0.75">
      <c r="B99" s="14" t="str">
        <f>IF('PS-ConceptMap-1'!S94=0,"//---END",'PS-ConceptMap-1'!S94)</f>
        <v>* group[=].element[=].display = ##34#A.1.8.4 Document title##34#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##34#Mapped in the Composition resource##34#</v>
      </c>
    </row>
    <row r="104" spans="2:2" x14ac:dyDescent="0.75">
      <c r="B104" s="14" t="str">
        <f>IF('PS-ConceptMap-1'!S99=0,"//---END",'PS-ConceptMap-1'!S99)</f>
        <v>* group[=].element[+].code = #LabReport.header.metadata.studyType</v>
      </c>
    </row>
    <row r="105" spans="2:2" x14ac:dyDescent="0.75">
      <c r="B105" s="14" t="str">
        <f>IF('PS-ConceptMap-1'!S100=0,"//---END",'PS-ConceptMap-1'!S100)</f>
        <v>* group[=].element[=].display = ##34#A.1.8.5 Study type##34#</v>
      </c>
    </row>
    <row r="106" spans="2:2" x14ac:dyDescent="0.75">
      <c r="B106" s="14" t="str">
        <f>IF('PS-ConceptMap-1'!S101=0,"//---END",'PS-ConceptMap-1'!S101)</f>
        <v>* group[=].element[=].target.code = #DiagnosticReport.category</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#LabReport.header.metadata.custodian</v>
      </c>
    </row>
    <row r="111" spans="2:2" x14ac:dyDescent="0.75">
      <c r="B111" s="14" t="str">
        <f>IF('PS-ConceptMap-1'!S106=0,"//---END",'PS-ConceptMap-1'!S106)</f>
        <v>* group[=].element[=].display = ##34#A.1.8.6 Report custodian##34#</v>
      </c>
    </row>
    <row r="112" spans="2:2" x14ac:dyDescent="0.75">
      <c r="B112" s="14" t="str">
        <f>IF('PS-ConceptMap-1'!S107=0,"//---END",'PS-ConceptMap-1'!S107)</f>
        <v>//-- unmatched</v>
      </c>
    </row>
    <row r="113" spans="2:2" x14ac:dyDescent="0.75">
      <c r="B113" s="14" t="str">
        <f>IF('PS-ConceptMap-1'!S108=0,"//---END",'PS-ConceptMap-1'!S108)</f>
        <v>//-- unmatched</v>
      </c>
    </row>
    <row r="114" spans="2:2" x14ac:dyDescent="0.75">
      <c r="B114" s="14" t="str">
        <f>IF('PS-ConceptMap-1'!S109=0,"//---END",'PS-ConceptMap-1'!S109)</f>
        <v>* group[=].element[=].target.equivalence = #unmatched</v>
      </c>
    </row>
    <row r="115" spans="2:2" x14ac:dyDescent="0.75">
      <c r="B115" s="14" t="str">
        <f>IF('PS-ConceptMap-1'!S110=0,"//---END",'PS-ConceptMap-1'!S110)</f>
        <v>* group[=].element[=].target.comment = ##34#Mapped in the Composition resource##34#</v>
      </c>
    </row>
    <row r="116" spans="2:2" x14ac:dyDescent="0.75">
      <c r="B116" s="14" t="str">
        <f>IF('PS-ConceptMap-1'!S111=0,"//---END",'PS-ConceptMap-1'!S111)</f>
        <v>* group[=].element[+].code = #LabReport.header.metadata.confidentiality</v>
      </c>
    </row>
    <row r="117" spans="2:2" x14ac:dyDescent="0.75">
      <c r="B117" s="14" t="str">
        <f>IF('PS-ConceptMap-1'!S112=0,"//---END",'PS-ConceptMap-1'!S112)</f>
        <v>* group[=].element[=].display = ##34#A.1.8.7 Confidentiality##34#</v>
      </c>
    </row>
    <row r="118" spans="2:2" x14ac:dyDescent="0.75">
      <c r="B118" s="14" t="str">
        <f>IF('PS-ConceptMap-1'!S113=0,"//---END",'PS-ConceptMap-1'!S113)</f>
        <v>//-- unmatched</v>
      </c>
    </row>
    <row r="119" spans="2:2" x14ac:dyDescent="0.75">
      <c r="B119" s="14" t="str">
        <f>IF('PS-ConceptMap-1'!S114=0,"//---END",'PS-ConceptMap-1'!S114)</f>
        <v>//-- unmatched</v>
      </c>
    </row>
    <row r="120" spans="2:2" x14ac:dyDescent="0.75">
      <c r="B120" s="14" t="str">
        <f>IF('PS-ConceptMap-1'!S115=0,"//---END",'PS-ConceptMap-1'!S115)</f>
        <v>* group[=].element[=].target.equivalence = #unmatched</v>
      </c>
    </row>
    <row r="121" spans="2:2" x14ac:dyDescent="0.75">
      <c r="B121" s="14" t="str">
        <f>IF('PS-ConceptMap-1'!S116=0,"//---END",'PS-ConceptMap-1'!S116)</f>
        <v>* group[=].element[=].target.comment = ##34#Mapped in the Composition resource##34#</v>
      </c>
    </row>
    <row r="122" spans="2:2" x14ac:dyDescent="0.75">
      <c r="B122" s="14" t="str">
        <f>IF('PS-ConceptMap-1'!S117=0,"//---END",'PS-ConceptMap-1'!S117)</f>
        <v>* group[=].element[+].code = #LabReport.header.metadata.language</v>
      </c>
    </row>
    <row r="123" spans="2:2" x14ac:dyDescent="0.75">
      <c r="B123" s="14" t="str">
        <f>IF('PS-ConceptMap-1'!S118=0,"//---END",'PS-ConceptMap-1'!S118)</f>
        <v>* group[=].element[=].display = ##34#A.1.8.8 Language##34#</v>
      </c>
    </row>
    <row r="124" spans="2:2" x14ac:dyDescent="0.75">
      <c r="B124" s="14" t="str">
        <f>IF('PS-ConceptMap-1'!S119=0,"//---END",'PS-ConceptMap-1'!S119)</f>
        <v>* group[=].element[=].target.code = #DiagnosticReport.language</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#LabReport.header.metadata.version</v>
      </c>
    </row>
    <row r="129" spans="2:2" x14ac:dyDescent="0.75">
      <c r="B129" s="14" t="str">
        <f>IF('PS-ConceptMap-1'!S124=0,"//---END",'PS-ConceptMap-1'!S124)</f>
        <v>* group[=].element[=].display = ##34#A.1.8.9 Version##34#</v>
      </c>
    </row>
    <row r="130" spans="2:2" x14ac:dyDescent="0.75">
      <c r="B130" s="14" t="str">
        <f>IF('PS-ConceptMap-1'!S125=0,"//---END",'PS-ConceptMap-1'!S125)</f>
        <v>//-- unmatched</v>
      </c>
    </row>
    <row r="131" spans="2:2" x14ac:dyDescent="0.75">
      <c r="B131" s="14" t="str">
        <f>IF('PS-ConceptMap-1'!S126=0,"//---END",'PS-ConceptMap-1'!S126)</f>
        <v>//-- unmatched</v>
      </c>
    </row>
    <row r="132" spans="2:2" x14ac:dyDescent="0.75">
      <c r="B132" s="14" t="str">
        <f>IF('PS-ConceptMap-1'!S127=0,"//---END",'PS-ConceptMap-1'!S127)</f>
        <v>* group[=].element[=].target.equivalence = #unmatched</v>
      </c>
    </row>
    <row r="133" spans="2:2" x14ac:dyDescent="0.75">
      <c r="B133" s="14" t="str">
        <f>IF('PS-ConceptMap-1'!S128=0,"//---END",'PS-ConceptMap-1'!S128)</f>
        <v>* group[=].element[=].target.comment = ##34#Mapped in the Composition resource if it refers to the business report version##34#</v>
      </c>
    </row>
    <row r="134" spans="2:2" x14ac:dyDescent="0.75">
      <c r="B134" s="14" t="str">
        <f>IF('PS-ConceptMap-1'!S129=0,"//---END",'PS-ConceptMap-1'!S129)</f>
        <v>* group[=].element[+].code = #LabReport.order</v>
      </c>
    </row>
    <row r="135" spans="2:2" x14ac:dyDescent="0.75">
      <c r="B135" s="14" t="str">
        <f>IF('PS-ConceptMap-1'!S130=0,"//---END",'PS-ConceptMap-1'!S130)</f>
        <v>* group[=].element[=].display = ##34#A.2-A.3 Order##34#</v>
      </c>
    </row>
    <row r="136" spans="2:2" x14ac:dyDescent="0.75">
      <c r="B136" s="14" t="str">
        <f>IF('PS-ConceptMap-1'!S131=0,"//---END",'PS-ConceptMap-1'!S131)</f>
        <v>* group[=].element[=].target.code = #DiagnosticReport.basedOn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##34#basedOn.resolve().ofType(ServiceRequest)##34#</v>
      </c>
    </row>
    <row r="140" spans="2:2" x14ac:dyDescent="0.75">
      <c r="B140" s="14" t="str">
        <f>IF('PS-ConceptMap-1'!S135=0,"//---END",'PS-ConceptMap-1'!S135)</f>
        <v>* group[=].element[+].code = #LabReport.specimen</v>
      </c>
    </row>
    <row r="141" spans="2:2" x14ac:dyDescent="0.75">
      <c r="B141" s="14" t="str">
        <f>IF('PS-ConceptMap-1'!S136=0,"//---END",'PS-ConceptMap-1'!S136)</f>
        <v>* group[=].element[=].display = ##34#A.4 Specimen information##34#</v>
      </c>
    </row>
    <row r="142" spans="2:2" x14ac:dyDescent="0.75">
      <c r="B142" s="14" t="str">
        <f>IF('PS-ConceptMap-1'!S137=0,"//---END",'PS-ConceptMap-1'!S137)</f>
        <v>* group[=].element[=].target.code = #DiagnosticReport.specimen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#LabReport.result</v>
      </c>
    </row>
    <row r="147" spans="2:2" x14ac:dyDescent="0.75">
      <c r="B147" s="14" t="str">
        <f>IF('PS-ConceptMap-1'!S142=0,"//---END",'PS-ConceptMap-1'!S142)</f>
        <v>* group[=].element[=].display = ##34#A.5 Results data elements##34#</v>
      </c>
    </row>
    <row r="148" spans="2:2" x14ac:dyDescent="0.75">
      <c r="B148" s="14" t="str">
        <f>IF('PS-ConceptMap-1'!S143=0,"//---END",'PS-ConceptMap-1'!S143)</f>
        <v>* group[=].element[=].target.code = #DiagnosticReport.result</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#LabReport.specimen</v>
      </c>
    </row>
    <row r="153" spans="2:2" x14ac:dyDescent="0.75">
      <c r="B153" s="14" t="str">
        <f>IF('PS-ConceptMap-1'!S148=0,"//---END",'PS-ConceptMap-1'!S148)</f>
        <v>* group[=].element[=].display = ##34#A.4 Specimen information##34#</v>
      </c>
    </row>
    <row r="154" spans="2:2" x14ac:dyDescent="0.75">
      <c r="B154" s="14" t="str">
        <f>IF('PS-ConceptMap-1'!S149=0,"//---END",'PS-ConceptMap-1'!S149)</f>
        <v>* group[=].element[=].target.code = #DiagnosticReport.result.specimen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group[=].element[=].target.comment = ##34#result.resolve().ofType(Observation)##34#</v>
      </c>
    </row>
    <row r="158" spans="2:2" x14ac:dyDescent="0.75">
      <c r="B158" s="14" t="str">
        <f>IF('PS-ConceptMap-1'!S153=0,"//---END",'PS-ConceptMap-1'!S153)</f>
        <v>//---END</v>
      </c>
    </row>
    <row r="159" spans="2:2" x14ac:dyDescent="0.75">
      <c r="B159" s="14" t="str">
        <f>IF('PS-ConceptMap-1'!S154=0,"//---END",'PS-ConceptMap-1'!S154)</f>
        <v>//---END</v>
      </c>
    </row>
    <row r="160" spans="2:2" x14ac:dyDescent="0.75">
      <c r="B160" s="14" t="str">
        <f>IF('PS-ConceptMap-1'!S155=0,"//---END",'PS-ConceptMap-1'!S155)</f>
        <v>//---END</v>
      </c>
    </row>
    <row r="161" spans="2:2" x14ac:dyDescent="0.75">
      <c r="B161" s="14" t="str">
        <f>IF('PS-ConceptMap-1'!S156=0,"//---END",'PS-ConceptMap-1'!S156)</f>
        <v>//---END</v>
      </c>
    </row>
    <row r="162" spans="2:2" x14ac:dyDescent="0.75">
      <c r="B162" s="14" t="str">
        <f>IF('PS-ConceptMap-1'!S157=0,"//---END",'PS-ConceptMap-1'!S157)</f>
        <v>//---END</v>
      </c>
    </row>
    <row r="163" spans="2:2" x14ac:dyDescent="0.75">
      <c r="B163" s="14" t="str">
        <f>IF('PS-ConceptMap-1'!S158=0,"//---END",'PS-ConceptMap-1'!S158)</f>
        <v>//---END</v>
      </c>
    </row>
    <row r="164" spans="2:2" x14ac:dyDescent="0.75">
      <c r="B164" s="14" t="str">
        <f>IF('PS-ConceptMap-1'!S159=0,"//---END",'PS-ConceptMap-1'!S159)</f>
        <v>//---END</v>
      </c>
    </row>
    <row r="165" spans="2:2" x14ac:dyDescent="0.75">
      <c r="B165" s="14" t="str">
        <f>IF('PS-ConceptMap-1'!S160=0,"//---END",'PS-ConceptMap-1'!S160)</f>
        <v>//---END</v>
      </c>
    </row>
    <row r="166" spans="2:2" x14ac:dyDescent="0.75">
      <c r="B166" s="14" t="str">
        <f>IF('PS-ConceptMap-1'!S161=0,"//---END",'PS-ConceptMap-1'!S161)</f>
        <v>//---END</v>
      </c>
    </row>
    <row r="167" spans="2:2" x14ac:dyDescent="0.75">
      <c r="B167" s="14" t="str">
        <f>IF('PS-ConceptMap-1'!S162=0,"//---END",'PS-ConceptMap-1'!S162)</f>
        <v>//---END</v>
      </c>
    </row>
    <row r="170" spans="2:2" x14ac:dyDescent="0.75">
      <c r="B170" s="74"/>
    </row>
    <row r="171" spans="2:2" x14ac:dyDescent="0.75">
      <c r="B171" s="76" t="str">
        <f>"* group[+].source = ##34#"&amp;'PS-ConceptMap-2'!E6&amp;"##34#"</f>
        <v>* group[+].source = ##34#http://hl7.eu/fhir/laboratory/StructureDefinition/LabReport##34#</v>
      </c>
    </row>
    <row r="172" spans="2:2" x14ac:dyDescent="0.75">
      <c r="B172" s="76" t="str">
        <f>"* group[=].target = ##34#"&amp;'PS-ConceptMap-2'!E7&amp;"##34#"</f>
        <v>* group[=].target = ##34#http://hl7.eu/fhir/laboratory/StructureDefinition/Composition-eu-ps##34#</v>
      </c>
    </row>
    <row r="173" spans="2:2" x14ac:dyDescent="0.75">
      <c r="B173" s="78"/>
    </row>
    <row r="175" spans="2:2" x14ac:dyDescent="0.75">
      <c r="B175" s="14" t="str">
        <f>IF('PS-ConceptMap-2'!S15=0,"//---END",'PS-ConceptMap-2'!S15)</f>
        <v>* group[=].element[+].code = #LabReport.header</v>
      </c>
    </row>
    <row r="176" spans="2:2" x14ac:dyDescent="0.75">
      <c r="B176" s="14" t="str">
        <f>IF('PS-ConceptMap-2'!S16=0,"//---END",'PS-ConceptMap-2'!S16)</f>
        <v>* group[=].element[=].display = ##34#A.1 Report header data elements##34#</v>
      </c>
    </row>
    <row r="177" spans="2:2" x14ac:dyDescent="0.75">
      <c r="B177" s="14" t="str">
        <f>IF('PS-ConceptMap-2'!S17=0,"//---END",'PS-ConceptMap-2'!S17)</f>
        <v>* group[=].element[=].target.code = #Composition</v>
      </c>
    </row>
    <row r="178" spans="2:2" x14ac:dyDescent="0.75">
      <c r="B178" s="14" t="str">
        <f>IF('PS-ConceptMap-2'!S18=0,"//---END",'PS-ConceptMap-2'!S18)</f>
        <v>* group[=].element[=].target.display = ##34###34#</v>
      </c>
    </row>
    <row r="179" spans="2:2" x14ac:dyDescent="0.75">
      <c r="B179" s="14" t="str">
        <f>IF('PS-ConceptMap-2'!S19=0,"//---END",'PS-ConceptMap-2'!S19)</f>
        <v>* group[=].element[=].target.equivalence = #relatedto</v>
      </c>
    </row>
    <row r="180" spans="2:2" x14ac:dyDescent="0.75">
      <c r="B180" s="14" t="str">
        <f>IF('PS-ConceptMap-2'!S20=0,"//---END",'PS-ConceptMap-2'!S20)</f>
        <v/>
      </c>
    </row>
    <row r="181" spans="2:2" x14ac:dyDescent="0.75">
      <c r="B181" s="14" t="str">
        <f>IF('PS-ConceptMap-2'!S21=0,"//---END",'PS-ConceptMap-2'!S21)</f>
        <v>* group[=].element[+].code = #LabReport.header.subject</v>
      </c>
    </row>
    <row r="182" spans="2:2" x14ac:dyDescent="0.75">
      <c r="B182" s="14" t="str">
        <f>IF('PS-ConceptMap-2'!S22=0,"//---END",'PS-ConceptMap-2'!S22)</f>
        <v>* group[=].element[=].display = ##34#A.1.1 - A1.2 Patient/subject##34#</v>
      </c>
    </row>
    <row r="183" spans="2:2" x14ac:dyDescent="0.75">
      <c r="B183" s="14" t="str">
        <f>IF('PS-ConceptMap-2'!S23=0,"//---END",'PS-ConceptMap-2'!S23)</f>
        <v>* group[=].element[=].target.code = #Composition.subject</v>
      </c>
    </row>
    <row r="184" spans="2:2" x14ac:dyDescent="0.75">
      <c r="B184" s="14" t="str">
        <f>IF('PS-ConceptMap-2'!S24=0,"//---END",'PS-ConceptMap-2'!S24)</f>
        <v>* group[=].element[=].target.display = ##34###34#</v>
      </c>
    </row>
    <row r="185" spans="2:2" x14ac:dyDescent="0.75">
      <c r="B185" s="14" t="str">
        <f>IF('PS-ConceptMap-2'!S25=0,"//---END",'PS-ConceptMap-2'!S25)</f>
        <v>* group[=].element[=].target.equivalence = #relatedto</v>
      </c>
    </row>
    <row r="186" spans="2:2" x14ac:dyDescent="0.75">
      <c r="B186" s="14" t="str">
        <f>IF('PS-ConceptMap-2'!S26=0,"//---END",'PS-ConceptMap-2'!S26)</f>
        <v/>
      </c>
    </row>
    <row r="187" spans="2:2" x14ac:dyDescent="0.75">
      <c r="B187" s="14" t="str">
        <f>IF('PS-ConceptMap-2'!S27=0,"//---END",'PS-ConceptMap-2'!S27)</f>
        <v>* group[=].element[+].code = #LabReport.header.payer</v>
      </c>
    </row>
    <row r="188" spans="2:2" x14ac:dyDescent="0.75">
      <c r="B188" s="14" t="str">
        <f>IF('PS-ConceptMap-2'!S28=0,"//---END",'PS-ConceptMap-2'!S28)</f>
        <v>* group[=].element[=].display = ##34#A.1.3 Health insurance and payment information##34#</v>
      </c>
    </row>
    <row r="189" spans="2:2" x14ac:dyDescent="0.75">
      <c r="B189" s="14" t="str">
        <f>IF('PS-ConceptMap-2'!S29=0,"//---END",'PS-ConceptMap-2'!S29)</f>
        <v>* group[=].element[=].target.code = #Composition.extension:basedOn-order-or-requisition.insurance</v>
      </c>
    </row>
    <row r="190" spans="2:2" x14ac:dyDescent="0.75">
      <c r="B190" s="14" t="str">
        <f>IF('PS-ConceptMap-2'!S30=0,"//---END",'PS-ConceptMap-2'!S30)</f>
        <v>* group[=].element[=].target.display = ##34###34#</v>
      </c>
    </row>
    <row r="191" spans="2:2" x14ac:dyDescent="0.75">
      <c r="B191" s="14" t="str">
        <f>IF('PS-ConceptMap-2'!S31=0,"//---END",'PS-ConceptMap-2'!S31)</f>
        <v>* group[=].element[=].target.equivalence = #relatedto</v>
      </c>
    </row>
    <row r="192" spans="2:2" ht="29.5" x14ac:dyDescent="0.75">
      <c r="B192" s="14" t="str">
        <f>IF('PS-ConceptMap-2'!S32=0,"//---END",'PS-ConceptMap-2'!S32)</f>
        <v>* group[=].element[=].target.comment = ##34#extension(http://hl7.eu/fhir/laboratory/StructureDefinition/composition-basedOn-order-or-requisition).resolve().ofType(ServiceRequest).insurance.resolve().ofType(Coverage)##34#</v>
      </c>
    </row>
    <row r="193" spans="2:2" x14ac:dyDescent="0.75">
      <c r="B193" s="14" t="str">
        <f>IF('PS-ConceptMap-2'!S33=0,"//---END",'PS-ConceptMap-2'!S33)</f>
        <v>* group[=].element[+].code = #LabReport.header.informationRecipient</v>
      </c>
    </row>
    <row r="194" spans="2:2" x14ac:dyDescent="0.75">
      <c r="B194" s="14" t="str">
        <f>IF('PS-ConceptMap-2'!S34=0,"//---END",'PS-ConceptMap-2'!S34)</f>
        <v>* group[=].element[=].display = ##34#A.1.4 Information recipient##34#</v>
      </c>
    </row>
    <row r="195" spans="2:2" x14ac:dyDescent="0.75">
      <c r="B195" s="14" t="str">
        <f>IF('PS-ConceptMap-2'!S35=0,"//---END",'PS-ConceptMap-2'!S35)</f>
        <v>* group[=].element[=].target.code = #Composition.extension:information-recipient</v>
      </c>
    </row>
    <row r="196" spans="2:2" x14ac:dyDescent="0.75">
      <c r="B196" s="14" t="str">
        <f>IF('PS-ConceptMap-2'!S36=0,"//---END",'PS-ConceptMap-2'!S36)</f>
        <v>* group[=].element[=].target.display = ##34###34#</v>
      </c>
    </row>
    <row r="197" spans="2:2" x14ac:dyDescent="0.75">
      <c r="B197" s="14" t="str">
        <f>IF('PS-ConceptMap-2'!S37=0,"//---END",'PS-ConceptMap-2'!S37)</f>
        <v>* group[=].element[=].target.equivalence = #equivalent</v>
      </c>
    </row>
    <row r="198" spans="2:2" x14ac:dyDescent="0.75">
      <c r="B198" s="14" t="str">
        <f>IF('PS-ConceptMap-2'!S38=0,"//---END",'PS-ConceptMap-2'!S38)</f>
        <v/>
      </c>
    </row>
    <row r="199" spans="2:2" x14ac:dyDescent="0.75">
      <c r="B199" s="14" t="str">
        <f>IF('PS-ConceptMap-2'!S39=0,"//---END",'PS-ConceptMap-2'!S39)</f>
        <v>* group[=].element[+].code = #LabReport.header.author</v>
      </c>
    </row>
    <row r="200" spans="2:2" x14ac:dyDescent="0.75">
      <c r="B200" s="14" t="str">
        <f>IF('PS-ConceptMap-2'!S40=0,"//---END",'PS-ConceptMap-2'!S40)</f>
        <v>* group[=].element[=].display = ##34#A.1.5 Author##34#</v>
      </c>
    </row>
    <row r="201" spans="2:2" x14ac:dyDescent="0.75">
      <c r="B201" s="14" t="str">
        <f>IF('PS-ConceptMap-2'!S41=0,"//---END",'PS-ConceptMap-2'!S41)</f>
        <v>* group[=].element[=].target.code = #Composition.author</v>
      </c>
    </row>
    <row r="202" spans="2:2" x14ac:dyDescent="0.75">
      <c r="B202" s="14" t="str">
        <f>IF('PS-ConceptMap-2'!S42=0,"//---END",'PS-ConceptMap-2'!S42)</f>
        <v>* group[=].element[=].target.display = ##34###34#</v>
      </c>
    </row>
    <row r="203" spans="2:2" x14ac:dyDescent="0.75">
      <c r="B203" s="14" t="str">
        <f>IF('PS-ConceptMap-2'!S43=0,"//---END",'PS-ConceptMap-2'!S43)</f>
        <v>* group[=].element[=].target.equivalence = #relatedto</v>
      </c>
    </row>
    <row r="204" spans="2:2" x14ac:dyDescent="0.75">
      <c r="B204" s="14" t="str">
        <f>IF('PS-ConceptMap-2'!S44=0,"//---END",'PS-ConceptMap-2'!S44)</f>
        <v/>
      </c>
    </row>
    <row r="205" spans="2:2" x14ac:dyDescent="0.75">
      <c r="B205" s="14" t="str">
        <f>IF('PS-ConceptMap-2'!S45=0,"//---END",'PS-ConceptMap-2'!S45)</f>
        <v>* group[=].element[+].code = #LabReport.header.legalAuthenticator</v>
      </c>
    </row>
    <row r="206" spans="2:2" x14ac:dyDescent="0.75">
      <c r="B206" s="14" t="str">
        <f>IF('PS-ConceptMap-2'!S46=0,"//---END",'PS-ConceptMap-2'!S46)</f>
        <v>* group[=].element[=].display = ##34#A.1.6 Legal authenticator##34#</v>
      </c>
    </row>
    <row r="207" spans="2:2" x14ac:dyDescent="0.75">
      <c r="B207" s="14" t="str">
        <f>IF('PS-ConceptMap-2'!S47=0,"//---END",'PS-ConceptMap-2'!S47)</f>
        <v>* group[=].element[=].target.code = #Composition.attester.party</v>
      </c>
    </row>
    <row r="208" spans="2:2" x14ac:dyDescent="0.75">
      <c r="B208" s="14" t="str">
        <f>IF('PS-ConceptMap-2'!S48=0,"//---END",'PS-ConceptMap-2'!S48)</f>
        <v>* group[=].element[=].target.display = ##34###34#</v>
      </c>
    </row>
    <row r="209" spans="2:2" x14ac:dyDescent="0.75">
      <c r="B209" s="14" t="str">
        <f>IF('PS-ConceptMap-2'!S49=0,"//---END",'PS-ConceptMap-2'!S49)</f>
        <v>* group[=].element[=].target.equivalence = #equivalent</v>
      </c>
    </row>
    <row r="210" spans="2:2" ht="29.5" x14ac:dyDescent="0.75">
      <c r="B210" s="14" t="str">
        <f>IF('PS-ConceptMap-2'!S50=0,"//---END",'PS-ConceptMap-2'!S50)</f>
        <v>* group[=].element[=].target.comment = ##34#The person authenticated the content and accepted legal responsibility for its content.
attester.where(mode='legal')##34#</v>
      </c>
    </row>
    <row r="211" spans="2:2" x14ac:dyDescent="0.75">
      <c r="B211" s="14" t="str">
        <f>IF('PS-ConceptMap-2'!S51=0,"//---END",'PS-ConceptMap-2'!S51)</f>
        <v>* group[=].element[+].code = #LabReport.header.validator</v>
      </c>
    </row>
    <row r="212" spans="2:2" x14ac:dyDescent="0.75">
      <c r="B212" s="14" t="str">
        <f>IF('PS-ConceptMap-2'!S52=0,"//---END",'PS-ConceptMap-2'!S52)</f>
        <v>* group[=].element[=].display = ##34#A.1.7 Result validator##34#</v>
      </c>
    </row>
    <row r="213" spans="2:2" x14ac:dyDescent="0.75">
      <c r="B213" s="14" t="str">
        <f>IF('PS-ConceptMap-2'!S53=0,"//---END",'PS-ConceptMap-2'!S53)</f>
        <v>* group[=].element[=].target.code = #Composition.attester.party</v>
      </c>
    </row>
    <row r="214" spans="2:2" x14ac:dyDescent="0.75">
      <c r="B214" s="14" t="str">
        <f>IF('PS-ConceptMap-2'!S54=0,"//---END",'PS-ConceptMap-2'!S54)</f>
        <v>* group[=].element[=].target.display = ##34###34#</v>
      </c>
    </row>
    <row r="215" spans="2:2" x14ac:dyDescent="0.75">
      <c r="B215" s="14" t="str">
        <f>IF('PS-ConceptMap-2'!S55=0,"//---END",'PS-ConceptMap-2'!S55)</f>
        <v>* group[=].element[=].target.equivalence = #equivalent</v>
      </c>
    </row>
    <row r="216" spans="2:2" ht="29.5" x14ac:dyDescent="0.75">
      <c r="B216" s="14" t="str">
        <f>IF('PS-ConceptMap-2'!S56=0,"//---END",'PS-ConceptMap-2'!S56)</f>
        <v>* group[=].element[=].target.comment = ##34#The person authenticated the content in their professional capacity.
attester.where(mode='professional')##34#</v>
      </c>
    </row>
    <row r="217" spans="2:2" x14ac:dyDescent="0.75">
      <c r="B217" s="14" t="str">
        <f>IF('PS-ConceptMap-2'!S57=0,"//---END",'PS-ConceptMap-2'!S57)</f>
        <v>* group[=].element[+].code = #LabReport.header.metadata</v>
      </c>
    </row>
    <row r="218" spans="2:2" x14ac:dyDescent="0.75">
      <c r="B218" s="14" t="str">
        <f>IF('PS-ConceptMap-2'!S58=0,"//---END",'PS-ConceptMap-2'!S58)</f>
        <v>* group[=].element[=].display = ##34#A.1.8 Patient Summary metadata##34#</v>
      </c>
    </row>
    <row r="219" spans="2:2" x14ac:dyDescent="0.75">
      <c r="B219" s="14" t="str">
        <f>IF('PS-ConceptMap-2'!S59=0,"//---END",'PS-ConceptMap-2'!S59)</f>
        <v>* group[=].element[=].target.code = #Composition</v>
      </c>
    </row>
    <row r="220" spans="2:2" x14ac:dyDescent="0.75">
      <c r="B220" s="14" t="str">
        <f>IF('PS-ConceptMap-2'!S60=0,"//---END",'PS-ConceptMap-2'!S60)</f>
        <v>* group[=].element[=].target.display = ##34###34#</v>
      </c>
    </row>
    <row r="221" spans="2:2" x14ac:dyDescent="0.75">
      <c r="B221" s="14" t="str">
        <f>IF('PS-ConceptMap-2'!S61=0,"//---END",'PS-ConceptMap-2'!S61)</f>
        <v>* group[=].element[=].target.equivalence = #relatedto</v>
      </c>
    </row>
    <row r="222" spans="2:2" x14ac:dyDescent="0.75">
      <c r="B222" s="14" t="str">
        <f>IF('PS-ConceptMap-2'!S62=0,"//---END",'PS-ConceptMap-2'!S62)</f>
        <v/>
      </c>
    </row>
    <row r="223" spans="2:2" x14ac:dyDescent="0.75">
      <c r="B223" s="14" t="str">
        <f>IF('PS-ConceptMap-2'!S63=0,"//---END",'PS-ConceptMap-2'!S63)</f>
        <v>* group[=].element[+].code = #LabReport.header.metadata.documentId</v>
      </c>
    </row>
    <row r="224" spans="2:2" x14ac:dyDescent="0.75">
      <c r="B224" s="14" t="str">
        <f>IF('PS-ConceptMap-2'!S64=0,"//---END",'PS-ConceptMap-2'!S64)</f>
        <v>* group[=].element[=].display = ##34#A.1.8.0 Document Id##34#</v>
      </c>
    </row>
    <row r="225" spans="2:2" x14ac:dyDescent="0.75">
      <c r="B225" s="14" t="str">
        <f>IF('PS-ConceptMap-2'!S65=0,"//---END",'PS-ConceptMap-2'!S65)</f>
        <v>* group[=].element[=].target.code = #Composition.identifier</v>
      </c>
    </row>
    <row r="226" spans="2:2" x14ac:dyDescent="0.75">
      <c r="B226" s="14" t="str">
        <f>IF('PS-ConceptMap-2'!S66=0,"//---END",'PS-ConceptMap-2'!S66)</f>
        <v>* group[=].element[=].target.display = ##34###34#</v>
      </c>
    </row>
    <row r="227" spans="2:2" x14ac:dyDescent="0.75">
      <c r="B227" s="14" t="str">
        <f>IF('PS-ConceptMap-2'!S67=0,"//---END",'PS-ConceptMap-2'!S67)</f>
        <v>* group[=].element[=].target.equivalence = #equivalent</v>
      </c>
    </row>
    <row r="228" spans="2:2" ht="29.5" x14ac:dyDescent="0.75">
      <c r="B228" s="14" t="str">
        <f>IF('PS-ConceptMap-2'!S68=0,"//---END",'PS-ConceptMap-2'!S68)</f>
        <v>* group[=].element[=].target.comment = ##34#If it is the identifier of the report indipendently by its version. Otherwise you should refer to the Bundle.indentifier##34#</v>
      </c>
    </row>
    <row r="229" spans="2:2" x14ac:dyDescent="0.75">
      <c r="B229" s="14" t="str">
        <f>IF('PS-ConceptMap-2'!S69=0,"//---END",'PS-ConceptMap-2'!S69)</f>
        <v>* group[=].element[+].code = #LabReport.header.metadata.type</v>
      </c>
    </row>
    <row r="230" spans="2:2" x14ac:dyDescent="0.75">
      <c r="B230" s="14" t="str">
        <f>IF('PS-ConceptMap-2'!S70=0,"//---END",'PS-ConceptMap-2'!S70)</f>
        <v>* group[=].element[=].display = ##34#A.1.8.1 Document type##34#</v>
      </c>
    </row>
    <row r="231" spans="2:2" x14ac:dyDescent="0.75">
      <c r="B231" s="14" t="str">
        <f>IF('PS-ConceptMap-2'!S71=0,"//---END",'PS-ConceptMap-2'!S71)</f>
        <v>* group[=].element[=].target.code = #Composition.type</v>
      </c>
    </row>
    <row r="232" spans="2:2" x14ac:dyDescent="0.75">
      <c r="B232" s="14" t="str">
        <f>IF('PS-ConceptMap-2'!S72=0,"//---END",'PS-ConceptMap-2'!S72)</f>
        <v>* group[=].element[=].target.display = ##34###34#</v>
      </c>
    </row>
    <row r="233" spans="2:2" x14ac:dyDescent="0.75">
      <c r="B233" s="14" t="str">
        <f>IF('PS-ConceptMap-2'!S73=0,"//---END",'PS-ConceptMap-2'!S73)</f>
        <v>* group[=].element[=].target.equivalence = #equivalent</v>
      </c>
    </row>
    <row r="234" spans="2:2" x14ac:dyDescent="0.75">
      <c r="B234" s="14" t="str">
        <f>IF('PS-ConceptMap-2'!S74=0,"//---END",'PS-ConceptMap-2'!S74)</f>
        <v/>
      </c>
    </row>
    <row r="235" spans="2:2" x14ac:dyDescent="0.75">
      <c r="B235" s="14" t="str">
        <f>IF('PS-ConceptMap-2'!S75=0,"//---END",'PS-ConceptMap-2'!S75)</f>
        <v>* group[=].element[+].code = #LabReport.header.metadata.status</v>
      </c>
    </row>
    <row r="236" spans="2:2" x14ac:dyDescent="0.75">
      <c r="B236" s="14" t="str">
        <f>IF('PS-ConceptMap-2'!S76=0,"//---END",'PS-ConceptMap-2'!S76)</f>
        <v>* group[=].element[=].display = ##34#A.1.8.2 Document status##34#</v>
      </c>
    </row>
    <row r="237" spans="2:2" x14ac:dyDescent="0.75">
      <c r="B237" s="14" t="str">
        <f>IF('PS-ConceptMap-2'!S77=0,"//---END",'PS-ConceptMap-2'!S77)</f>
        <v>* group[=].element[=].target.code = #Composition.status</v>
      </c>
    </row>
    <row r="238" spans="2:2" x14ac:dyDescent="0.75">
      <c r="B238" s="14" t="str">
        <f>IF('PS-ConceptMap-2'!S78=0,"//---END",'PS-ConceptMap-2'!S78)</f>
        <v>* group[=].element[=].target.display = ##34###34#</v>
      </c>
    </row>
    <row r="239" spans="2:2" x14ac:dyDescent="0.75">
      <c r="B239" s="14" t="str">
        <f>IF('PS-ConceptMap-2'!S79=0,"//---END",'PS-ConceptMap-2'!S79)</f>
        <v>* group[=].element[=].target.equivalence = #relatedto</v>
      </c>
    </row>
    <row r="240" spans="2:2" ht="29.5" x14ac:dyDescent="0.75">
      <c r="B240" s="14" t="str">
        <f>IF('PS-ConceptMap-2'!S80=0,"//---END",'PS-ConceptMap-2'!S80)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IF('PS-ConceptMap-2'!S81=0,"//---END",'PS-ConceptMap-2'!S81)</f>
        <v>* group[=].element[+].code = #LabReport.header.metadata.dateTime</v>
      </c>
    </row>
    <row r="242" spans="2:2" x14ac:dyDescent="0.75">
      <c r="B242" s="14" t="str">
        <f>IF('PS-ConceptMap-2'!S82=0,"//---END",'PS-ConceptMap-2'!S82)</f>
        <v>* group[=].element[=].display = ##34#A.1.8.3 Report date and time##34#</v>
      </c>
    </row>
    <row r="243" spans="2:2" x14ac:dyDescent="0.75">
      <c r="B243" s="14" t="str">
        <f>IF('PS-ConceptMap-2'!S83=0,"//---END",'PS-ConceptMap-2'!S83)</f>
        <v>* group[=].element[=].target.code = #Composition.date</v>
      </c>
    </row>
    <row r="244" spans="2:2" x14ac:dyDescent="0.75">
      <c r="B244" s="14" t="str">
        <f>IF('PS-ConceptMap-2'!S84=0,"//---END",'PS-ConceptMap-2'!S84)</f>
        <v>* group[=].element[=].target.display = ##34###34#</v>
      </c>
    </row>
    <row r="245" spans="2:2" x14ac:dyDescent="0.75">
      <c r="B245" s="14" t="str">
        <f>IF('PS-ConceptMap-2'!S85=0,"//---END",'PS-ConceptMap-2'!S85)</f>
        <v>* group[=].element[=].target.equivalence = #equivalent</v>
      </c>
    </row>
    <row r="246" spans="2:2" x14ac:dyDescent="0.75">
      <c r="B246" s="14" t="str">
        <f>IF('PS-ConceptMap-2'!S86=0,"//---END",'PS-ConceptMap-2'!S86)</f>
        <v/>
      </c>
    </row>
    <row r="247" spans="2:2" x14ac:dyDescent="0.75">
      <c r="B247" s="14" t="str">
        <f>IF('PS-ConceptMap-2'!S87=0,"//---END",'PS-ConceptMap-2'!S87)</f>
        <v>* group[=].element[+].code = #LabReport.header.metadata.title</v>
      </c>
    </row>
    <row r="248" spans="2:2" x14ac:dyDescent="0.75">
      <c r="B248" s="14" t="str">
        <f>IF('PS-ConceptMap-2'!S88=0,"//---END",'PS-ConceptMap-2'!S88)</f>
        <v>* group[=].element[=].display = ##34#A.1.8.4 Document title##34#</v>
      </c>
    </row>
    <row r="249" spans="2:2" x14ac:dyDescent="0.75">
      <c r="B249" s="14" t="str">
        <f>IF('PS-ConceptMap-2'!S89=0,"//---END",'PS-ConceptMap-2'!S89)</f>
        <v>* group[=].element[=].target.code = #Composition.title</v>
      </c>
    </row>
    <row r="250" spans="2:2" x14ac:dyDescent="0.75">
      <c r="B250" s="14" t="str">
        <f>IF('PS-ConceptMap-2'!S90=0,"//---END",'PS-ConceptMap-2'!S90)</f>
        <v>* group[=].element[=].target.display = ##34###34#</v>
      </c>
    </row>
    <row r="251" spans="2:2" x14ac:dyDescent="0.75">
      <c r="B251" s="14" t="str">
        <f>IF('PS-ConceptMap-2'!S91=0,"//---END",'PS-ConceptMap-2'!S91)</f>
        <v>* group[=].element[=].target.equivalence = #equivalent</v>
      </c>
    </row>
    <row r="252" spans="2:2" x14ac:dyDescent="0.75">
      <c r="B252" s="14" t="str">
        <f>IF('PS-ConceptMap-2'!S92=0,"//---END",'PS-ConceptMap-2'!S92)</f>
        <v/>
      </c>
    </row>
    <row r="253" spans="2:2" x14ac:dyDescent="0.75">
      <c r="B253" s="14" t="str">
        <f>IF('PS-ConceptMap-2'!S93=0,"//---END",'PS-ConceptMap-2'!S93)</f>
        <v>* group[=].element[+].code = #LabReport.header.metadata.studyType</v>
      </c>
    </row>
    <row r="254" spans="2:2" x14ac:dyDescent="0.75">
      <c r="B254" s="14" t="str">
        <f>IF('PS-ConceptMap-2'!S94=0,"//---END",'PS-ConceptMap-2'!S94)</f>
        <v>* group[=].element[=].display = ##34#A.1.8.5 Study type##34#</v>
      </c>
    </row>
    <row r="255" spans="2:2" x14ac:dyDescent="0.75">
      <c r="B255" s="14" t="str">
        <f>IF('PS-ConceptMap-2'!S95=0,"//---END",'PS-ConceptMap-2'!S95)</f>
        <v>* group[=].element[=].target.code = #Composition.category</v>
      </c>
    </row>
    <row r="256" spans="2:2" x14ac:dyDescent="0.75">
      <c r="B256" s="14" t="str">
        <f>IF('PS-ConceptMap-2'!S96=0,"//---END",'PS-ConceptMap-2'!S96)</f>
        <v>* group[=].element[=].target.display = ##34###34#</v>
      </c>
    </row>
    <row r="257" spans="2:2" x14ac:dyDescent="0.75">
      <c r="B257" s="14" t="str">
        <f>IF('PS-ConceptMap-2'!S97=0,"//---END",'PS-ConceptMap-2'!S97)</f>
        <v>* group[=].element[=].target.equivalence = #relatedto</v>
      </c>
    </row>
    <row r="258" spans="2:2" x14ac:dyDescent="0.75">
      <c r="B258" s="14" t="str">
        <f>IF('PS-ConceptMap-2'!S98=0,"//---END",'PS-ConceptMap-2'!S98)</f>
        <v/>
      </c>
    </row>
    <row r="259" spans="2:2" x14ac:dyDescent="0.75">
      <c r="B259" s="14" t="str">
        <f>IF('PS-ConceptMap-2'!S99=0,"//---END",'PS-ConceptMap-2'!S99)</f>
        <v>* group[=].element[+].code = #LabReport.header.metadata.custodian</v>
      </c>
    </row>
    <row r="260" spans="2:2" x14ac:dyDescent="0.75">
      <c r="B260" s="14" t="str">
        <f>IF('PS-ConceptMap-2'!S100=0,"//---END",'PS-ConceptMap-2'!S100)</f>
        <v>* group[=].element[=].display = ##34#A.1.8.6 Report custodian##34#</v>
      </c>
    </row>
    <row r="261" spans="2:2" x14ac:dyDescent="0.75">
      <c r="B261" s="14" t="str">
        <f>IF('PS-ConceptMap-2'!S101=0,"//---END",'PS-ConceptMap-2'!S101)</f>
        <v>* group[=].element[=].target.code = #Composition.custodian</v>
      </c>
    </row>
    <row r="262" spans="2:2" x14ac:dyDescent="0.75">
      <c r="B262" s="14" t="str">
        <f>IF('PS-ConceptMap-2'!S102=0,"//---END",'PS-ConceptMap-2'!S102)</f>
        <v>* group[=].element[=].target.display = ##34###34#</v>
      </c>
    </row>
    <row r="263" spans="2:2" x14ac:dyDescent="0.75">
      <c r="B263" s="14" t="str">
        <f>IF('PS-ConceptMap-2'!S103=0,"//---END",'PS-ConceptMap-2'!S103)</f>
        <v>* group[=].element[=].target.equivalence = #equivalent</v>
      </c>
    </row>
    <row r="264" spans="2:2" x14ac:dyDescent="0.75">
      <c r="B264" s="14" t="str">
        <f>IF('PS-ConceptMap-2'!S104=0,"//---END",'PS-ConceptMap-2'!S104)</f>
        <v/>
      </c>
    </row>
    <row r="265" spans="2:2" x14ac:dyDescent="0.75">
      <c r="B265" s="14" t="str">
        <f>IF('PS-ConceptMap-2'!S105=0,"//---END",'PS-ConceptMap-2'!S105)</f>
        <v>* group[=].element[+].code = #LabReport.header.metadata.confidentiality</v>
      </c>
    </row>
    <row r="266" spans="2:2" x14ac:dyDescent="0.75">
      <c r="B266" s="14" t="str">
        <f>IF('PS-ConceptMap-2'!S106=0,"//---END",'PS-ConceptMap-2'!S106)</f>
        <v>* group[=].element[=].display = ##34#A.1.8.7 Confidentiality##34#</v>
      </c>
    </row>
    <row r="267" spans="2:2" x14ac:dyDescent="0.75">
      <c r="B267" s="14" t="str">
        <f>IF('PS-ConceptMap-2'!S107=0,"//---END",'PS-ConceptMap-2'!S107)</f>
        <v>* group[=].element[=].target.code = #Composition.confidentiality</v>
      </c>
    </row>
    <row r="268" spans="2:2" x14ac:dyDescent="0.75">
      <c r="B268" s="14" t="str">
        <f>IF('PS-ConceptMap-2'!S108=0,"//---END",'PS-ConceptMap-2'!S108)</f>
        <v>* group[=].element[=].target.display = ##34###34#</v>
      </c>
    </row>
    <row r="269" spans="2:2" x14ac:dyDescent="0.75">
      <c r="B269" s="14" t="str">
        <f>IF('PS-ConceptMap-2'!S109=0,"//---END",'PS-ConceptMap-2'!S109)</f>
        <v>* group[=].element[=].target.equivalence = #equivalent</v>
      </c>
    </row>
    <row r="270" spans="2:2" x14ac:dyDescent="0.75">
      <c r="B270" s="14" t="str">
        <f>IF('PS-ConceptMap-2'!S110=0,"//---END",'PS-ConceptMap-2'!S110)</f>
        <v/>
      </c>
    </row>
    <row r="271" spans="2:2" x14ac:dyDescent="0.75">
      <c r="B271" s="14" t="str">
        <f>IF('PS-ConceptMap-2'!S111=0,"//---END",'PS-ConceptMap-2'!S111)</f>
        <v>* group[=].element[+].code = #LabReport.header.metadata.language</v>
      </c>
    </row>
    <row r="272" spans="2:2" x14ac:dyDescent="0.75">
      <c r="B272" s="14" t="str">
        <f>IF('PS-ConceptMap-2'!S112=0,"//---END",'PS-ConceptMap-2'!S112)</f>
        <v>* group[=].element[=].display = ##34#A.1.8.8 Language##34#</v>
      </c>
    </row>
    <row r="273" spans="2:2" x14ac:dyDescent="0.75">
      <c r="B273" s="14" t="str">
        <f>IF('PS-ConceptMap-2'!S113=0,"//---END",'PS-ConceptMap-2'!S113)</f>
        <v>* group[=].element[=].target.code = #Composition.language</v>
      </c>
    </row>
    <row r="274" spans="2:2" x14ac:dyDescent="0.75">
      <c r="B274" s="14" t="str">
        <f>IF('PS-ConceptMap-2'!S114=0,"//---END",'PS-ConceptMap-2'!S114)</f>
        <v>* group[=].element[=].target.display = ##34###34#</v>
      </c>
    </row>
    <row r="275" spans="2:2" x14ac:dyDescent="0.75">
      <c r="B275" s="14" t="str">
        <f>IF('PS-ConceptMap-2'!S115=0,"//---END",'PS-ConceptMap-2'!S115)</f>
        <v>* group[=].element[=].target.equivalence = #equivalent</v>
      </c>
    </row>
    <row r="276" spans="2:2" x14ac:dyDescent="0.75">
      <c r="B276" s="14" t="str">
        <f>IF('PS-ConceptMap-2'!S116=0,"//---END",'PS-ConceptMap-2'!S116)</f>
        <v/>
      </c>
    </row>
    <row r="277" spans="2:2" x14ac:dyDescent="0.75">
      <c r="B277" s="14" t="str">
        <f>IF('PS-ConceptMap-2'!S117=0,"//---END",'PS-ConceptMap-2'!S117)</f>
        <v>* group[=].element[+].code = #LabReport.header.metadata.version</v>
      </c>
    </row>
    <row r="278" spans="2:2" x14ac:dyDescent="0.75">
      <c r="B278" s="14" t="str">
        <f>IF('PS-ConceptMap-2'!S118=0,"//---END",'PS-ConceptMap-2'!S118)</f>
        <v>* group[=].element[=].display = ##34#A.1.8.9 Version##34#</v>
      </c>
    </row>
    <row r="279" spans="2:2" x14ac:dyDescent="0.75">
      <c r="B279" s="14" t="str">
        <f>IF('PS-ConceptMap-2'!S119=0,"//---END",'PS-ConceptMap-2'!S119)</f>
        <v>* group[=].element[=].target.code = #Composition.extension:versionNumber</v>
      </c>
    </row>
    <row r="280" spans="2:2" x14ac:dyDescent="0.75">
      <c r="B280" s="14" t="str">
        <f>IF('PS-ConceptMap-2'!S120=0,"//---END",'PS-ConceptMap-2'!S120)</f>
        <v>* group[=].element[=].target.display = ##34###34#</v>
      </c>
    </row>
    <row r="281" spans="2:2" x14ac:dyDescent="0.75">
      <c r="B281" s="14" t="str">
        <f>IF('PS-ConceptMap-2'!S121=0,"//---END",'PS-ConceptMap-2'!S121)</f>
        <v>* group[=].element[=].target.equivalence = #equivalent</v>
      </c>
    </row>
    <row r="282" spans="2:2" x14ac:dyDescent="0.75">
      <c r="B282" s="14" t="str">
        <f>IF('PS-ConceptMap-2'!S122=0,"//---END",'PS-ConceptMap-2'!S122)</f>
        <v>* group[=].element[=].target.comment = ##34#if it refers to the business report version##34#</v>
      </c>
    </row>
    <row r="283" spans="2:2" x14ac:dyDescent="0.75">
      <c r="B283" s="14" t="str">
        <f>IF('PS-ConceptMap-2'!S123=0,"//---END",'PS-ConceptMap-2'!S123)</f>
        <v>* group[=].element[+].code = #LabReport.order</v>
      </c>
    </row>
    <row r="284" spans="2:2" x14ac:dyDescent="0.75">
      <c r="B284" s="14" t="str">
        <f>IF('PS-ConceptMap-2'!S124=0,"//---END",'PS-ConceptMap-2'!S124)</f>
        <v>* group[=].element[=].display = ##34#A.2-A.3 Order##34#</v>
      </c>
    </row>
    <row r="285" spans="2:2" x14ac:dyDescent="0.75">
      <c r="B285" s="14" t="str">
        <f>IF('PS-ConceptMap-2'!S125=0,"//---END",'PS-ConceptMap-2'!S125)</f>
        <v>* group[=].element[=].target.code = #Composition.extension:basedOn-order-or-requisition.insurance</v>
      </c>
    </row>
    <row r="286" spans="2:2" x14ac:dyDescent="0.75">
      <c r="B286" s="14" t="str">
        <f>IF('PS-ConceptMap-2'!S126=0,"//---END",'PS-ConceptMap-2'!S126)</f>
        <v>* group[=].element[=].target.display = ##34###34#</v>
      </c>
    </row>
    <row r="287" spans="2:2" x14ac:dyDescent="0.75">
      <c r="B287" s="14" t="str">
        <f>IF('PS-ConceptMap-2'!S127=0,"//---END",'PS-ConceptMap-2'!S127)</f>
        <v>* group[=].element[=].target.equivalence = #relatedto</v>
      </c>
    </row>
    <row r="288" spans="2:2" ht="29.5" x14ac:dyDescent="0.75">
      <c r="B288" s="14" t="str">
        <f>IF('PS-ConceptMap-2'!S128=0,"//---END",'PS-ConceptMap-2'!S128)</f>
        <v>* group[=].element[=].target.comment = ##34#extension(http://hl7.eu/fhir/laboratory/StructureDefinition/composition-basedOn-order-or-requisition).resolve().ofType(ServiceRequest)##34#</v>
      </c>
    </row>
    <row r="289" spans="2:2" x14ac:dyDescent="0.75">
      <c r="B289" s="14" t="str">
        <f>IF('PS-ConceptMap-2'!S129=0,"//---END",'PS-ConceptMap-2'!S129)</f>
        <v>* group[=].element[+].code = #LabReport.specimen</v>
      </c>
    </row>
    <row r="290" spans="2:2" x14ac:dyDescent="0.75">
      <c r="B290" s="14" t="str">
        <f>IF('PS-ConceptMap-2'!S130=0,"//---END",'PS-ConceptMap-2'!S130)</f>
        <v>* group[=].element[=].display = ##34#A.4 Specimen information##34#</v>
      </c>
    </row>
    <row r="291" spans="2:2" x14ac:dyDescent="0.75">
      <c r="B291" s="14" t="str">
        <f>IF('PS-ConceptMap-2'!S131=0,"//---END",'PS-ConceptMap-2'!S131)</f>
        <v>* group[=].element[=].target.code = #Composition.section:ps-no-subsections.entry.specimen</v>
      </c>
    </row>
    <row r="292" spans="2:2" x14ac:dyDescent="0.75">
      <c r="B292" s="14" t="str">
        <f>IF('PS-ConceptMap-2'!S132=0,"//---END",'PS-ConceptMap-2'!S132)</f>
        <v>* group[=].element[=].target.display = ##34###34#</v>
      </c>
    </row>
    <row r="293" spans="2:2" x14ac:dyDescent="0.75">
      <c r="B293" s="14" t="str">
        <f>IF('PS-ConceptMap-2'!S133=0,"//---END",'PS-ConceptMap-2'!S133)</f>
        <v>* group[=].element[=].target.equivalence = #relatedto</v>
      </c>
    </row>
    <row r="294" spans="2:2" x14ac:dyDescent="0.75">
      <c r="B294" s="14" t="str">
        <f>IF('PS-ConceptMap-2'!S134=0,"//---END",'PS-ConceptMap-2'!S134)</f>
        <v>* group[=].element[=].target.comment = ##34#If no sub sections##34#</v>
      </c>
    </row>
    <row r="295" spans="2:2" x14ac:dyDescent="0.75">
      <c r="B295" s="14" t="str">
        <f>IF('PS-ConceptMap-2'!S135=0,"//---END",'PS-ConceptMap-2'!S135)</f>
        <v>* group[=].element[+].code = #LabReport.result</v>
      </c>
    </row>
    <row r="296" spans="2:2" x14ac:dyDescent="0.75">
      <c r="B296" s="14" t="str">
        <f>IF('PS-ConceptMap-2'!S136=0,"//---END",'PS-ConceptMap-2'!S136)</f>
        <v>* group[=].element[=].display = ##34#A.5 Results data elements##34#</v>
      </c>
    </row>
    <row r="297" spans="2:2" x14ac:dyDescent="0.75">
      <c r="B297" s="14" t="str">
        <f>IF('PS-ConceptMap-2'!S137=0,"//---END",'PS-ConceptMap-2'!S137)</f>
        <v>* group[=].element[=].target.code = #Composition.section:ps-no-subsections.entry</v>
      </c>
    </row>
    <row r="298" spans="2:2" x14ac:dyDescent="0.75">
      <c r="B298" s="14" t="str">
        <f>IF('PS-ConceptMap-2'!S138=0,"//---END",'PS-ConceptMap-2'!S138)</f>
        <v>* group[=].element[=].target.display = ##34###34#</v>
      </c>
    </row>
    <row r="299" spans="2:2" x14ac:dyDescent="0.75">
      <c r="B299" s="14" t="str">
        <f>IF('PS-ConceptMap-2'!S139=0,"//---END",'PS-ConceptMap-2'!S139)</f>
        <v>* group[=].element[=].target.equivalence = #relatedto</v>
      </c>
    </row>
    <row r="300" spans="2:2" x14ac:dyDescent="0.75">
      <c r="B300" s="14" t="str">
        <f>IF('PS-ConceptMap-2'!S140=0,"//---END",'PS-ConceptMap-2'!S140)</f>
        <v>* group[=].element[=].target.comment = ##34#If no sub sections##34#</v>
      </c>
    </row>
    <row r="301" spans="2:2" x14ac:dyDescent="0.75">
      <c r="B301" s="14" t="str">
        <f>IF('PS-ConceptMap-2'!S141=0,"//---END",'PS-ConceptMap-2'!S141)</f>
        <v>* group[=].element[+].code = #LabReport.specimen</v>
      </c>
    </row>
    <row r="302" spans="2:2" x14ac:dyDescent="0.75">
      <c r="B302" s="14" t="str">
        <f>IF('PS-ConceptMap-2'!S142=0,"//---END",'PS-ConceptMap-2'!S142)</f>
        <v>* group[=].element[=].display = ##34#A.4 Specimen information##34#</v>
      </c>
    </row>
    <row r="303" spans="2:2" x14ac:dyDescent="0.75">
      <c r="B303" s="14" t="str">
        <f>IF('PS-ConceptMap-2'!S143=0,"//---END",'PS-ConceptMap-2'!S143)</f>
        <v>* group[=].element[=].target.code = #Composition.section:ps-subsections.section.entry.specimen</v>
      </c>
    </row>
    <row r="304" spans="2:2" x14ac:dyDescent="0.75">
      <c r="B304" s="14" t="str">
        <f>IF('PS-ConceptMap-2'!S144=0,"//---END",'PS-ConceptMap-2'!S144)</f>
        <v>* group[=].element[=].target.display = ##34###34#</v>
      </c>
    </row>
    <row r="305" spans="2:2" x14ac:dyDescent="0.75">
      <c r="B305" s="14" t="str">
        <f>IF('PS-ConceptMap-2'!S145=0,"//---END",'PS-ConceptMap-2'!S145)</f>
        <v>* group[=].element[=].target.equivalence = #relatedto</v>
      </c>
    </row>
    <row r="306" spans="2:2" x14ac:dyDescent="0.75">
      <c r="B306" s="14" t="str">
        <f>IF('PS-ConceptMap-2'!S146=0,"//---END",'PS-ConceptMap-2'!S146)</f>
        <v>* group[=].element[=].target.comment = ##34#If sub sections##34#</v>
      </c>
    </row>
    <row r="307" spans="2:2" x14ac:dyDescent="0.75">
      <c r="B307" s="14" t="str">
        <f>IF('PS-ConceptMap-2'!S147=0,"//---END",'PS-ConceptMap-2'!S147)</f>
        <v>* group[=].element[+].code = #LabReport.result</v>
      </c>
    </row>
    <row r="308" spans="2:2" x14ac:dyDescent="0.75">
      <c r="B308" s="14" t="str">
        <f>IF('PS-ConceptMap-2'!S148=0,"//---END",'PS-ConceptMap-2'!S148)</f>
        <v>* group[=].element[=].display = ##34#A.5 Results data elements##34#</v>
      </c>
    </row>
    <row r="309" spans="2:2" x14ac:dyDescent="0.75">
      <c r="B309" s="14" t="str">
        <f>IF('PS-ConceptMap-2'!S149=0,"//---END",'PS-ConceptMap-2'!S149)</f>
        <v>* group[=].element[=].target.code = #Composition.section:ps-subsections.section.entry</v>
      </c>
    </row>
    <row r="310" spans="2:2" x14ac:dyDescent="0.75">
      <c r="B310" s="14" t="str">
        <f>IF('PS-ConceptMap-2'!S150=0,"//---END",'PS-ConceptMap-2'!S150)</f>
        <v>* group[=].element[=].target.display = ##34###34#</v>
      </c>
    </row>
    <row r="311" spans="2:2" x14ac:dyDescent="0.75">
      <c r="B311" s="14" t="str">
        <f>IF('PS-ConceptMap-2'!S151=0,"//---END",'PS-ConceptMap-2'!S151)</f>
        <v>* group[=].element[=].target.equivalence = #relatedto</v>
      </c>
    </row>
    <row r="312" spans="2:2" x14ac:dyDescent="0.75">
      <c r="B312" s="14" t="str">
        <f>IF('PS-ConceptMap-2'!S152=0,"//---END",'PS-ConceptMap-2'!S152)</f>
        <v>* group[=].element[=].target.comment = ##34#If sub sections##34#</v>
      </c>
    </row>
    <row r="313" spans="2:2" x14ac:dyDescent="0.75">
      <c r="B313" s="14" t="str">
        <f>IF('PS-ConceptMap-2'!S153=0,"//---END",'PS-ConceptMap-2'!S153)</f>
        <v>//---END</v>
      </c>
    </row>
    <row r="314" spans="2:2" x14ac:dyDescent="0.75">
      <c r="B314" s="14" t="str">
        <f>IF('PS-ConceptMap-2'!S154=0,"//---END",'PS-ConceptMap-2'!S154)</f>
        <v>//---END</v>
      </c>
    </row>
    <row r="315" spans="2:2" x14ac:dyDescent="0.75">
      <c r="B315" s="14" t="str">
        <f>IF('PS-ConceptMap-2'!S155=0,"//---END",'PS-ConceptMap-2'!S155)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2" t="s">
        <v>37</v>
      </c>
    </row>
    <row r="2" spans="1:9" x14ac:dyDescent="0.75">
      <c r="I2" s="33" t="s">
        <v>36</v>
      </c>
    </row>
    <row r="3" spans="1:9" ht="15.5" thickBot="1" x14ac:dyDescent="0.9">
      <c r="I3" s="33" t="str">
        <f>I1</f>
        <v>// -------------------------------------------------------------------------------</v>
      </c>
    </row>
    <row r="4" spans="1:9" x14ac:dyDescent="0.75">
      <c r="A4" s="6" t="s">
        <v>14</v>
      </c>
      <c r="B4" s="17" t="s">
        <v>926</v>
      </c>
      <c r="I4" s="25" t="str">
        <f>CONCATENATE("Logical: ",B4)</f>
        <v>Logical: SubjectPsEhn</v>
      </c>
    </row>
    <row r="5" spans="1:9" x14ac:dyDescent="0.75">
      <c r="A5" s="18" t="s">
        <v>19</v>
      </c>
      <c r="B5" s="34" t="s">
        <v>12</v>
      </c>
      <c r="I5" s="25" t="str">
        <f>CONCATENATE("Id: ",B5)</f>
        <v>Id: Subject</v>
      </c>
    </row>
    <row r="6" spans="1:9" x14ac:dyDescent="0.75">
      <c r="A6" s="18" t="s">
        <v>13</v>
      </c>
      <c r="B6" s="19" t="s">
        <v>759</v>
      </c>
      <c r="I6" s="26" t="str">
        <f>CONCATENATE("Title: ##34#",B6,"##34#")</f>
        <v>Title: ##34#A1.1, A1.2 - Subject of care##34#</v>
      </c>
    </row>
    <row r="7" spans="1:9" ht="30.25" thickBot="1" x14ac:dyDescent="0.9">
      <c r="A7" s="20" t="s">
        <v>5</v>
      </c>
      <c r="B7" s="47" t="s">
        <v>760</v>
      </c>
      <c r="C7" s="12" t="s">
        <v>6</v>
      </c>
      <c r="D7" s="2" t="s">
        <v>7</v>
      </c>
      <c r="E7" s="3" t="s">
        <v>8</v>
      </c>
      <c r="F7" s="3" t="s">
        <v>9</v>
      </c>
      <c r="G7" s="3" t="s">
        <v>10</v>
      </c>
      <c r="I7" s="26" t="str">
        <f>CONCATENATE("Description: "," ##334#",B7,"##334#",)</f>
        <v>Description:  ##334#Patient or Subject of care. Sections A1.1 and A1.2 of the eHN guideline.##334#</v>
      </c>
    </row>
    <row r="8" spans="1:9" ht="59" x14ac:dyDescent="0.75">
      <c r="A8" s="9">
        <v>1</v>
      </c>
      <c r="B8" s="9" t="s">
        <v>266</v>
      </c>
      <c r="C8" s="9" t="s">
        <v>274</v>
      </c>
      <c r="D8" s="9" t="s">
        <v>274</v>
      </c>
      <c r="E8" s="16">
        <v>1</v>
      </c>
      <c r="F8" s="9">
        <v>1</v>
      </c>
      <c r="G8" s="9" t="s">
        <v>4</v>
      </c>
      <c r="H8" s="23"/>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271</v>
      </c>
      <c r="C9" s="9" t="s">
        <v>936</v>
      </c>
      <c r="D9" s="14" t="s">
        <v>955</v>
      </c>
      <c r="E9" s="16">
        <v>0</v>
      </c>
      <c r="F9" s="9" t="s">
        <v>11</v>
      </c>
      <c r="G9" s="9" t="s">
        <v>0</v>
      </c>
      <c r="H9" s="23"/>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268</v>
      </c>
      <c r="C10" s="9" t="s">
        <v>935</v>
      </c>
      <c r="D10" s="105" t="s">
        <v>956</v>
      </c>
      <c r="E10" s="16">
        <v>0</v>
      </c>
      <c r="F10" s="9" t="s">
        <v>11</v>
      </c>
      <c r="G10" s="9" t="s">
        <v>3</v>
      </c>
      <c r="H10" s="23"/>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269</v>
      </c>
      <c r="C11" s="9" t="s">
        <v>1013</v>
      </c>
      <c r="D11" s="105" t="s">
        <v>957</v>
      </c>
      <c r="E11" s="16">
        <v>0</v>
      </c>
      <c r="F11" s="9" t="s">
        <v>11</v>
      </c>
      <c r="G11" s="9" t="s">
        <v>3</v>
      </c>
      <c r="H11" s="23"/>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270</v>
      </c>
      <c r="C12" s="9" t="s">
        <v>1014</v>
      </c>
      <c r="D12" s="14" t="s">
        <v>958</v>
      </c>
      <c r="E12" s="16">
        <v>0</v>
      </c>
      <c r="F12" s="9">
        <v>1</v>
      </c>
      <c r="G12" s="9" t="s">
        <v>2</v>
      </c>
      <c r="H12" s="23"/>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272</v>
      </c>
      <c r="C13" s="9" t="s">
        <v>264</v>
      </c>
      <c r="D13" s="14" t="s">
        <v>959</v>
      </c>
      <c r="E13" s="16">
        <v>0</v>
      </c>
      <c r="F13" s="9">
        <v>1</v>
      </c>
      <c r="G13" s="9" t="s">
        <v>1</v>
      </c>
      <c r="H13" s="23"/>
      <c r="I13" s="14" t="str">
        <f t="shared" si="0"/>
        <v>* identification.gender 0..1 CodeableConcept ##34#A.1.1.5 Country of affiliation##34# ##334#A.1.1.5 Country of
affiliation - Name of country of affiliation  - Preferred system(s): ISO 3166##334#</v>
      </c>
    </row>
    <row r="14" spans="1:9" ht="59" x14ac:dyDescent="0.75">
      <c r="A14" s="9">
        <v>7</v>
      </c>
      <c r="B14" s="9" t="s">
        <v>937</v>
      </c>
      <c r="C14" s="9" t="s">
        <v>970</v>
      </c>
      <c r="D14" s="14" t="s">
        <v>960</v>
      </c>
      <c r="E14" s="16">
        <v>0</v>
      </c>
      <c r="F14" s="3">
        <v>1</v>
      </c>
      <c r="G14" s="3" t="s">
        <v>1</v>
      </c>
      <c r="H14" s="23"/>
      <c r="I14" s="14" t="str">
        <f t="shared" si="0"/>
        <v>* identification.countryOfAffiliation 0..1 CodeableConcept ##34#A.1.2.1 Patient address##34# ##334#A.1.2.1 Patient address - Patient address##334#</v>
      </c>
    </row>
    <row r="15" spans="1:9" ht="59" x14ac:dyDescent="0.75">
      <c r="A15" s="9">
        <v>8</v>
      </c>
      <c r="B15" s="9" t="s">
        <v>946</v>
      </c>
      <c r="C15" s="104" t="s">
        <v>861</v>
      </c>
      <c r="D15" s="104" t="s">
        <v>961</v>
      </c>
      <c r="E15" s="16">
        <v>0</v>
      </c>
      <c r="F15" s="104" t="s">
        <v>11</v>
      </c>
      <c r="G15" s="9" t="s">
        <v>4</v>
      </c>
      <c r="H15" s="23"/>
      <c r="I15" s="14" t="str">
        <f t="shared" si="0"/>
        <v>* telcomContact 0..* BackboneElement ##34#Address##34# ##334#Address##334#</v>
      </c>
    </row>
    <row r="16" spans="1:9" ht="29.5" x14ac:dyDescent="0.75">
      <c r="A16" s="9">
        <v>9</v>
      </c>
      <c r="B16" s="9" t="s">
        <v>947</v>
      </c>
      <c r="C16" s="104" t="s">
        <v>57</v>
      </c>
      <c r="D16" s="104" t="s">
        <v>57</v>
      </c>
      <c r="E16" s="16">
        <v>0</v>
      </c>
      <c r="F16" s="104" t="s">
        <v>11</v>
      </c>
      <c r="G16" s="9" t="s">
        <v>4</v>
      </c>
      <c r="H16" s="23"/>
      <c r="I16" s="14" t="str">
        <f t="shared" si="0"/>
        <v>* telcomContact.address 0..* BackboneElement ##34#A.1.2.1.1 Street##34# ##334#A.1.2.1.1 Street - Example: Rua dos Campeões##334#</v>
      </c>
    </row>
    <row r="17" spans="1:9" ht="29.5" x14ac:dyDescent="0.75">
      <c r="A17" s="9">
        <v>10</v>
      </c>
      <c r="B17" s="9" t="s">
        <v>948</v>
      </c>
      <c r="C17" s="104" t="s">
        <v>938</v>
      </c>
      <c r="D17" s="104" t="s">
        <v>962</v>
      </c>
      <c r="E17" s="16">
        <v>0</v>
      </c>
      <c r="F17" s="104">
        <v>1</v>
      </c>
      <c r="G17" s="9" t="s">
        <v>3</v>
      </c>
      <c r="H17" s="23"/>
      <c r="I17" s="14" t="str">
        <f t="shared" si="0"/>
        <v>* telcomContact.address.street 0..1 string ##34#A.1.2.1.2 House number##34# ##334#A.1.2.1.2 House number - Example: 246##334#</v>
      </c>
    </row>
    <row r="18" spans="1:9" ht="59" x14ac:dyDescent="0.75">
      <c r="A18" s="9">
        <v>11</v>
      </c>
      <c r="B18" s="9" t="s">
        <v>949</v>
      </c>
      <c r="C18" s="104" t="s">
        <v>939</v>
      </c>
      <c r="D18" s="104" t="s">
        <v>963</v>
      </c>
      <c r="E18" s="16">
        <v>0</v>
      </c>
      <c r="F18" s="104">
        <v>1</v>
      </c>
      <c r="G18" s="9" t="s">
        <v>3</v>
      </c>
      <c r="H18" s="23"/>
      <c r="I18" s="14" t="str">
        <f t="shared" si="0"/>
        <v>* telcomContact.address.houseNumber 0..1 string ##34#A.1.2.1.3 City##34# ##334#A.1.2.1.3 City - Example: Porto##334#</v>
      </c>
    </row>
    <row r="19" spans="1:9" ht="59" x14ac:dyDescent="0.75">
      <c r="A19" s="9">
        <v>12</v>
      </c>
      <c r="B19" s="9" t="s">
        <v>950</v>
      </c>
      <c r="C19" s="104" t="s">
        <v>940</v>
      </c>
      <c r="D19" s="104" t="s">
        <v>964</v>
      </c>
      <c r="E19" s="16">
        <v>0</v>
      </c>
      <c r="F19" s="104">
        <v>1</v>
      </c>
      <c r="G19" s="9" t="s">
        <v>3</v>
      </c>
      <c r="H19" s="23"/>
      <c r="I19" s="14" t="str">
        <f t="shared" si="0"/>
        <v>* telcomContact.address.city 0..1 string ##34#A.1.2.1.4 Post code##34# ##334#A.1.2.1.4 Post code - Example: 4500##334#</v>
      </c>
    </row>
    <row r="20" spans="1:9" ht="59" x14ac:dyDescent="0.75">
      <c r="A20" s="9">
        <v>13</v>
      </c>
      <c r="B20" s="9" t="s">
        <v>1003</v>
      </c>
      <c r="C20" s="104" t="s">
        <v>941</v>
      </c>
      <c r="D20" s="104" t="s">
        <v>965</v>
      </c>
      <c r="E20" s="16">
        <v>0</v>
      </c>
      <c r="F20" s="104">
        <v>1</v>
      </c>
      <c r="G20" s="9" t="s">
        <v>3</v>
      </c>
      <c r="H20" s="23"/>
      <c r="I20" s="14" t="str">
        <f t="shared" si="0"/>
        <v>* telcomContact.address.postalCode 0..1 string ##34#A.1.2.1.5 State or province##34# ##334#A.1.2.1.5 State or province - Example: Vila Nova de Gaia##334#</v>
      </c>
    </row>
    <row r="21" spans="1:9" ht="59" x14ac:dyDescent="0.75">
      <c r="A21" s="9">
        <v>14</v>
      </c>
      <c r="B21" s="9" t="s">
        <v>951</v>
      </c>
      <c r="C21" s="104" t="s">
        <v>942</v>
      </c>
      <c r="D21" s="104" t="s">
        <v>966</v>
      </c>
      <c r="E21" s="16">
        <v>0</v>
      </c>
      <c r="F21" s="104">
        <v>1</v>
      </c>
      <c r="G21" s="9" t="s">
        <v>3</v>
      </c>
      <c r="H21" s="23"/>
      <c r="I21" s="14" t="str">
        <f t="shared" si="0"/>
        <v>* telcomContact.address.stateOrProvince 0..1 string ##34#A.1.2.1.6 Country##34# ##334#A.1.2.1.6 Country - Example: PT - Preferred system(s): ISO 3166##334#</v>
      </c>
    </row>
    <row r="22" spans="1:9" ht="59" x14ac:dyDescent="0.75">
      <c r="A22" s="9">
        <v>15</v>
      </c>
      <c r="B22" s="9" t="s">
        <v>952</v>
      </c>
      <c r="C22" s="9" t="s">
        <v>943</v>
      </c>
      <c r="D22" s="104" t="s">
        <v>967</v>
      </c>
      <c r="E22" s="16">
        <v>0</v>
      </c>
      <c r="F22" s="9">
        <v>1</v>
      </c>
      <c r="G22" s="3" t="s">
        <v>1</v>
      </c>
      <c r="H22" s="23"/>
      <c r="I22" s="14" t="str">
        <f t="shared" si="0"/>
        <v>* telcomContact.address.country 0..1 CodeableConcept ##34#A.1.2.1.7 Telephone no.##34# ##334#A.1.2.1.7 Telephone no. - Example: +351 20 7025 6161##334#</v>
      </c>
    </row>
    <row r="23" spans="1:9" ht="59" x14ac:dyDescent="0.75">
      <c r="A23" s="9">
        <v>16</v>
      </c>
      <c r="B23" s="9" t="s">
        <v>953</v>
      </c>
      <c r="C23" s="9" t="s">
        <v>944</v>
      </c>
      <c r="D23" s="104" t="s">
        <v>968</v>
      </c>
      <c r="E23" s="16">
        <v>0</v>
      </c>
      <c r="F23" s="9" t="s">
        <v>11</v>
      </c>
      <c r="G23" s="9" t="s">
        <v>275</v>
      </c>
      <c r="H23" s="23"/>
      <c r="I23" s="14" t="str">
        <f t="shared" si="0"/>
        <v>* telcomContact.telephone 0..* ContactPoint ##34#A.1.2.1.8 Email##34# ##334#A.1.2.1.8 Email - Example: jens@bigsmile.eu##334#</v>
      </c>
    </row>
    <row r="24" spans="1:9" ht="59.75" thickBot="1" x14ac:dyDescent="0.9">
      <c r="A24" s="9">
        <v>17</v>
      </c>
      <c r="B24" s="9" t="s">
        <v>954</v>
      </c>
      <c r="C24" s="9" t="s">
        <v>945</v>
      </c>
      <c r="D24" s="104" t="s">
        <v>969</v>
      </c>
      <c r="E24" s="16">
        <v>0</v>
      </c>
      <c r="F24" s="9" t="s">
        <v>11</v>
      </c>
      <c r="G24" s="9" t="s">
        <v>275</v>
      </c>
      <c r="H24" s="23"/>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1058</v>
      </c>
      <c r="C25" s="9" t="s">
        <v>1032</v>
      </c>
      <c r="D25" s="107" t="s">
        <v>886</v>
      </c>
      <c r="E25" s="16">
        <v>0</v>
      </c>
      <c r="F25" s="9" t="s">
        <v>11</v>
      </c>
      <c r="G25" s="9" t="s">
        <v>4</v>
      </c>
      <c r="H25" s="23"/>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1059</v>
      </c>
      <c r="C26" s="9" t="s">
        <v>1033</v>
      </c>
      <c r="D26" s="87" t="s">
        <v>1040</v>
      </c>
      <c r="E26" s="16">
        <v>0</v>
      </c>
      <c r="F26" s="9" t="s">
        <v>11</v>
      </c>
      <c r="G26" s="9" t="s">
        <v>3</v>
      </c>
      <c r="H26" s="23"/>
      <c r="I26" s="14" t="str">
        <f t="shared" si="0"/>
        <v>* hpToContact.name 0..* string ##34#A.1.2.2.2 Role of the HP##34# ##334#A.1.2.2.2 Role of the HP - Health professional role##334#</v>
      </c>
    </row>
    <row r="27" spans="1:9" ht="59.75" thickBot="1" x14ac:dyDescent="0.9">
      <c r="A27" s="9">
        <v>20</v>
      </c>
      <c r="B27" s="9" t="s">
        <v>1060</v>
      </c>
      <c r="C27" s="9" t="s">
        <v>1034</v>
      </c>
      <c r="D27" s="89" t="s">
        <v>1041</v>
      </c>
      <c r="E27" s="16">
        <v>0</v>
      </c>
      <c r="F27" s="9" t="s">
        <v>11</v>
      </c>
      <c r="G27" s="9" t="s">
        <v>1</v>
      </c>
      <c r="H27" s="23"/>
      <c r="I27" s="14" t="str">
        <f t="shared" si="0"/>
        <v>* hpToContact.role 0..* CodeableConcept ##34#A.1.2.2.3 HP Organisation##34# ##334#A.1.2.2.3 HP Organisation - Health professional organisation##334#</v>
      </c>
    </row>
    <row r="28" spans="1:9" ht="74.5" thickBot="1" x14ac:dyDescent="0.9">
      <c r="A28" s="9">
        <v>21</v>
      </c>
      <c r="B28" s="9" t="s">
        <v>1061</v>
      </c>
      <c r="C28" s="9" t="s">
        <v>1035</v>
      </c>
      <c r="D28" s="89" t="s">
        <v>1042</v>
      </c>
      <c r="E28" s="16">
        <v>0</v>
      </c>
      <c r="F28" s="9" t="s">
        <v>11</v>
      </c>
      <c r="G28" s="9" t="s">
        <v>4</v>
      </c>
      <c r="H28" s="23"/>
      <c r="I28" s="14" t="str">
        <f t="shared" si="0"/>
        <v>* hpToContact.organization 0..* BackboneElement ##34#A.1.2.2.4 Telephone no.##34# ##334#A.1.2.2.4 Telephone no. - Example: +45 20 7025 6161##334#</v>
      </c>
    </row>
    <row r="29" spans="1:9" ht="74.5" thickBot="1" x14ac:dyDescent="0.9">
      <c r="A29" s="9">
        <v>22</v>
      </c>
      <c r="B29" s="9" t="s">
        <v>1062</v>
      </c>
      <c r="C29" s="9" t="s">
        <v>1036</v>
      </c>
      <c r="D29" s="89" t="s">
        <v>1043</v>
      </c>
      <c r="E29" s="16">
        <v>0</v>
      </c>
      <c r="F29" s="9" t="s">
        <v>11</v>
      </c>
      <c r="G29" s="9" t="s">
        <v>275</v>
      </c>
      <c r="H29" s="23"/>
      <c r="I29" s="14" t="str">
        <f t="shared" si="0"/>
        <v>* hpToContact.telephone 0..* ContactPoint ##34#A.1.2.2.5 Email##34# ##334#A.1.2.2.5 Email - Email of the HP/legal organisation##334#</v>
      </c>
    </row>
    <row r="30" spans="1:9" ht="59.75" thickBot="1" x14ac:dyDescent="0.9">
      <c r="A30" s="9">
        <v>23</v>
      </c>
      <c r="B30" s="9" t="s">
        <v>1063</v>
      </c>
      <c r="C30" s="9" t="s">
        <v>1037</v>
      </c>
      <c r="D30" s="89" t="s">
        <v>1044</v>
      </c>
      <c r="E30" s="16">
        <v>0</v>
      </c>
      <c r="F30" s="9" t="s">
        <v>11</v>
      </c>
      <c r="G30" s="9" t="s">
        <v>275</v>
      </c>
      <c r="H30" s="23"/>
      <c r="I30" s="14" t="str">
        <f t="shared" si="0"/>
        <v>* hpToContact.email 0..* ContactPoint ##34#A.1.2.2.6 Network affiliation##34# ##334#A.1.2.2.6 Network affiliation - The HP organization is affiliated with a European network, for example an ERN.##334#</v>
      </c>
    </row>
    <row r="31" spans="1:9" ht="30.25" thickBot="1" x14ac:dyDescent="0.9">
      <c r="A31" s="9">
        <v>24</v>
      </c>
      <c r="B31" s="9" t="s">
        <v>1064</v>
      </c>
      <c r="C31" s="9" t="s">
        <v>1038</v>
      </c>
      <c r="D31" s="89" t="s">
        <v>1045</v>
      </c>
      <c r="E31" s="16">
        <v>0</v>
      </c>
      <c r="F31" s="9" t="s">
        <v>11</v>
      </c>
      <c r="G31" s="9" t="s">
        <v>4</v>
      </c>
      <c r="H31" s="23"/>
      <c r="I31" s="14" t="str">
        <f t="shared" si="0"/>
        <v>* hpToContact.affiliatedNetwork 0..* BackboneElement ##34#A.1.2.2.7 Related with##34# ##334#A.1.2.2.7 Related with - Identify the entry or entries of this Patient Summary for which the health professional is the preferred contact.##334#</v>
      </c>
    </row>
    <row r="32" spans="1:9" ht="30.25" thickBot="1" x14ac:dyDescent="0.9">
      <c r="A32" s="9">
        <v>25</v>
      </c>
      <c r="B32" s="9" t="s">
        <v>1065</v>
      </c>
      <c r="C32" s="9" t="s">
        <v>1039</v>
      </c>
      <c r="D32" s="89" t="s">
        <v>1046</v>
      </c>
      <c r="E32" s="16">
        <v>0</v>
      </c>
      <c r="F32" s="9" t="s">
        <v>11</v>
      </c>
      <c r="G32" s="9" t="s">
        <v>1047</v>
      </c>
      <c r="H32" s="23"/>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30.25" thickBot="1" x14ac:dyDescent="0.9">
      <c r="A33" s="9">
        <v>26</v>
      </c>
      <c r="B33" s="9" t="s">
        <v>1066</v>
      </c>
      <c r="C33" s="9" t="s">
        <v>1048</v>
      </c>
      <c r="D33" s="89" t="s">
        <v>1055</v>
      </c>
      <c r="E33" s="16">
        <v>0</v>
      </c>
      <c r="F33" s="9" t="s">
        <v>11</v>
      </c>
      <c r="G33" s="9" t="s">
        <v>4</v>
      </c>
      <c r="H33" s="23"/>
      <c r="I33" s="14" t="str">
        <f t="shared" si="0"/>
        <v>* contactPerson 0..* BackboneElement ##34#A.1.2.3.1 Role of that person##34# ##334#A.1.2.3.1 Role of that person - Relationship type with the patient (e.g. father, wife, daughter) HL7 RoleCode##334#</v>
      </c>
    </row>
    <row r="34" spans="1:11" ht="30.25" thickBot="1" x14ac:dyDescent="0.9">
      <c r="A34" s="9">
        <v>27</v>
      </c>
      <c r="B34" s="9" t="s">
        <v>1072</v>
      </c>
      <c r="C34" s="9" t="s">
        <v>1049</v>
      </c>
      <c r="D34" s="89" t="s">
        <v>1056</v>
      </c>
      <c r="E34" s="16">
        <v>0</v>
      </c>
      <c r="F34" s="9" t="s">
        <v>11</v>
      </c>
      <c r="G34" s="9" t="s">
        <v>1</v>
      </c>
      <c r="H34" s="23"/>
      <c r="I34" s="14" t="str">
        <f t="shared" si="0"/>
        <v>* contactPerson.role 0..* CodeableConcept ##34#A.1.2.3.2 Relationship level##34# ##334#A.1.2.3.2 Relationship level - The first name of the contact person/guardian (Example: Peter). This field can contain more than one element.##334#</v>
      </c>
    </row>
    <row r="35" spans="1:11" ht="30.25" thickBot="1" x14ac:dyDescent="0.9">
      <c r="A35" s="9">
        <v>28</v>
      </c>
      <c r="B35" s="56" t="s">
        <v>1073</v>
      </c>
      <c r="C35" s="56" t="s">
        <v>1050</v>
      </c>
      <c r="D35" s="89" t="s">
        <v>1057</v>
      </c>
      <c r="E35" s="16">
        <v>0</v>
      </c>
      <c r="F35" s="9" t="s">
        <v>11</v>
      </c>
      <c r="G35" s="56" t="s">
        <v>1</v>
      </c>
      <c r="H35" s="23"/>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1074</v>
      </c>
      <c r="C36" s="9" t="s">
        <v>1051</v>
      </c>
      <c r="D36" s="89" t="s">
        <v>1067</v>
      </c>
      <c r="E36" s="16">
        <v>0</v>
      </c>
      <c r="F36" s="9" t="s">
        <v>11</v>
      </c>
      <c r="G36" s="9" t="s">
        <v>3</v>
      </c>
      <c r="H36" s="23"/>
      <c r="I36" s="14" t="str">
        <f t="shared" si="0"/>
        <v>* contactPerson.givenName 0..* string ##34#A.1.2.3.4 Family name/surname##34# ##334#A.1.2.3.4 Family name/surname - This field can contain more than one element.
Example: Español Smith##334#</v>
      </c>
    </row>
    <row r="37" spans="1:11" ht="29.5" x14ac:dyDescent="0.75">
      <c r="A37" s="9">
        <v>30</v>
      </c>
      <c r="B37" s="56" t="s">
        <v>1075</v>
      </c>
      <c r="C37" s="56" t="s">
        <v>1052</v>
      </c>
      <c r="D37" s="41" t="s">
        <v>1069</v>
      </c>
      <c r="E37" s="16">
        <v>0</v>
      </c>
      <c r="F37" s="9" t="s">
        <v>11</v>
      </c>
      <c r="G37" s="56" t="s">
        <v>3</v>
      </c>
      <c r="H37" s="23"/>
      <c r="I37" s="14" t="str">
        <f t="shared" si="0"/>
        <v>* contactPerson.familyName 0..* string ##34#A.1.2.3.5 Telephone no.##34# ##334#A.1.2.3.5 Telephone no. - Example: +45 20 7025 6161##334#</v>
      </c>
    </row>
    <row r="38" spans="1:11" ht="45" thickBot="1" x14ac:dyDescent="0.9">
      <c r="A38" s="9">
        <v>31</v>
      </c>
      <c r="B38" s="56" t="s">
        <v>1076</v>
      </c>
      <c r="C38" s="56" t="s">
        <v>1053</v>
      </c>
      <c r="D38" s="89" t="s">
        <v>1070</v>
      </c>
      <c r="E38" s="16">
        <v>0</v>
      </c>
      <c r="F38" s="9" t="s">
        <v>11</v>
      </c>
      <c r="G38" s="56" t="s">
        <v>275</v>
      </c>
      <c r="H38" s="23"/>
      <c r="I38" s="14" t="str">
        <f t="shared" si="0"/>
        <v>* contactPerson.telephone 0..* ContactPoint ##34#A.1.2.3.6 Email##34# ##334#A.1.2.3.6 Email - Email of the contact person/legal guardian##334#</v>
      </c>
    </row>
    <row r="39" spans="1:11" ht="45" thickBot="1" x14ac:dyDescent="0.9">
      <c r="A39" s="9">
        <v>32</v>
      </c>
      <c r="B39" s="9" t="s">
        <v>1077</v>
      </c>
      <c r="C39" s="9" t="s">
        <v>1054</v>
      </c>
      <c r="D39" s="89" t="s">
        <v>1071</v>
      </c>
      <c r="E39" s="16">
        <v>0</v>
      </c>
      <c r="F39" s="9" t="s">
        <v>11</v>
      </c>
      <c r="G39" s="9" t="s">
        <v>275</v>
      </c>
      <c r="H39" s="23"/>
      <c r="I39" s="14" t="str">
        <f t="shared" si="0"/>
        <v>* contactPerson.email 0..* ContactPoint ##34###34# ##334###334#</v>
      </c>
      <c r="J39" s="16"/>
      <c r="K39" s="9"/>
    </row>
    <row r="40" spans="1:11" ht="59.75" thickBot="1" x14ac:dyDescent="0.9">
      <c r="A40" s="9"/>
      <c r="B40" s="56"/>
      <c r="C40" s="56"/>
      <c r="D40" s="89"/>
      <c r="E40" s="56"/>
      <c r="F40" s="56"/>
      <c r="G40" s="56"/>
      <c r="H40" s="23"/>
      <c r="I40" s="14" t="str">
        <f>CONCATENATE("* ",B40, " ",E40,"..",F40," ",G40," ##34#",C41,"##34# ##334#",D41,"##334#")</f>
        <v>*  ..  ##34###34# ##334###334#</v>
      </c>
    </row>
    <row r="41" spans="1:11" ht="59" x14ac:dyDescent="0.75">
      <c r="A41" s="9"/>
      <c r="B41" s="56"/>
      <c r="C41" s="56"/>
      <c r="D41" s="108"/>
      <c r="E41" s="56"/>
      <c r="F41" s="56"/>
      <c r="G41" s="56"/>
      <c r="H41" s="23"/>
      <c r="I41" s="14" t="str">
        <f t="shared" si="0"/>
        <v>*  ..  ##34###34# ##334###334#</v>
      </c>
    </row>
    <row r="42" spans="1:11" ht="59" x14ac:dyDescent="0.75">
      <c r="A42" s="9"/>
      <c r="B42" s="56"/>
      <c r="C42" s="56"/>
      <c r="D42" s="108"/>
      <c r="E42" s="56"/>
      <c r="F42" s="56"/>
      <c r="G42" s="56"/>
      <c r="H42" s="23"/>
      <c r="I42" s="14" t="str">
        <f t="shared" si="0"/>
        <v>*  ..  ##34###34# ##334###334#</v>
      </c>
    </row>
    <row r="43" spans="1:11" ht="73.75" x14ac:dyDescent="0.75">
      <c r="A43" s="9"/>
      <c r="B43" s="56"/>
      <c r="C43" s="56"/>
      <c r="D43" s="108"/>
      <c r="E43" s="56"/>
      <c r="F43" s="56"/>
      <c r="G43" s="56"/>
      <c r="H43" s="23"/>
      <c r="I43" s="14" t="str">
        <f t="shared" si="0"/>
        <v>*  ..  ##34###34# ##334###334#</v>
      </c>
    </row>
    <row r="44" spans="1:11" x14ac:dyDescent="0.75">
      <c r="A44" s="9"/>
      <c r="B44" s="56"/>
      <c r="C44" s="56"/>
      <c r="D44" s="108"/>
      <c r="E44" s="56"/>
      <c r="F44" s="56"/>
      <c r="G44" s="56"/>
      <c r="H44" s="23"/>
      <c r="I44" s="14"/>
    </row>
    <row r="45" spans="1:11" x14ac:dyDescent="0.75">
      <c r="A45" s="9"/>
      <c r="B45" s="56"/>
      <c r="C45" s="56"/>
      <c r="D45" s="108"/>
      <c r="E45" s="56"/>
      <c r="F45" s="56"/>
      <c r="G45" s="56"/>
      <c r="H45" s="23"/>
      <c r="I45" s="14"/>
    </row>
    <row r="46" spans="1:11" ht="20.5" customHeight="1" x14ac:dyDescent="0.75">
      <c r="A46" s="9"/>
      <c r="B46" s="56"/>
      <c r="C46" s="56"/>
      <c r="D46" s="56"/>
      <c r="E46" s="56"/>
      <c r="F46" s="56"/>
      <c r="G46" s="56"/>
      <c r="H46" s="23"/>
      <c r="I46" s="14"/>
    </row>
    <row r="47" spans="1:11" x14ac:dyDescent="0.75">
      <c r="A47" s="9"/>
      <c r="B47" s="9"/>
      <c r="C47" s="9"/>
      <c r="D47" s="9"/>
      <c r="E47" s="9"/>
      <c r="F47" s="9"/>
      <c r="G47" s="9"/>
      <c r="H47" s="23"/>
      <c r="I47" s="14"/>
    </row>
    <row r="48" spans="1:11" x14ac:dyDescent="0.75">
      <c r="A48" s="9"/>
      <c r="B48" s="56"/>
      <c r="C48" s="56"/>
      <c r="D48" s="56"/>
      <c r="E48" s="56"/>
      <c r="F48" s="56"/>
      <c r="G48" s="56"/>
      <c r="H48" s="23"/>
      <c r="I48" s="14"/>
    </row>
    <row r="49" spans="1:9" x14ac:dyDescent="0.75">
      <c r="A49" s="9"/>
      <c r="B49" s="9"/>
      <c r="C49" s="9"/>
      <c r="D49" s="9"/>
      <c r="E49" s="9"/>
      <c r="F49" s="9"/>
      <c r="G49" s="9"/>
      <c r="H49" s="23"/>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15" t="s">
        <v>906</v>
      </c>
      <c r="D52" s="116"/>
      <c r="E52" s="116"/>
      <c r="F52" s="117"/>
      <c r="I52"/>
    </row>
    <row r="53" spans="1:9" ht="133.5" thickBot="1" x14ac:dyDescent="0.9">
      <c r="B53" t="str">
        <f t="shared" si="1"/>
        <v>A.1.2.3.1 Role of that person</v>
      </c>
      <c r="C53" s="86" t="s">
        <v>907</v>
      </c>
      <c r="D53" s="87" t="s">
        <v>908</v>
      </c>
      <c r="E53" s="87" t="s">
        <v>909</v>
      </c>
      <c r="F53" s="87" t="s">
        <v>910</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8" t="s">
        <v>911</v>
      </c>
      <c r="D54" s="89" t="s">
        <v>912</v>
      </c>
      <c r="E54" s="89" t="s">
        <v>913</v>
      </c>
      <c r="F54" s="89"/>
      <c r="I54" s="1" t="str">
        <f t="shared" si="2"/>
        <v xml:space="preserve">Relationship type with the patient (e.g. father, wife, daughter) HL7 RoleCode - Preferred system(s): </v>
      </c>
    </row>
    <row r="55" spans="1:9" ht="30.25" customHeight="1" thickBot="1" x14ac:dyDescent="0.9">
      <c r="B55" t="str">
        <f t="shared" si="1"/>
        <v>A.1.2.3.3 Given name</v>
      </c>
      <c r="C55" s="88" t="s">
        <v>914</v>
      </c>
      <c r="D55" s="89" t="s">
        <v>915</v>
      </c>
      <c r="E55" s="89" t="s">
        <v>916</v>
      </c>
      <c r="F55" s="89"/>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6" t="s">
        <v>917</v>
      </c>
      <c r="D56" s="106" t="s">
        <v>44</v>
      </c>
      <c r="E56" s="41" t="s">
        <v>1068</v>
      </c>
      <c r="F56" s="106"/>
      <c r="I56" s="1" t="str">
        <f t="shared" si="2"/>
        <v xml:space="preserve">This field can contain more than one element.
Example: Español Smith - Preferred system(s): </v>
      </c>
    </row>
    <row r="57" spans="1:9" ht="45" customHeight="1" thickBot="1" x14ac:dyDescent="0.9">
      <c r="B57" t="str">
        <f t="shared" si="1"/>
        <v>A.1.2.3.5 Telephone no.</v>
      </c>
      <c r="C57" s="88" t="s">
        <v>920</v>
      </c>
      <c r="D57" s="89" t="s">
        <v>880</v>
      </c>
      <c r="E57" s="89" t="s">
        <v>897</v>
      </c>
      <c r="F57" s="89"/>
      <c r="I57" s="1" t="str">
        <f t="shared" si="2"/>
        <v xml:space="preserve">Example: +45 20 7025 6161 - Preferred system(s): </v>
      </c>
    </row>
    <row r="58" spans="1:9" ht="29.5" customHeight="1" thickBot="1" x14ac:dyDescent="0.9">
      <c r="B58" t="str">
        <f t="shared" si="1"/>
        <v>A.1.2.3.6 Email</v>
      </c>
      <c r="C58" s="88" t="s">
        <v>921</v>
      </c>
      <c r="D58" s="89" t="s">
        <v>883</v>
      </c>
      <c r="E58" s="89" t="s">
        <v>922</v>
      </c>
      <c r="F58" s="89"/>
      <c r="I58" s="1" t="str">
        <f t="shared" si="2"/>
        <v xml:space="preserve">Email of the contact person/legal guardian - Preferred system(s): </v>
      </c>
    </row>
    <row r="59" spans="1:9" ht="14.75" customHeight="1" thickBot="1" x14ac:dyDescent="0.9">
      <c r="C59" s="88"/>
      <c r="D59" s="89"/>
      <c r="E59" s="89"/>
      <c r="F59" s="89"/>
      <c r="I59" s="1" t="str">
        <f t="shared" si="2"/>
        <v xml:space="preserve"> - Preferred system(s): </v>
      </c>
    </row>
    <row r="60" spans="1:9" ht="30.25" customHeight="1" thickBot="1" x14ac:dyDescent="0.9">
      <c r="B60" t="str">
        <f t="shared" si="1"/>
        <v xml:space="preserve"> </v>
      </c>
      <c r="C60" s="88"/>
      <c r="D60" s="89"/>
      <c r="E60" s="89"/>
      <c r="F60" s="89"/>
      <c r="I60" s="1" t="str">
        <f t="shared" si="2"/>
        <v xml:space="preserve"> - Preferred system(s): </v>
      </c>
    </row>
    <row r="61" spans="1:9" ht="15.5" thickBot="1" x14ac:dyDescent="0.9">
      <c r="B61" t="str">
        <f t="shared" si="1"/>
        <v xml:space="preserve"> </v>
      </c>
      <c r="C61" s="88"/>
      <c r="D61" s="89"/>
      <c r="E61" s="89"/>
      <c r="F61" s="89"/>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3" t="s">
        <v>983</v>
      </c>
    </row>
    <row r="3" spans="3:7" x14ac:dyDescent="0.75">
      <c r="C3" s="33" t="str">
        <f>Subj!I3</f>
        <v>// -------------------------------------------------------------------------------</v>
      </c>
    </row>
    <row r="4" spans="3:7" x14ac:dyDescent="0.75">
      <c r="C4" s="25" t="str">
        <f>Subj!I4</f>
        <v>Logical: SubjectPsEhn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273</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29.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44.2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712</v>
      </c>
      <c r="D3" s="70" t="s">
        <v>560</v>
      </c>
      <c r="E3" s="136" t="s">
        <v>1011</v>
      </c>
      <c r="F3" s="136"/>
      <c r="G3" s="136"/>
    </row>
    <row r="4" spans="1:19" x14ac:dyDescent="0.75">
      <c r="B4" s="70" t="s">
        <v>19</v>
      </c>
      <c r="C4" s="51" t="s">
        <v>1090</v>
      </c>
      <c r="D4" s="70" t="s">
        <v>561</v>
      </c>
      <c r="E4" s="137" t="s">
        <v>1012</v>
      </c>
      <c r="F4" s="136"/>
      <c r="G4" s="136"/>
    </row>
    <row r="5" spans="1:19" x14ac:dyDescent="0.75">
      <c r="B5" s="70" t="s">
        <v>13</v>
      </c>
      <c r="C5" s="10" t="s">
        <v>581</v>
      </c>
      <c r="D5" s="70"/>
      <c r="E5" s="10"/>
    </row>
    <row r="6" spans="1:19" x14ac:dyDescent="0.75">
      <c r="B6" s="70" t="s">
        <v>35</v>
      </c>
      <c r="C6" s="69" t="s">
        <v>1011</v>
      </c>
      <c r="D6" s="70" t="s">
        <v>558</v>
      </c>
      <c r="E6" s="136" t="s">
        <v>1011</v>
      </c>
      <c r="F6" s="136"/>
      <c r="G6" s="136"/>
    </row>
    <row r="7" spans="1:19" x14ac:dyDescent="0.75">
      <c r="B7" s="70" t="s">
        <v>18</v>
      </c>
      <c r="C7" s="69" t="s">
        <v>1012</v>
      </c>
      <c r="D7" s="70" t="s">
        <v>559</v>
      </c>
      <c r="E7" s="137" t="s">
        <v>1012</v>
      </c>
      <c r="F7" s="136"/>
      <c r="G7" s="136"/>
    </row>
    <row r="8" spans="1:19" ht="44.25" x14ac:dyDescent="0.75">
      <c r="B8" s="70" t="s">
        <v>554</v>
      </c>
      <c r="C8" s="10" t="s">
        <v>582</v>
      </c>
      <c r="D8" s="70"/>
      <c r="E8"/>
      <c r="I8" s="14" t="s">
        <v>526</v>
      </c>
      <c r="J8" s="14" t="s">
        <v>527</v>
      </c>
      <c r="K8" s="14" t="s">
        <v>528</v>
      </c>
      <c r="L8" s="14" t="s">
        <v>529</v>
      </c>
      <c r="M8" s="9" t="s">
        <v>530</v>
      </c>
      <c r="P8" s="66" t="s">
        <v>531</v>
      </c>
      <c r="Q8" s="66">
        <v>6</v>
      </c>
    </row>
    <row r="9" spans="1:19" ht="29.5" x14ac:dyDescent="0.75">
      <c r="B9" s="70" t="s">
        <v>555</v>
      </c>
      <c r="C9" s="1" t="s">
        <v>1015</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Subj!B5</f>
        <v>Subject</v>
      </c>
      <c r="C14" s="9"/>
      <c r="D14" s="4" t="s">
        <v>17</v>
      </c>
      <c r="E14" s="8"/>
      <c r="F14" s="9"/>
      <c r="G14" s="9"/>
      <c r="I14" s="14"/>
      <c r="J14" s="9"/>
      <c r="K14" s="9"/>
      <c r="L14" s="9"/>
      <c r="M14" s="68"/>
      <c r="N14" s="71"/>
    </row>
    <row r="15" spans="1:19" ht="44.25" x14ac:dyDescent="0.75">
      <c r="A15" s="23"/>
      <c r="B15" s="9" t="str">
        <f>Subj!B8</f>
        <v>identification</v>
      </c>
      <c r="C15" s="9" t="str">
        <f>Subj!C8</f>
        <v>A.1.1 Identification of the patient/subject</v>
      </c>
      <c r="D15" s="9" t="s">
        <v>17</v>
      </c>
      <c r="E15" s="59"/>
      <c r="F15" s="72" t="s">
        <v>538</v>
      </c>
      <c r="G15" s="72"/>
      <c r="H15" s="73"/>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3"/>
      <c r="B16" s="9" t="str">
        <f>Subj!B9</f>
        <v>identification.identifier</v>
      </c>
      <c r="C16" s="9" t="str">
        <f>Subj!C9</f>
        <v>A.1.1.1 National healthcare patient ID</v>
      </c>
      <c r="D16" s="9" t="s">
        <v>308</v>
      </c>
      <c r="E16" s="9"/>
      <c r="F16" s="72" t="s">
        <v>537</v>
      </c>
      <c r="G16" s="72"/>
      <c r="H16" s="73"/>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3"/>
      <c r="B17" s="9" t="str">
        <f>Subj!B10</f>
        <v>identification.familyName</v>
      </c>
      <c r="C17" s="9" t="str">
        <f>Subj!C10</f>
        <v>A.1.1.2 Family name/surname</v>
      </c>
      <c r="D17" s="9" t="s">
        <v>574</v>
      </c>
      <c r="E17" s="9"/>
      <c r="F17" s="72" t="s">
        <v>537</v>
      </c>
      <c r="G17" s="72"/>
      <c r="H17" s="73"/>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3"/>
      <c r="B18" s="9" t="str">
        <f>Subj!B11</f>
        <v>identification.givenName</v>
      </c>
      <c r="C18" s="9" t="str">
        <f>Subj!C11</f>
        <v>A.1.1.3 Given name</v>
      </c>
      <c r="D18" s="9" t="s">
        <v>575</v>
      </c>
      <c r="E18" s="9"/>
      <c r="F18" s="72" t="s">
        <v>537</v>
      </c>
      <c r="G18" s="72"/>
      <c r="H18" s="73"/>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3"/>
      <c r="B19" s="9" t="str">
        <f>Subj!B12</f>
        <v>identification.dateOfBirth</v>
      </c>
      <c r="C19" s="9" t="str">
        <f>Subj!C12</f>
        <v>A.1.1.4 Date of birth</v>
      </c>
      <c r="D19" s="9" t="s">
        <v>576</v>
      </c>
      <c r="E19" s="9"/>
      <c r="F19" s="72" t="s">
        <v>537</v>
      </c>
      <c r="G19" s="72"/>
      <c r="H19" s="73"/>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3"/>
      <c r="B20" s="9" t="str">
        <f>Subj!B13</f>
        <v>identification.gender</v>
      </c>
      <c r="C20" s="9" t="str">
        <f>Subj!C13</f>
        <v>A.1.1.5 Gender</v>
      </c>
      <c r="D20" s="9" t="s">
        <v>577</v>
      </c>
      <c r="E20" s="9"/>
      <c r="F20" s="72" t="s">
        <v>537</v>
      </c>
      <c r="G20" s="72"/>
      <c r="H20" s="73"/>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3"/>
      <c r="B21" s="9" t="str">
        <f>Subj!B14</f>
        <v>identification.countryOfAffiliation</v>
      </c>
      <c r="C21" s="9" t="str">
        <f>Subj!C14</f>
        <v>A.1.1.5 Country of affiliation</v>
      </c>
      <c r="D21" s="14" t="s">
        <v>997</v>
      </c>
      <c r="E21" s="9"/>
      <c r="F21" s="72" t="s">
        <v>538</v>
      </c>
      <c r="G21" s="79" t="s">
        <v>1010</v>
      </c>
      <c r="H21" s="73"/>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3"/>
      <c r="B22" s="9" t="str">
        <f>Subj!B15</f>
        <v>telcomContact</v>
      </c>
      <c r="C22" s="9" t="str">
        <f>Subj!C15</f>
        <v>A.1.2.1 Patient address</v>
      </c>
      <c r="D22" s="9"/>
      <c r="E22" s="9"/>
      <c r="F22" s="72" t="s">
        <v>538</v>
      </c>
      <c r="G22" s="80"/>
      <c r="H22" s="73"/>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3"/>
      <c r="B23" s="9" t="str">
        <f>Subj!B16</f>
        <v>telcomContact.address</v>
      </c>
      <c r="C23" s="9" t="str">
        <f>Subj!C16</f>
        <v>Address</v>
      </c>
      <c r="D23" s="9" t="s">
        <v>578</v>
      </c>
      <c r="E23" s="14"/>
      <c r="F23" s="72" t="s">
        <v>537</v>
      </c>
      <c r="G23" s="72"/>
      <c r="H23" s="73"/>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3"/>
      <c r="B24" s="9" t="str">
        <f>Subj!B17</f>
        <v>telcomContact.address.street</v>
      </c>
      <c r="C24" s="9" t="str">
        <f>Subj!C17</f>
        <v>A.1.2.1.1 Street</v>
      </c>
      <c r="D24" s="1" t="s">
        <v>995</v>
      </c>
      <c r="E24" s="14"/>
      <c r="F24" s="72" t="s">
        <v>538</v>
      </c>
      <c r="G24" s="72"/>
      <c r="H24" s="73"/>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1000</v>
      </c>
      <c r="E25" s="14"/>
      <c r="F25" s="72" t="s">
        <v>537</v>
      </c>
      <c r="G25" t="s">
        <v>998</v>
      </c>
      <c r="H25" s="73"/>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1001</v>
      </c>
      <c r="E26" s="14"/>
      <c r="F26" s="72" t="s">
        <v>537</v>
      </c>
      <c r="G26" t="s">
        <v>999</v>
      </c>
      <c r="H26" s="73"/>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996</v>
      </c>
      <c r="E27" s="14"/>
      <c r="F27" s="72" t="s">
        <v>537</v>
      </c>
      <c r="G27" s="72"/>
      <c r="H27" s="73"/>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1002</v>
      </c>
      <c r="E28" s="14"/>
      <c r="F28" s="72" t="s">
        <v>537</v>
      </c>
      <c r="G28" s="72"/>
      <c r="H28" s="73"/>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1004</v>
      </c>
      <c r="E29" s="14"/>
      <c r="F29" s="72" t="s">
        <v>537</v>
      </c>
      <c r="G29" s="72"/>
      <c r="H29" s="73"/>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997</v>
      </c>
      <c r="E30" s="14"/>
      <c r="F30" s="72" t="s">
        <v>537</v>
      </c>
      <c r="G30" s="72" t="s">
        <v>1006</v>
      </c>
      <c r="H30" s="73"/>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1005</v>
      </c>
      <c r="E31" s="14"/>
      <c r="F31" s="72" t="s">
        <v>537</v>
      </c>
      <c r="G31" s="79" t="s">
        <v>1007</v>
      </c>
      <c r="H31" s="73"/>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579</v>
      </c>
      <c r="E32" s="14"/>
      <c r="F32" s="72" t="s">
        <v>537</v>
      </c>
      <c r="G32" s="72" t="s">
        <v>1008</v>
      </c>
      <c r="H32" s="73"/>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579</v>
      </c>
      <c r="E33" s="14"/>
      <c r="F33" s="72" t="s">
        <v>537</v>
      </c>
      <c r="G33" s="72" t="s">
        <v>1009</v>
      </c>
      <c r="H33" s="73"/>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72" t="s">
        <v>539</v>
      </c>
      <c r="G34" s="109" t="s">
        <v>1078</v>
      </c>
      <c r="H34" s="73"/>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72" t="s">
        <v>539</v>
      </c>
      <c r="G35" s="109" t="s">
        <v>1078</v>
      </c>
      <c r="H35" s="73"/>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72" t="s">
        <v>539</v>
      </c>
      <c r="G36" s="109" t="s">
        <v>1078</v>
      </c>
      <c r="H36" s="73"/>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72" t="s">
        <v>539</v>
      </c>
      <c r="G37" s="109" t="s">
        <v>1078</v>
      </c>
      <c r="H37" s="73"/>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72" t="s">
        <v>539</v>
      </c>
      <c r="G38" s="109" t="s">
        <v>1078</v>
      </c>
      <c r="H38" s="73"/>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72" t="s">
        <v>539</v>
      </c>
      <c r="G39" s="109" t="s">
        <v>1078</v>
      </c>
      <c r="H39" s="73"/>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72" t="s">
        <v>539</v>
      </c>
      <c r="G40" s="109" t="s">
        <v>1078</v>
      </c>
      <c r="H40" s="73"/>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72" t="s">
        <v>539</v>
      </c>
      <c r="G41" s="109" t="s">
        <v>1078</v>
      </c>
      <c r="H41" s="73"/>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1079</v>
      </c>
      <c r="E42" s="14"/>
      <c r="F42" s="72" t="s">
        <v>537</v>
      </c>
      <c r="G42" s="72"/>
      <c r="H42" s="73"/>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1080</v>
      </c>
      <c r="E43" s="14"/>
      <c r="F43" s="72" t="s">
        <v>538</v>
      </c>
      <c r="G43" s="109" t="s">
        <v>1084</v>
      </c>
      <c r="H43" s="73"/>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1080</v>
      </c>
      <c r="E44" s="14"/>
      <c r="F44" s="72" t="s">
        <v>537</v>
      </c>
      <c r="G44" s="72"/>
      <c r="H44" s="73"/>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1081</v>
      </c>
      <c r="E45" s="14"/>
      <c r="F45" s="72" t="s">
        <v>537</v>
      </c>
      <c r="G45" s="72"/>
      <c r="H45" s="73"/>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1082</v>
      </c>
      <c r="E46" s="14"/>
      <c r="F46" s="72" t="s">
        <v>537</v>
      </c>
      <c r="G46" s="72"/>
      <c r="H46" s="73"/>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1083</v>
      </c>
      <c r="E47" s="14"/>
      <c r="F47" s="72" t="s">
        <v>537</v>
      </c>
      <c r="G47" s="72"/>
      <c r="H47" s="73"/>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1083</v>
      </c>
      <c r="E48" s="14"/>
      <c r="F48" s="72" t="s">
        <v>537</v>
      </c>
      <c r="G48" s="72"/>
      <c r="H48" s="73"/>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6">
        <f>Subj!B40</f>
        <v>0</v>
      </c>
      <c r="C49" s="56">
        <f>Subj!C40</f>
        <v>0</v>
      </c>
      <c r="F49" s="73"/>
      <c r="G49" s="73"/>
      <c r="H49" s="73"/>
      <c r="I49" s="73"/>
      <c r="J49" s="73"/>
      <c r="K49" s="73"/>
      <c r="L49" s="73"/>
      <c r="M49" s="73"/>
      <c r="N49" s="73"/>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3"/>
      <c r="G50" s="73"/>
      <c r="H50" s="73"/>
      <c r="I50" s="73"/>
      <c r="J50" s="73"/>
      <c r="K50" s="73"/>
      <c r="L50" s="73"/>
      <c r="M50" s="73"/>
      <c r="N50" s="73"/>
      <c r="P50" s="9">
        <v>36</v>
      </c>
      <c r="Q50" s="9">
        <f t="shared" si="9"/>
        <v>5</v>
      </c>
      <c r="R50" s="9">
        <f t="shared" si="10"/>
        <v>6</v>
      </c>
      <c r="S50" s="14" t="str" cm="1">
        <f t="array" ref="S50">INDEX('Subj-ConceptMap-1'!$I$15:$N$212,Q50+1,R50)</f>
        <v/>
      </c>
    </row>
    <row r="51" spans="1:19" x14ac:dyDescent="0.75">
      <c r="B51" s="9">
        <f>Subj!B42</f>
        <v>0</v>
      </c>
      <c r="C51" s="9">
        <f>Subj!C42</f>
        <v>0</v>
      </c>
      <c r="F51" s="73"/>
      <c r="G51" s="73"/>
      <c r="H51" s="73"/>
      <c r="J51" s="73"/>
      <c r="K51" s="73"/>
      <c r="L51" s="73"/>
      <c r="M51" s="73"/>
      <c r="N51" s="73"/>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3"/>
      <c r="G52" s="73"/>
      <c r="H52" s="73"/>
      <c r="J52" s="73"/>
      <c r="K52" s="73"/>
      <c r="L52" s="73"/>
      <c r="M52" s="73"/>
      <c r="N52" s="73"/>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3"/>
      <c r="G53" s="73"/>
      <c r="H53" s="73"/>
      <c r="J53" s="73"/>
      <c r="K53" s="73"/>
      <c r="L53" s="73"/>
      <c r="M53" s="73"/>
      <c r="N53" s="73"/>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3"/>
      <c r="G54" s="73"/>
      <c r="H54" s="73"/>
      <c r="J54" s="73"/>
      <c r="K54" s="73"/>
      <c r="L54" s="73"/>
      <c r="M54" s="73"/>
      <c r="N54" s="73"/>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ht="29.5" x14ac:dyDescent="0.75">
      <c r="P175" s="9">
        <v>161</v>
      </c>
      <c r="Q175" s="9">
        <f t="shared" si="19"/>
        <v>26</v>
      </c>
      <c r="R175" s="9">
        <f t="shared" si="20"/>
        <v>5</v>
      </c>
      <c r="S175" s="14" t="str" cm="1">
        <f t="array" ref="S175">INDEX('Subj-ConceptMap-1'!$I$15:$N$212,Q175+1,R175)</f>
        <v>* group[=].element[=].target.equivalence = #unmatched</v>
      </c>
    </row>
    <row r="176" spans="16:19"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tabSelected="1"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580</v>
      </c>
    </row>
    <row r="3" spans="2:7" x14ac:dyDescent="0.75">
      <c r="B3" s="33" t="s">
        <v>37</v>
      </c>
    </row>
    <row r="4" spans="2:7" x14ac:dyDescent="0.75">
      <c r="B4" s="74" t="str">
        <f>"Instance: "&amp;'Subj-ConceptMap-1'!C4</f>
        <v>Instance: subject2FHIR-eu-ps</v>
      </c>
    </row>
    <row r="5" spans="2:7" x14ac:dyDescent="0.75">
      <c r="B5" s="74" t="s">
        <v>541</v>
      </c>
    </row>
    <row r="6" spans="2:7" x14ac:dyDescent="0.75">
      <c r="B6" s="74" t="s">
        <v>542</v>
      </c>
    </row>
    <row r="7" spans="2:7" x14ac:dyDescent="0.75">
      <c r="B7" s="74" t="s">
        <v>552</v>
      </c>
    </row>
    <row r="8" spans="2:7" x14ac:dyDescent="0.75">
      <c r="B8" s="74" t="str">
        <f>"* name = ##34#"&amp;'Subj-ConceptMap-1'!C3&amp;"##34#"</f>
        <v>* name = ##34#LabRptSubject2Fhir##34#</v>
      </c>
    </row>
    <row r="9" spans="2:7" x14ac:dyDescent="0.75">
      <c r="B9" s="74" t="str">
        <f>"* title = ##34#"&amp;'Subj-ConceptMap-1'!C5&amp;"##34#"</f>
        <v>* title = ##34#eHN Subject to this guide Map##34#</v>
      </c>
    </row>
    <row r="10" spans="2:7" x14ac:dyDescent="0.75">
      <c r="B10" s="74" t="s">
        <v>543</v>
      </c>
    </row>
    <row r="11" spans="2:7" x14ac:dyDescent="0.75">
      <c r="B11" s="74" t="s">
        <v>544</v>
      </c>
    </row>
    <row r="12" spans="2:7" x14ac:dyDescent="0.75">
      <c r="B12" s="74" t="str">
        <f>"* description = ##34#"&amp;'Subj-ConceptMap-1'!C8&amp;"##34#"</f>
        <v>* description = ##34#eHN Subject Model to this guide Map##34#</v>
      </c>
    </row>
    <row r="13" spans="2:7" x14ac:dyDescent="0.75">
      <c r="B13" s="74" t="str">
        <f>"* purpose = ##34#"&amp;'Subj-ConceptMap-1'!C9&amp;"##34#"</f>
        <v>* purpose = ##34#It shows how the Patient Summary Subject data set defined by the EU eHN guidelines is mapped into this guide##34#</v>
      </c>
    </row>
    <row r="14" spans="2:7" x14ac:dyDescent="0.75">
      <c r="B14" s="75" t="str">
        <f>"* sourceUri = ##34#"&amp;'Subj-ConceptMap-1'!E3&amp;"##34#"</f>
        <v>* sourceUri = ##34#http://hl7.eu/fhir/ig/xpandh/ps/StructureDefinition/Subject##34#</v>
      </c>
    </row>
    <row r="15" spans="2:7" x14ac:dyDescent="0.75">
      <c r="B15" s="75" t="str">
        <f>"* targetUri = ##34#"&amp;'Subj-ConceptMap-1'!E4&amp;"##34#"</f>
        <v>* targetUri = ##34#http://hl7.eu/fhir/ig/xpandh/ps/StructureDefinition/Patient-ps-xpandh##34#</v>
      </c>
    </row>
    <row r="16" spans="2:7" x14ac:dyDescent="0.75">
      <c r="B16" s="74"/>
    </row>
    <row r="17" spans="2:7" x14ac:dyDescent="0.75">
      <c r="B17" s="76" t="str">
        <f>"* group[+].source = ##34#"&amp;'Subj-ConceptMap-1'!E6&amp;"##34#"</f>
        <v>* group[+].source = ##34#http://hl7.eu/fhir/ig/xpandh/ps/StructureDefinition/Subject##34#</v>
      </c>
    </row>
    <row r="18" spans="2:7" x14ac:dyDescent="0.75">
      <c r="B18" s="76" t="str">
        <f>"* group[=].target = ##34#"&amp;'Subj-ConceptMap-1'!E7&amp;"##34#"</f>
        <v>* group[=].target = ##34#http://hl7.eu/fhir/ig/xpandh/ps/StructureDefinition/Patient-ps-xpandh##34#</v>
      </c>
    </row>
    <row r="19" spans="2:7" x14ac:dyDescent="0.75">
      <c r="B19" s="78"/>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3"/>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927</v>
      </c>
      <c r="I4" s="25" t="str">
        <f>CONCATENATE("Logical: ",B4)</f>
        <v>Logical: PayerPsEhn</v>
      </c>
    </row>
    <row r="5" spans="1:11" x14ac:dyDescent="0.75">
      <c r="A5" s="18" t="s">
        <v>19</v>
      </c>
      <c r="B5" s="34" t="s">
        <v>305</v>
      </c>
      <c r="I5" s="25" t="str">
        <f>CONCATENATE("Id: ",B5)</f>
        <v>Id: Payer</v>
      </c>
    </row>
    <row r="6" spans="1:11" x14ac:dyDescent="0.75">
      <c r="A6" s="18" t="s">
        <v>13</v>
      </c>
      <c r="B6" s="19" t="s">
        <v>770</v>
      </c>
      <c r="I6" s="26" t="str">
        <f>CONCATENATE("Title: ##34#",B6,"##34#")</f>
        <v>Title: ##34#A.1.3 - Health insurance and payment information##34#</v>
      </c>
    </row>
    <row r="7" spans="1:11" ht="15.5" customHeight="1" thickBot="1" x14ac:dyDescent="0.9">
      <c r="A7" s="20" t="s">
        <v>5</v>
      </c>
      <c r="B7" s="21" t="s">
        <v>761</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294</v>
      </c>
      <c r="C8" t="s">
        <v>290</v>
      </c>
      <c r="D8" s="14" t="s">
        <v>328</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298</v>
      </c>
      <c r="C9" t="s">
        <v>291</v>
      </c>
      <c r="D9" s="14" t="s">
        <v>295</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299</v>
      </c>
      <c r="C10" t="s">
        <v>292</v>
      </c>
      <c r="D10" s="14" t="s">
        <v>296</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300</v>
      </c>
      <c r="C11" t="s">
        <v>293</v>
      </c>
      <c r="D11" s="14" t="s">
        <v>297</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5" t="s">
        <v>279</v>
      </c>
      <c r="D23" s="116"/>
      <c r="E23" s="116"/>
      <c r="F23" s="117"/>
      <c r="I23"/>
    </row>
    <row r="24" spans="2:9" ht="400.75" thickBot="1" x14ac:dyDescent="0.9">
      <c r="B24" t="str">
        <f t="shared" si="1"/>
        <v>A.1.3.1 Health insurance information</v>
      </c>
      <c r="C24" s="36" t="s">
        <v>61</v>
      </c>
      <c r="D24" s="39" t="s">
        <v>62</v>
      </c>
      <c r="E24" s="37" t="s">
        <v>329</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64</v>
      </c>
      <c r="D25" s="39" t="s">
        <v>65</v>
      </c>
      <c r="E25" s="37" t="s">
        <v>66</v>
      </c>
      <c r="F25" s="42"/>
      <c r="I25" s="1" t="str">
        <f t="shared" si="2"/>
        <v xml:space="preserve">Unique health insurance company identification code. - Preferred system(s): </v>
      </c>
    </row>
    <row r="26" spans="2:9" ht="112.75" thickBot="1" x14ac:dyDescent="0.9">
      <c r="B26" t="str">
        <f t="shared" si="1"/>
        <v>A.1.3.1.2 Health insurance name</v>
      </c>
      <c r="C26" s="36" t="s">
        <v>67</v>
      </c>
      <c r="D26" s="39" t="s">
        <v>68</v>
      </c>
      <c r="E26" s="37" t="s">
        <v>69</v>
      </c>
      <c r="F26" s="42"/>
      <c r="I26" s="1" t="str">
        <f t="shared" si="2"/>
        <v xml:space="preserve">Full, official name of the healthcare insurance provider. - Preferred system(s): </v>
      </c>
    </row>
    <row r="27" spans="2:9" ht="160.75" thickBot="1" x14ac:dyDescent="0.9">
      <c r="B27" t="str">
        <f t="shared" si="1"/>
        <v>A.1.3.1.3 Health insurance number</v>
      </c>
      <c r="C27" s="36" t="s">
        <v>70</v>
      </c>
      <c r="D27" s="39" t="s">
        <v>71</v>
      </c>
      <c r="E27" s="37" t="s">
        <v>72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303</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304</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984</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472</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477</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478</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473</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474</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476</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475</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3" t="s">
        <v>985</v>
      </c>
    </row>
    <row r="3" spans="3:7" x14ac:dyDescent="0.75">
      <c r="C3" s="33" t="str">
        <f>'A1.3 Payer'!I3</f>
        <v>// -------------------------------------------------------------------------------</v>
      </c>
    </row>
    <row r="4" spans="3:7" x14ac:dyDescent="0.75">
      <c r="C4" s="25" t="str">
        <f>'A1.3 Payer'!I4</f>
        <v>Logical: PayerPsEhn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273</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610</v>
      </c>
      <c r="D3" s="70" t="s">
        <v>560</v>
      </c>
      <c r="E3" s="137" t="s">
        <v>583</v>
      </c>
      <c r="F3" s="136"/>
      <c r="G3" s="136"/>
    </row>
    <row r="4" spans="1:19" x14ac:dyDescent="0.75">
      <c r="B4" s="70" t="s">
        <v>19</v>
      </c>
      <c r="C4" s="51" t="s">
        <v>1091</v>
      </c>
      <c r="D4" s="70" t="s">
        <v>561</v>
      </c>
      <c r="E4" s="137" t="s">
        <v>1086</v>
      </c>
      <c r="F4" s="136"/>
      <c r="G4" s="136"/>
    </row>
    <row r="5" spans="1:19" x14ac:dyDescent="0.75">
      <c r="B5" s="70" t="s">
        <v>13</v>
      </c>
      <c r="C5" s="10" t="s">
        <v>586</v>
      </c>
      <c r="D5" s="70"/>
      <c r="E5" s="10"/>
    </row>
    <row r="6" spans="1:19" x14ac:dyDescent="0.75">
      <c r="B6" s="70" t="s">
        <v>35</v>
      </c>
      <c r="C6" s="69" t="s">
        <v>553</v>
      </c>
      <c r="D6" s="70" t="s">
        <v>558</v>
      </c>
      <c r="E6" s="137" t="s">
        <v>583</v>
      </c>
      <c r="F6" s="136"/>
      <c r="G6" s="136"/>
    </row>
    <row r="7" spans="1:19" x14ac:dyDescent="0.75">
      <c r="B7" s="70" t="s">
        <v>18</v>
      </c>
      <c r="C7" s="77" t="s">
        <v>556</v>
      </c>
      <c r="D7" s="70" t="s">
        <v>559</v>
      </c>
      <c r="E7" s="137" t="s">
        <v>1092</v>
      </c>
      <c r="F7" s="136"/>
      <c r="G7" s="136"/>
    </row>
    <row r="8" spans="1:19" ht="44.25" x14ac:dyDescent="0.75">
      <c r="B8" s="70" t="s">
        <v>554</v>
      </c>
      <c r="C8" s="10" t="s">
        <v>587</v>
      </c>
      <c r="D8" s="70"/>
      <c r="E8" s="10"/>
      <c r="I8" s="14" t="s">
        <v>526</v>
      </c>
      <c r="J8" s="14" t="s">
        <v>527</v>
      </c>
      <c r="K8" s="14" t="s">
        <v>528</v>
      </c>
      <c r="L8" s="14" t="s">
        <v>529</v>
      </c>
      <c r="M8" s="9" t="s">
        <v>530</v>
      </c>
      <c r="P8" s="66" t="s">
        <v>531</v>
      </c>
      <c r="Q8" s="66">
        <v>6</v>
      </c>
    </row>
    <row r="9" spans="1:19" ht="29.5" x14ac:dyDescent="0.75">
      <c r="B9" s="70" t="s">
        <v>555</v>
      </c>
      <c r="C9" s="1" t="s">
        <v>1026</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'A1.3 Payer'!B5</f>
        <v>Payer</v>
      </c>
      <c r="C14" s="9"/>
      <c r="D14" s="4" t="s">
        <v>617</v>
      </c>
      <c r="E14" s="8"/>
      <c r="F14" s="9"/>
      <c r="G14" s="9" t="s">
        <v>670</v>
      </c>
      <c r="I14" s="14"/>
      <c r="J14" s="9"/>
      <c r="K14" s="9"/>
      <c r="L14" s="9"/>
      <c r="M14" s="68"/>
      <c r="N14" s="71"/>
    </row>
    <row r="15" spans="1:19" ht="73.75" x14ac:dyDescent="0.75">
      <c r="A15" s="23"/>
      <c r="B15" s="9" t="str">
        <f>'A1.3 Payer'!B8</f>
        <v>insurance</v>
      </c>
      <c r="C15" s="9" t="str">
        <f>'A1.3 Payer'!C8</f>
        <v>A.1.3.1 Health insurance information</v>
      </c>
      <c r="D15" s="14" t="s">
        <v>294</v>
      </c>
      <c r="E15" s="59"/>
      <c r="F15" s="72" t="s">
        <v>538</v>
      </c>
      <c r="G15" s="9" t="s">
        <v>832</v>
      </c>
      <c r="H15" s="73"/>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294</v>
      </c>
      <c r="E16" s="9"/>
      <c r="F16" s="72" t="s">
        <v>538</v>
      </c>
      <c r="G16" s="9" t="s">
        <v>833</v>
      </c>
      <c r="H16" s="73"/>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294</v>
      </c>
      <c r="E17" s="9"/>
      <c r="F17" s="72" t="s">
        <v>538</v>
      </c>
      <c r="G17" s="9" t="s">
        <v>833</v>
      </c>
      <c r="H17" s="73"/>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294</v>
      </c>
      <c r="E18" s="9"/>
      <c r="F18" s="72" t="s">
        <v>538</v>
      </c>
      <c r="G18" s="9" t="s">
        <v>833</v>
      </c>
      <c r="H18" s="73"/>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0"/>
      <c r="E19" s="9"/>
      <c r="F19" s="72"/>
      <c r="G19" s="72"/>
      <c r="H19" s="73"/>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2"/>
      <c r="G20" s="72"/>
      <c r="H20" s="73"/>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2"/>
      <c r="G21" s="72"/>
      <c r="H21" s="73"/>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2"/>
      <c r="G22" s="72"/>
      <c r="H22" s="73"/>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2"/>
      <c r="G23" s="72"/>
      <c r="H23" s="73"/>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2"/>
      <c r="G24" s="72"/>
      <c r="H24" s="73"/>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2"/>
      <c r="G25" s="72"/>
      <c r="H25" s="73"/>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2"/>
      <c r="G26" s="72"/>
      <c r="H26" s="73"/>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2"/>
      <c r="G27" s="72"/>
      <c r="H27" s="73"/>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2"/>
      <c r="G28" s="72"/>
      <c r="H28" s="73"/>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2"/>
      <c r="G29" s="72"/>
      <c r="H29" s="73"/>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2"/>
      <c r="G30" s="72"/>
      <c r="H30" s="73"/>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2"/>
      <c r="G31" s="72"/>
      <c r="H31" s="73"/>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2"/>
      <c r="G32" s="72"/>
      <c r="H32" s="73"/>
      <c r="K32" s="73"/>
      <c r="L32" s="73"/>
      <c r="M32" s="71"/>
      <c r="N32" s="71"/>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2"/>
      <c r="G33" s="72"/>
      <c r="H33" s="73"/>
      <c r="K33" s="73"/>
      <c r="L33" s="73"/>
      <c r="M33" s="71"/>
      <c r="N33" s="71"/>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2"/>
      <c r="G34" s="73"/>
      <c r="H34" s="73"/>
      <c r="J34"/>
      <c r="K34" s="73"/>
      <c r="L34" s="73"/>
      <c r="M34" s="71"/>
      <c r="N34" s="71"/>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7"/>
      <c r="F35" s="73"/>
      <c r="G35" s="73"/>
      <c r="H35" s="73"/>
      <c r="J35"/>
      <c r="K35" s="73"/>
      <c r="L35" s="73"/>
      <c r="M35" s="71"/>
      <c r="N35" s="71"/>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3"/>
      <c r="G36" s="73"/>
      <c r="H36" s="73"/>
      <c r="J36"/>
      <c r="K36" s="73"/>
      <c r="L36" s="73"/>
      <c r="M36" s="71"/>
      <c r="N36" s="71"/>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3"/>
      <c r="G37" s="73"/>
      <c r="H37" s="73"/>
      <c r="J37" s="73"/>
      <c r="K37" s="73"/>
      <c r="L37" s="73"/>
      <c r="M37" s="71"/>
      <c r="N37" s="71"/>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3"/>
      <c r="G38" s="73"/>
      <c r="H38" s="73"/>
      <c r="J38" s="73"/>
      <c r="K38" s="73"/>
      <c r="L38" s="73"/>
      <c r="M38" s="71"/>
      <c r="N38" s="71"/>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3"/>
      <c r="G39" s="73"/>
      <c r="H39" s="73"/>
      <c r="J39" s="73"/>
      <c r="K39" s="73"/>
      <c r="L39" s="73"/>
      <c r="M39" s="71"/>
      <c r="N39" s="71"/>
      <c r="P39" s="9">
        <v>25</v>
      </c>
      <c r="Q39" s="9">
        <f t="shared" si="9"/>
        <v>4</v>
      </c>
      <c r="R39" s="9">
        <f t="shared" si="10"/>
        <v>1</v>
      </c>
      <c r="S39" s="14" cm="1">
        <f t="array" ref="S39">INDEX('Payer-ConceptMap-1'!$I$15:$N$267,Q39+1,R39)</f>
        <v>0</v>
      </c>
    </row>
    <row r="40" spans="1:19" s="1" customFormat="1" x14ac:dyDescent="0.75">
      <c r="A40"/>
      <c r="B40" s="9"/>
      <c r="C40" s="9"/>
      <c r="F40" s="73"/>
      <c r="G40" s="73"/>
      <c r="H40" s="73"/>
      <c r="J40" s="73"/>
      <c r="K40" s="73"/>
      <c r="L40" s="73"/>
      <c r="M40" s="73"/>
      <c r="N40" s="73"/>
      <c r="P40" s="9">
        <v>26</v>
      </c>
      <c r="Q40" s="9">
        <f t="shared" si="9"/>
        <v>4</v>
      </c>
      <c r="R40" s="9">
        <f t="shared" si="10"/>
        <v>2</v>
      </c>
      <c r="S40" s="14" cm="1">
        <f t="array" ref="S40">INDEX('Payer-ConceptMap-1'!$I$15:$N$267,Q40+1,R40)</f>
        <v>0</v>
      </c>
    </row>
    <row r="41" spans="1:19" s="1" customFormat="1" x14ac:dyDescent="0.75">
      <c r="A41"/>
      <c r="B41" s="9"/>
      <c r="C41"/>
      <c r="F41" s="73"/>
      <c r="G41" s="73"/>
      <c r="H41" s="73"/>
      <c r="J41" s="73"/>
      <c r="K41" s="73"/>
      <c r="L41" s="73"/>
      <c r="M41" s="73"/>
      <c r="N41" s="73"/>
      <c r="P41" s="9">
        <v>27</v>
      </c>
      <c r="Q41" s="9">
        <f t="shared" si="9"/>
        <v>4</v>
      </c>
      <c r="R41" s="9">
        <f t="shared" si="10"/>
        <v>3</v>
      </c>
      <c r="S41" s="14" cm="1">
        <f t="array" ref="S41">INDEX('Payer-ConceptMap-1'!$I$15:$N$267,Q41+1,R41)</f>
        <v>0</v>
      </c>
    </row>
    <row r="42" spans="1:19" s="1" customFormat="1" x14ac:dyDescent="0.75">
      <c r="A42"/>
      <c r="B42" s="9"/>
      <c r="C42"/>
      <c r="F42" s="73"/>
      <c r="G42" s="73"/>
      <c r="H42" s="73"/>
      <c r="J42" s="73"/>
      <c r="K42" s="73"/>
      <c r="L42" s="73"/>
      <c r="M42" s="73"/>
      <c r="N42" s="73"/>
      <c r="P42" s="9">
        <v>28</v>
      </c>
      <c r="Q42" s="9">
        <f t="shared" si="9"/>
        <v>4</v>
      </c>
      <c r="R42" s="9">
        <f t="shared" si="10"/>
        <v>4</v>
      </c>
      <c r="S42" s="14" cm="1">
        <f t="array" ref="S42">INDEX('Payer-ConceptMap-1'!$I$15:$N$267,Q42+1,R42)</f>
        <v>0</v>
      </c>
    </row>
    <row r="43" spans="1:19" s="1" customFormat="1" x14ac:dyDescent="0.75">
      <c r="A43"/>
      <c r="B43" s="9"/>
      <c r="C43"/>
      <c r="F43" s="73"/>
      <c r="G43" s="73"/>
      <c r="H43" s="73"/>
      <c r="J43" s="73"/>
      <c r="K43" s="73"/>
      <c r="L43" s="73"/>
      <c r="M43" s="73"/>
      <c r="N43" s="73"/>
      <c r="P43" s="9">
        <v>29</v>
      </c>
      <c r="Q43" s="9">
        <f t="shared" si="9"/>
        <v>4</v>
      </c>
      <c r="R43" s="9">
        <f t="shared" si="10"/>
        <v>5</v>
      </c>
      <c r="S43" s="14" cm="1">
        <f t="array" ref="S43">INDEX('Payer-ConceptMap-1'!$I$15:$N$267,Q43+1,R43)</f>
        <v>0</v>
      </c>
    </row>
    <row r="44" spans="1:19" s="1" customFormat="1" x14ac:dyDescent="0.75">
      <c r="A44"/>
      <c r="B44" s="9"/>
      <c r="C44"/>
      <c r="F44" s="73"/>
      <c r="G44" s="73"/>
      <c r="H44" s="73"/>
      <c r="J44" s="73"/>
      <c r="K44" s="73"/>
      <c r="L44" s="73"/>
      <c r="M44" s="73"/>
      <c r="N44" s="73"/>
      <c r="P44" s="9">
        <v>30</v>
      </c>
      <c r="Q44" s="9">
        <f t="shared" si="9"/>
        <v>4</v>
      </c>
      <c r="R44" s="9">
        <f t="shared" si="10"/>
        <v>6</v>
      </c>
      <c r="S44" s="14" cm="1">
        <f t="array" ref="S44">INDEX('Payer-ConceptMap-1'!$I$15:$N$267,Q44+1,R44)</f>
        <v>0</v>
      </c>
    </row>
    <row r="45" spans="1:19" s="1" customFormat="1" x14ac:dyDescent="0.75">
      <c r="A45"/>
      <c r="B45" s="9"/>
      <c r="C45"/>
      <c r="F45" s="73"/>
      <c r="G45" s="73"/>
      <c r="H45" s="73"/>
      <c r="J45" s="73"/>
      <c r="K45" s="73"/>
      <c r="L45" s="73"/>
      <c r="M45" s="73"/>
      <c r="N45" s="73"/>
      <c r="P45" s="9">
        <v>31</v>
      </c>
      <c r="Q45" s="9">
        <f t="shared" si="9"/>
        <v>5</v>
      </c>
      <c r="R45" s="9">
        <f t="shared" si="10"/>
        <v>1</v>
      </c>
      <c r="S45" s="14" cm="1">
        <f t="array" ref="S45">INDEX('Payer-ConceptMap-1'!$I$15:$N$267,Q45+1,R45)</f>
        <v>0</v>
      </c>
    </row>
    <row r="46" spans="1:19" x14ac:dyDescent="0.75">
      <c r="F46" s="73"/>
      <c r="G46" s="73"/>
      <c r="H46" s="73"/>
      <c r="J46" s="73"/>
      <c r="K46" s="73"/>
      <c r="L46" s="73"/>
      <c r="M46" s="73"/>
      <c r="N46" s="73"/>
      <c r="P46" s="9">
        <v>32</v>
      </c>
      <c r="Q46" s="9">
        <f t="shared" si="9"/>
        <v>5</v>
      </c>
      <c r="R46" s="9">
        <f t="shared" si="10"/>
        <v>2</v>
      </c>
      <c r="S46" s="14" cm="1">
        <f t="array" ref="S46">INDEX('Payer-ConceptMap-1'!$I$15:$N$267,Q46+1,R46)</f>
        <v>0</v>
      </c>
    </row>
    <row r="47" spans="1:19" x14ac:dyDescent="0.75">
      <c r="F47" s="73"/>
      <c r="G47" s="73"/>
      <c r="H47" s="73"/>
      <c r="J47" s="73"/>
      <c r="K47" s="73"/>
      <c r="L47" s="73"/>
      <c r="M47" s="73"/>
      <c r="N47" s="73"/>
      <c r="P47" s="9">
        <v>33</v>
      </c>
      <c r="Q47" s="9">
        <f t="shared" si="9"/>
        <v>5</v>
      </c>
      <c r="R47" s="9">
        <f t="shared" si="10"/>
        <v>3</v>
      </c>
      <c r="S47" s="14" cm="1">
        <f t="array" ref="S47">INDEX('Payer-ConceptMap-1'!$I$15:$N$267,Q47+1,R47)</f>
        <v>0</v>
      </c>
    </row>
    <row r="48" spans="1:19" x14ac:dyDescent="0.75">
      <c r="F48" s="73"/>
      <c r="G48" s="73"/>
      <c r="H48" s="73"/>
      <c r="J48" s="73"/>
      <c r="K48" s="73"/>
      <c r="L48" s="73"/>
      <c r="M48" s="73"/>
      <c r="N48" s="73"/>
      <c r="P48" s="9">
        <v>34</v>
      </c>
      <c r="Q48" s="9">
        <f t="shared" si="9"/>
        <v>5</v>
      </c>
      <c r="R48" s="9">
        <f t="shared" si="10"/>
        <v>4</v>
      </c>
      <c r="S48" s="14" cm="1">
        <f t="array" ref="S48">INDEX('Payer-ConceptMap-1'!$I$15:$N$267,Q48+1,R48)</f>
        <v>0</v>
      </c>
    </row>
    <row r="49" spans="5:19" x14ac:dyDescent="0.75">
      <c r="F49" s="73"/>
      <c r="G49" s="73"/>
      <c r="H49" s="73"/>
      <c r="J49" s="73"/>
      <c r="K49" s="73"/>
      <c r="L49" s="73"/>
      <c r="M49" s="73"/>
      <c r="N49" s="73"/>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display="http://hl7.eu/fhir/laboratory/StructureDefinition/ServiceRequest-eu-lab" xr:uid="{7E34A6F9-2371-4F65-8149-8B609BB2194F}"/>
    <hyperlink ref="E3" r:id="rId3" xr:uid="{71C2A337-5F76-4B4C-BD01-0147E052C33C}"/>
    <hyperlink ref="E6" r:id="rId4" xr:uid="{18386D48-EA50-4414-AA6C-1A6EE33138E0}"/>
    <hyperlink ref="E4" r:id="rId5" display="http://hl7.eu/fhir/laboratory/StructureDefinition/Bundle-eu-lab" xr:uid="{C1DACB3D-C746-480C-A778-28BCD6057226}"/>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610</v>
      </c>
      <c r="D3" s="70" t="s">
        <v>560</v>
      </c>
      <c r="E3" s="137" t="s">
        <v>583</v>
      </c>
      <c r="F3" s="136"/>
      <c r="G3" s="136"/>
    </row>
    <row r="4" spans="1:19" x14ac:dyDescent="0.75">
      <c r="B4" s="70" t="s">
        <v>19</v>
      </c>
      <c r="C4" s="51" t="s">
        <v>1091</v>
      </c>
      <c r="D4" s="70" t="s">
        <v>561</v>
      </c>
      <c r="E4" s="137" t="s">
        <v>1086</v>
      </c>
      <c r="F4" s="136"/>
      <c r="G4" s="136"/>
    </row>
    <row r="5" spans="1:19" x14ac:dyDescent="0.75">
      <c r="B5" s="70" t="s">
        <v>13</v>
      </c>
      <c r="C5" s="10" t="s">
        <v>586</v>
      </c>
      <c r="D5" s="70"/>
      <c r="E5" s="10"/>
    </row>
    <row r="6" spans="1:19" x14ac:dyDescent="0.75">
      <c r="B6" s="70" t="s">
        <v>35</v>
      </c>
      <c r="C6" s="69" t="s">
        <v>553</v>
      </c>
      <c r="D6" s="70" t="s">
        <v>558</v>
      </c>
      <c r="E6" s="137" t="s">
        <v>583</v>
      </c>
      <c r="F6" s="136"/>
      <c r="G6" s="136"/>
    </row>
    <row r="7" spans="1:19" x14ac:dyDescent="0.75">
      <c r="B7" s="70" t="s">
        <v>18</v>
      </c>
      <c r="C7" s="77" t="s">
        <v>556</v>
      </c>
      <c r="D7" s="70" t="s">
        <v>559</v>
      </c>
      <c r="E7" s="137" t="s">
        <v>834</v>
      </c>
      <c r="F7" s="136"/>
      <c r="G7" s="136"/>
    </row>
    <row r="8" spans="1:19" ht="44.25" x14ac:dyDescent="0.75">
      <c r="B8" s="70" t="s">
        <v>554</v>
      </c>
      <c r="C8" s="10" t="s">
        <v>587</v>
      </c>
      <c r="D8" s="70"/>
      <c r="E8" s="10"/>
      <c r="I8" s="14" t="s">
        <v>526</v>
      </c>
      <c r="J8" s="14" t="s">
        <v>527</v>
      </c>
      <c r="K8" s="14" t="s">
        <v>528</v>
      </c>
      <c r="L8" s="14" t="s">
        <v>529</v>
      </c>
      <c r="M8" s="9" t="s">
        <v>530</v>
      </c>
      <c r="P8" s="66" t="s">
        <v>531</v>
      </c>
      <c r="Q8" s="66">
        <v>6</v>
      </c>
    </row>
    <row r="9" spans="1:19" ht="29.5" x14ac:dyDescent="0.75">
      <c r="B9" s="70" t="s">
        <v>555</v>
      </c>
      <c r="C9" s="1" t="s">
        <v>1026</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'A1.3 Payer'!B5</f>
        <v>Payer</v>
      </c>
      <c r="C14" s="9"/>
      <c r="D14" s="4" t="s">
        <v>472</v>
      </c>
      <c r="E14" s="8"/>
      <c r="F14" s="9"/>
      <c r="G14" s="9" t="s">
        <v>670</v>
      </c>
      <c r="I14" s="14"/>
      <c r="J14" s="9"/>
      <c r="K14" s="9"/>
      <c r="L14" s="9"/>
      <c r="M14" s="68"/>
      <c r="N14" s="71"/>
    </row>
    <row r="15" spans="1:19" ht="44.25" x14ac:dyDescent="0.75">
      <c r="A15" s="23"/>
      <c r="B15" s="9" t="str">
        <f>'A1.3 Payer'!B8</f>
        <v>insurance</v>
      </c>
      <c r="C15" s="9" t="str">
        <f>'A1.3 Payer'!C8</f>
        <v>A.1.3.1 Health insurance information</v>
      </c>
      <c r="D15" s="14"/>
      <c r="E15" s="59"/>
      <c r="F15" s="72" t="s">
        <v>538</v>
      </c>
      <c r="G15" s="72"/>
      <c r="H15" s="73"/>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671</v>
      </c>
      <c r="E16" s="9"/>
      <c r="F16" s="72" t="s">
        <v>537</v>
      </c>
      <c r="G16" s="9" t="s">
        <v>835</v>
      </c>
      <c r="H16" s="73"/>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672</v>
      </c>
      <c r="E17" s="9"/>
      <c r="F17" s="72" t="s">
        <v>537</v>
      </c>
      <c r="G17" s="9" t="s">
        <v>835</v>
      </c>
      <c r="H17" s="73"/>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673</v>
      </c>
      <c r="E18" s="9"/>
      <c r="F18" s="72" t="s">
        <v>537</v>
      </c>
      <c r="G18" s="72"/>
      <c r="H18" s="73"/>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674</v>
      </c>
      <c r="E19" s="9"/>
      <c r="F19" s="72" t="s">
        <v>537</v>
      </c>
      <c r="G19" s="72"/>
      <c r="H19" s="73"/>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584</v>
      </c>
      <c r="E20" s="9"/>
      <c r="F20" s="72" t="s">
        <v>537</v>
      </c>
      <c r="G20" s="72"/>
      <c r="H20" s="73"/>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675</v>
      </c>
      <c r="E21" s="9"/>
      <c r="F21" s="72" t="s">
        <v>537</v>
      </c>
      <c r="G21" s="72"/>
      <c r="H21" s="73"/>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0"/>
      <c r="E22" s="9"/>
      <c r="F22" s="72"/>
      <c r="G22" s="72"/>
      <c r="H22" s="73"/>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2"/>
      <c r="G23" s="72"/>
      <c r="H23" s="73"/>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2"/>
      <c r="G24" s="72"/>
      <c r="H24" s="73"/>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2"/>
      <c r="G25" s="72"/>
      <c r="H25" s="73"/>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2"/>
      <c r="G26" s="72"/>
      <c r="H26" s="73"/>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2"/>
      <c r="G27" s="72"/>
      <c r="H27" s="73"/>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2"/>
      <c r="G28" s="72"/>
      <c r="H28" s="73"/>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2"/>
      <c r="G29" s="72"/>
      <c r="H29" s="73"/>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2"/>
      <c r="G30" s="72"/>
      <c r="H30" s="73"/>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2"/>
      <c r="G31" s="72"/>
      <c r="H31" s="73"/>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2"/>
      <c r="G32" s="72"/>
      <c r="H32" s="73"/>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2"/>
      <c r="G33" s="72"/>
      <c r="H33" s="73"/>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2"/>
      <c r="G34" s="72"/>
      <c r="H34" s="73"/>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2"/>
      <c r="G35" s="72"/>
      <c r="H35" s="73"/>
      <c r="K35" s="73"/>
      <c r="L35" s="73"/>
      <c r="M35" s="71"/>
      <c r="N35" s="71"/>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2"/>
      <c r="G36" s="72"/>
      <c r="H36" s="73"/>
      <c r="K36" s="73"/>
      <c r="L36" s="73"/>
      <c r="M36" s="71"/>
      <c r="N36" s="71"/>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2"/>
      <c r="G37" s="73"/>
      <c r="H37" s="73"/>
      <c r="J37"/>
      <c r="K37" s="73"/>
      <c r="L37" s="73"/>
      <c r="M37" s="71"/>
      <c r="N37" s="71"/>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7"/>
      <c r="F38" s="73"/>
      <c r="G38" s="73"/>
      <c r="H38" s="73"/>
      <c r="J38"/>
      <c r="K38" s="73"/>
      <c r="L38" s="73"/>
      <c r="M38" s="71"/>
      <c r="N38" s="71"/>
      <c r="P38" s="9">
        <v>24</v>
      </c>
      <c r="Q38" s="9">
        <f t="shared" si="9"/>
        <v>3</v>
      </c>
      <c r="R38" s="9">
        <f t="shared" si="10"/>
        <v>6</v>
      </c>
      <c r="S38" s="14" t="str" cm="1">
        <f t="array" ref="S38">INDEX('Payer-ConceptMap-2'!$I$15:$N$270,Q38+1,R38)</f>
        <v/>
      </c>
    </row>
    <row r="39" spans="1:19" s="1" customFormat="1" x14ac:dyDescent="0.75">
      <c r="A39"/>
      <c r="B39" s="9"/>
      <c r="C39" s="9"/>
      <c r="F39" s="73"/>
      <c r="G39" s="73"/>
      <c r="H39" s="73"/>
      <c r="J39"/>
      <c r="K39" s="73"/>
      <c r="L39" s="73"/>
      <c r="M39" s="71"/>
      <c r="N39" s="71"/>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3"/>
      <c r="G40" s="73"/>
      <c r="H40" s="73"/>
      <c r="J40" s="73"/>
      <c r="K40" s="73"/>
      <c r="L40" s="73"/>
      <c r="M40" s="71"/>
      <c r="N40" s="71"/>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3"/>
      <c r="G41" s="73"/>
      <c r="H41" s="73"/>
      <c r="J41" s="73"/>
      <c r="K41" s="73"/>
      <c r="L41" s="73"/>
      <c r="M41" s="71"/>
      <c r="N41" s="71"/>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3"/>
      <c r="G42" s="73"/>
      <c r="H42" s="73"/>
      <c r="J42" s="73"/>
      <c r="K42" s="73"/>
      <c r="L42" s="73"/>
      <c r="M42" s="71"/>
      <c r="N42" s="71"/>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3"/>
      <c r="G43" s="73"/>
      <c r="H43" s="73"/>
      <c r="J43" s="73"/>
      <c r="K43" s="73"/>
      <c r="L43" s="73"/>
      <c r="M43" s="73"/>
      <c r="N43" s="73"/>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3"/>
      <c r="G44" s="73"/>
      <c r="H44" s="73"/>
      <c r="J44" s="73"/>
      <c r="K44" s="73"/>
      <c r="L44" s="73"/>
      <c r="M44" s="73"/>
      <c r="N44" s="73"/>
      <c r="P44" s="9">
        <v>30</v>
      </c>
      <c r="Q44" s="9">
        <f t="shared" si="9"/>
        <v>4</v>
      </c>
      <c r="R44" s="9">
        <f t="shared" si="10"/>
        <v>6</v>
      </c>
      <c r="S44" s="14" t="str" cm="1">
        <f t="array" ref="S44">INDEX('Payer-ConceptMap-2'!$I$15:$N$270,Q44+1,R44)</f>
        <v/>
      </c>
    </row>
    <row r="45" spans="1:19" s="1" customFormat="1" x14ac:dyDescent="0.75">
      <c r="A45"/>
      <c r="B45" s="9"/>
      <c r="C45"/>
      <c r="F45" s="73"/>
      <c r="G45" s="73"/>
      <c r="H45" s="73"/>
      <c r="J45" s="73"/>
      <c r="K45" s="73"/>
      <c r="L45" s="73"/>
      <c r="M45" s="73"/>
      <c r="N45" s="73"/>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3"/>
      <c r="G46" s="73"/>
      <c r="H46" s="73"/>
      <c r="J46" s="73"/>
      <c r="K46" s="73"/>
      <c r="L46" s="73"/>
      <c r="M46" s="73"/>
      <c r="N46" s="73"/>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3"/>
      <c r="G47" s="73"/>
      <c r="H47" s="73"/>
      <c r="J47" s="73"/>
      <c r="K47" s="73"/>
      <c r="L47" s="73"/>
      <c r="M47" s="73"/>
      <c r="N47" s="73"/>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3"/>
      <c r="G48" s="73"/>
      <c r="H48" s="73"/>
      <c r="J48" s="73"/>
      <c r="K48" s="73"/>
      <c r="L48" s="73"/>
      <c r="M48" s="73"/>
      <c r="N48" s="73"/>
      <c r="P48" s="9">
        <v>34</v>
      </c>
      <c r="Q48" s="9">
        <f t="shared" si="9"/>
        <v>5</v>
      </c>
      <c r="R48" s="9">
        <f t="shared" si="10"/>
        <v>4</v>
      </c>
      <c r="S48" s="14" t="str" cm="1">
        <f t="array" ref="S48">INDEX('Payer-ConceptMap-2'!$I$15:$N$270,Q48+1,R48)</f>
        <v>* group[=].element[=].target.display = ##34###34#</v>
      </c>
    </row>
    <row r="49" spans="5:19" x14ac:dyDescent="0.75">
      <c r="F49" s="73"/>
      <c r="G49" s="73"/>
      <c r="H49" s="73"/>
      <c r="J49" s="73"/>
      <c r="K49" s="73"/>
      <c r="L49" s="73"/>
      <c r="M49" s="73"/>
      <c r="N49" s="73"/>
      <c r="P49" s="9">
        <v>35</v>
      </c>
      <c r="Q49" s="9">
        <f t="shared" si="9"/>
        <v>5</v>
      </c>
      <c r="R49" s="9">
        <f t="shared" si="10"/>
        <v>5</v>
      </c>
      <c r="S49" s="14" t="str" cm="1">
        <f t="array" ref="S49">INDEX('Payer-ConceptMap-2'!$I$15:$N$270,Q49+1,R49)</f>
        <v>* group[=].element[=].target.equivalence = #equivalent</v>
      </c>
    </row>
    <row r="50" spans="5:19" x14ac:dyDescent="0.75">
      <c r="F50" s="73"/>
      <c r="G50" s="73"/>
      <c r="H50" s="73"/>
      <c r="J50" s="73"/>
      <c r="K50" s="73"/>
      <c r="L50" s="73"/>
      <c r="M50" s="73"/>
      <c r="N50" s="73"/>
      <c r="P50" s="9">
        <v>36</v>
      </c>
      <c r="Q50" s="9">
        <f t="shared" si="9"/>
        <v>5</v>
      </c>
      <c r="R50" s="9">
        <f t="shared" si="10"/>
        <v>6</v>
      </c>
      <c r="S50" s="14" t="str" cm="1">
        <f t="array" ref="S50">INDEX('Payer-ConceptMap-2'!$I$15:$N$270,Q50+1,R50)</f>
        <v/>
      </c>
    </row>
    <row r="51" spans="5:19" x14ac:dyDescent="0.75">
      <c r="F51" s="73"/>
      <c r="G51" s="73"/>
      <c r="H51" s="73"/>
      <c r="J51" s="73"/>
      <c r="K51" s="73"/>
      <c r="L51" s="73"/>
      <c r="M51" s="73"/>
      <c r="N51" s="73"/>
      <c r="P51" s="9">
        <v>37</v>
      </c>
      <c r="Q51" s="9">
        <f t="shared" si="9"/>
        <v>6</v>
      </c>
      <c r="R51" s="9">
        <f t="shared" si="10"/>
        <v>1</v>
      </c>
      <c r="S51" s="14" t="str" cm="1">
        <f t="array" ref="S51">INDEX('Payer-ConceptMap-2'!$I$15:$N$270,Q51+1,R51)</f>
        <v>* group[=].element[+].code = #Payer.insurance.subjectIdentifier</v>
      </c>
    </row>
    <row r="52" spans="5:19" x14ac:dyDescent="0.75">
      <c r="F52" s="73"/>
      <c r="G52" s="73"/>
      <c r="H52" s="73"/>
      <c r="J52" s="73"/>
      <c r="K52" s="73"/>
      <c r="L52" s="73"/>
      <c r="M52" s="73"/>
      <c r="N52" s="73"/>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display="http://hl7.eu/fhir/laboratory/StructureDefinition/Bundle-eu-lab" xr:uid="{0117D26A-8291-43BE-9645-E15606EE2C8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tr">
        <f>'Payer-ConceptMap-1'!C3</f>
        <v>Payer2Fhir</v>
      </c>
      <c r="D3" s="70" t="s">
        <v>560</v>
      </c>
      <c r="E3" s="138" t="str">
        <f>'Payer-ConceptMap-1'!E3</f>
        <v>http://hl7.eu/fhir/laboratory/StructureDefinition/Payer</v>
      </c>
      <c r="F3" s="139"/>
      <c r="G3" s="139"/>
    </row>
    <row r="4" spans="1:19" x14ac:dyDescent="0.75">
      <c r="B4" s="70" t="s">
        <v>19</v>
      </c>
      <c r="C4" s="51" t="str">
        <f>'Payer-ConceptMap-1'!C4</f>
        <v>payer2FHIR-eu-ps</v>
      </c>
      <c r="D4" s="70" t="s">
        <v>561</v>
      </c>
      <c r="E4" s="137" t="str">
        <f>'Payer-ConceptMap-1'!E4</f>
        <v>http://hl7.eu/fhir/laboratory/StructureDefinition/Bundle-eu-ps</v>
      </c>
      <c r="F4" s="136"/>
      <c r="G4" s="136"/>
    </row>
    <row r="5" spans="1:19" x14ac:dyDescent="0.75">
      <c r="B5" s="70" t="s">
        <v>13</v>
      </c>
      <c r="C5" s="10" t="str">
        <f>'Payer-ConceptMap-1'!C5</f>
        <v>eHN Payer to this guide Map</v>
      </c>
      <c r="D5" s="70"/>
      <c r="E5" s="10"/>
    </row>
    <row r="6" spans="1:19" x14ac:dyDescent="0.75">
      <c r="B6" s="70" t="s">
        <v>35</v>
      </c>
      <c r="C6" s="69" t="str">
        <f>'Payer-ConceptMap-1'!C6</f>
        <v>http://hl7.eu/fhir/laboratory/StructureDefinition/LabReport</v>
      </c>
      <c r="D6" s="70" t="s">
        <v>558</v>
      </c>
      <c r="E6" s="137" t="str">
        <f>E3</f>
        <v>http://hl7.eu/fhir/laboratory/StructureDefinition/Payer</v>
      </c>
      <c r="F6" s="136"/>
      <c r="G6" s="136"/>
    </row>
    <row r="7" spans="1:19" x14ac:dyDescent="0.75">
      <c r="B7" s="70" t="s">
        <v>18</v>
      </c>
      <c r="C7" s="77" t="str">
        <f>'Payer-ConceptMap-1'!C7</f>
        <v>http://hl7.eu/fhir/laboratory</v>
      </c>
      <c r="D7" s="70" t="s">
        <v>559</v>
      </c>
      <c r="E7" s="137" t="s">
        <v>1093</v>
      </c>
      <c r="F7" s="136"/>
      <c r="G7" s="136"/>
    </row>
    <row r="8" spans="1:19" ht="44.25" x14ac:dyDescent="0.75">
      <c r="B8" s="70" t="s">
        <v>554</v>
      </c>
      <c r="C8" s="10" t="str">
        <f>'Payer-ConceptMap-1'!C8</f>
        <v>eHN Payer Model to this guide Map</v>
      </c>
      <c r="D8" s="70"/>
      <c r="E8" s="10"/>
      <c r="I8" s="14" t="s">
        <v>526</v>
      </c>
      <c r="J8" s="14" t="s">
        <v>527</v>
      </c>
      <c r="K8" s="14" t="s">
        <v>528</v>
      </c>
      <c r="L8" s="14" t="s">
        <v>529</v>
      </c>
      <c r="M8" s="9" t="s">
        <v>530</v>
      </c>
      <c r="P8" s="66" t="s">
        <v>531</v>
      </c>
      <c r="Q8" s="66">
        <v>6</v>
      </c>
    </row>
    <row r="9" spans="1:19" ht="29.5" x14ac:dyDescent="0.75">
      <c r="B9" s="70" t="s">
        <v>555</v>
      </c>
      <c r="C9" s="1" t="str">
        <f>'Payer-ConceptMap-1'!C9</f>
        <v>It shows how the Patient Summary Payer data set defined by the EU eHN guidelines is mapped into this guide</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94" t="s">
        <v>523</v>
      </c>
      <c r="H13" s="71"/>
      <c r="I13" s="14"/>
      <c r="J13" s="9"/>
      <c r="K13" s="68"/>
      <c r="L13" s="68"/>
      <c r="M13" s="68"/>
      <c r="N13" s="71"/>
    </row>
    <row r="14" spans="1:19" x14ac:dyDescent="0.75">
      <c r="A14" s="23"/>
      <c r="B14" s="8" t="str">
        <f>'A1.3 Payer'!B5</f>
        <v>Payer</v>
      </c>
      <c r="C14" s="9"/>
      <c r="D14" s="4" t="s">
        <v>17</v>
      </c>
      <c r="E14" s="8"/>
      <c r="F14" s="72" t="s">
        <v>539</v>
      </c>
      <c r="G14" s="14"/>
      <c r="I14" s="14"/>
      <c r="J14" s="9"/>
      <c r="K14" s="9"/>
      <c r="L14" s="9"/>
      <c r="M14" s="68"/>
      <c r="N14" s="71"/>
    </row>
    <row r="15" spans="1:19" ht="44.25" x14ac:dyDescent="0.75">
      <c r="A15" s="23"/>
      <c r="B15" s="9" t="str">
        <f>'A1.3 Payer'!B8</f>
        <v>insurance</v>
      </c>
      <c r="C15" s="9" t="str">
        <f>'A1.3 Payer'!C8</f>
        <v>A.1.3.1 Health insurance information</v>
      </c>
      <c r="D15" s="14"/>
      <c r="E15" s="9"/>
      <c r="F15" s="72" t="s">
        <v>539</v>
      </c>
      <c r="G15" s="79"/>
      <c r="H15" s="73"/>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2" t="s">
        <v>539</v>
      </c>
      <c r="G16" s="79"/>
      <c r="H16" s="73"/>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2" t="s">
        <v>539</v>
      </c>
      <c r="G17" s="79"/>
      <c r="H17" s="73"/>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308</v>
      </c>
      <c r="E18" s="9"/>
      <c r="F18" s="72" t="s">
        <v>538</v>
      </c>
      <c r="G18" s="79" t="s">
        <v>773</v>
      </c>
      <c r="H18" s="73"/>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0"/>
      <c r="E19" s="9"/>
      <c r="F19" s="72"/>
      <c r="G19" s="79"/>
      <c r="H19" s="73"/>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2"/>
      <c r="G20" s="79"/>
      <c r="H20" s="73"/>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2"/>
      <c r="G21" s="79"/>
      <c r="H21" s="73"/>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2"/>
      <c r="G22" s="79"/>
      <c r="H22" s="73"/>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2"/>
      <c r="G23" s="79"/>
      <c r="H23" s="73"/>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2"/>
      <c r="G24" s="79"/>
      <c r="H24" s="73"/>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2"/>
      <c r="G25" s="79"/>
      <c r="H25" s="73"/>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2"/>
      <c r="G26" s="79"/>
      <c r="H26" s="73"/>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2"/>
      <c r="G27" s="79"/>
      <c r="H27" s="73"/>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2"/>
      <c r="G28" s="79"/>
      <c r="H28" s="73"/>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2"/>
      <c r="G29" s="79"/>
      <c r="H29" s="73"/>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2"/>
      <c r="G30" s="79"/>
      <c r="H30" s="73"/>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2"/>
      <c r="G31" s="79"/>
      <c r="H31" s="73"/>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2"/>
      <c r="G32" s="79"/>
      <c r="H32" s="73"/>
      <c r="K32" s="73"/>
      <c r="L32" s="73"/>
      <c r="M32" s="71"/>
      <c r="N32" s="71"/>
      <c r="P32" s="9">
        <v>18</v>
      </c>
      <c r="Q32" s="9">
        <f t="shared" si="6"/>
        <v>2</v>
      </c>
      <c r="R32" s="9">
        <f t="shared" si="7"/>
        <v>6</v>
      </c>
      <c r="S32" s="14" t="str" cm="1">
        <f t="array" ref="S32">INDEX('Payer-ConceptMap-3'!$I$15:$N$267,Q32+1,R32)</f>
        <v/>
      </c>
    </row>
    <row r="33" spans="1:19" x14ac:dyDescent="0.75">
      <c r="B33" s="9"/>
      <c r="C33" s="9"/>
      <c r="D33" s="14"/>
      <c r="E33" s="14"/>
      <c r="F33" s="72"/>
      <c r="G33" s="79"/>
      <c r="H33" s="73"/>
      <c r="K33" s="73"/>
      <c r="L33" s="73"/>
      <c r="M33" s="71"/>
      <c r="N33" s="71"/>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2"/>
      <c r="G34" s="95"/>
      <c r="H34" s="73"/>
      <c r="J34"/>
      <c r="K34" s="73"/>
      <c r="L34" s="73"/>
      <c r="M34" s="71"/>
      <c r="N34" s="71"/>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7"/>
      <c r="F35" s="73"/>
      <c r="G35" s="95"/>
      <c r="H35" s="73"/>
      <c r="J35"/>
      <c r="K35" s="73"/>
      <c r="L35" s="73"/>
      <c r="M35" s="71"/>
      <c r="N35" s="71"/>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3"/>
      <c r="G36" s="95"/>
      <c r="H36" s="73"/>
      <c r="J36"/>
      <c r="K36" s="73"/>
      <c r="L36" s="73"/>
      <c r="M36" s="71"/>
      <c r="N36" s="71"/>
      <c r="P36" s="9">
        <v>22</v>
      </c>
      <c r="Q36" s="9">
        <f t="shared" si="6"/>
        <v>3</v>
      </c>
      <c r="R36" s="9">
        <f t="shared" si="7"/>
        <v>4</v>
      </c>
      <c r="S36" s="14" t="str" cm="1">
        <f t="array" ref="S36">INDEX('Payer-ConceptMap-3'!$I$15:$N$267,Q36+1,R36)</f>
        <v>* group[=].element[=].target.display = ##34###34#</v>
      </c>
    </row>
    <row r="37" spans="1:19" s="1" customFormat="1" x14ac:dyDescent="0.75">
      <c r="A37"/>
      <c r="B37" s="9"/>
      <c r="C37" s="9"/>
      <c r="F37" s="73"/>
      <c r="G37" s="95"/>
      <c r="H37" s="73"/>
      <c r="J37" s="73"/>
      <c r="K37" s="73"/>
      <c r="L37" s="73"/>
      <c r="M37" s="71"/>
      <c r="N37" s="71"/>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3"/>
      <c r="G38" s="95"/>
      <c r="H38" s="73"/>
      <c r="J38" s="73"/>
      <c r="K38" s="73"/>
      <c r="L38" s="73"/>
      <c r="M38" s="71"/>
      <c r="N38" s="71"/>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3"/>
      <c r="G39" s="95"/>
      <c r="H39" s="73"/>
      <c r="J39" s="73"/>
      <c r="K39" s="73"/>
      <c r="L39" s="73"/>
      <c r="M39" s="71"/>
      <c r="N39" s="71"/>
      <c r="P39" s="9">
        <v>25</v>
      </c>
      <c r="Q39" s="9">
        <f t="shared" si="6"/>
        <v>4</v>
      </c>
      <c r="R39" s="9">
        <f t="shared" si="7"/>
        <v>1</v>
      </c>
      <c r="S39" s="14" cm="1">
        <f t="array" ref="S39">INDEX('Payer-ConceptMap-3'!$I$15:$N$267,Q39+1,R39)</f>
        <v>0</v>
      </c>
    </row>
    <row r="40" spans="1:19" s="1" customFormat="1" x14ac:dyDescent="0.75">
      <c r="A40"/>
      <c r="B40" s="9"/>
      <c r="C40" s="9"/>
      <c r="F40" s="73"/>
      <c r="G40" s="95"/>
      <c r="H40" s="73"/>
      <c r="J40" s="73"/>
      <c r="K40" s="73"/>
      <c r="L40" s="73"/>
      <c r="M40" s="73"/>
      <c r="N40" s="73"/>
      <c r="P40" s="9">
        <v>26</v>
      </c>
      <c r="Q40" s="9">
        <f t="shared" si="6"/>
        <v>4</v>
      </c>
      <c r="R40" s="9">
        <f t="shared" si="7"/>
        <v>2</v>
      </c>
      <c r="S40" s="14" cm="1">
        <f t="array" ref="S40">INDEX('Payer-ConceptMap-3'!$I$15:$N$267,Q40+1,R40)</f>
        <v>0</v>
      </c>
    </row>
    <row r="41" spans="1:19" s="1" customFormat="1" x14ac:dyDescent="0.75">
      <c r="A41"/>
      <c r="B41" s="9"/>
      <c r="C41"/>
      <c r="F41" s="73"/>
      <c r="G41" s="95"/>
      <c r="H41" s="73"/>
      <c r="J41" s="73"/>
      <c r="K41" s="73"/>
      <c r="L41" s="73"/>
      <c r="M41" s="73"/>
      <c r="N41" s="73"/>
      <c r="P41" s="9">
        <v>27</v>
      </c>
      <c r="Q41" s="9">
        <f t="shared" si="6"/>
        <v>4</v>
      </c>
      <c r="R41" s="9">
        <f t="shared" si="7"/>
        <v>3</v>
      </c>
      <c r="S41" s="14" cm="1">
        <f t="array" ref="S41">INDEX('Payer-ConceptMap-3'!$I$15:$N$267,Q41+1,R41)</f>
        <v>0</v>
      </c>
    </row>
    <row r="42" spans="1:19" s="1" customFormat="1" x14ac:dyDescent="0.75">
      <c r="A42"/>
      <c r="B42" s="9"/>
      <c r="C42"/>
      <c r="F42" s="73"/>
      <c r="G42" s="95"/>
      <c r="H42" s="73"/>
      <c r="J42" s="73"/>
      <c r="K42" s="73"/>
      <c r="L42" s="73"/>
      <c r="M42" s="73"/>
      <c r="N42" s="73"/>
      <c r="P42" s="9">
        <v>28</v>
      </c>
      <c r="Q42" s="9">
        <f t="shared" si="6"/>
        <v>4</v>
      </c>
      <c r="R42" s="9">
        <f t="shared" si="7"/>
        <v>4</v>
      </c>
      <c r="S42" s="14" cm="1">
        <f t="array" ref="S42">INDEX('Payer-ConceptMap-3'!$I$15:$N$267,Q42+1,R42)</f>
        <v>0</v>
      </c>
    </row>
    <row r="43" spans="1:19" s="1" customFormat="1" x14ac:dyDescent="0.75">
      <c r="A43"/>
      <c r="B43" s="9"/>
      <c r="C43"/>
      <c r="F43" s="73"/>
      <c r="G43" s="95"/>
      <c r="H43" s="73"/>
      <c r="J43" s="73"/>
      <c r="K43" s="73"/>
      <c r="L43" s="73"/>
      <c r="M43" s="73"/>
      <c r="N43" s="73"/>
      <c r="P43" s="9">
        <v>29</v>
      </c>
      <c r="Q43" s="9">
        <f t="shared" si="6"/>
        <v>4</v>
      </c>
      <c r="R43" s="9">
        <f t="shared" si="7"/>
        <v>5</v>
      </c>
      <c r="S43" s="14" cm="1">
        <f t="array" ref="S43">INDEX('Payer-ConceptMap-3'!$I$15:$N$267,Q43+1,R43)</f>
        <v>0</v>
      </c>
    </row>
    <row r="44" spans="1:19" s="1" customFormat="1" x14ac:dyDescent="0.75">
      <c r="A44"/>
      <c r="B44" s="9"/>
      <c r="C44"/>
      <c r="F44" s="73"/>
      <c r="G44" s="95"/>
      <c r="H44" s="73"/>
      <c r="J44" s="73"/>
      <c r="K44" s="73"/>
      <c r="L44" s="73"/>
      <c r="M44" s="73"/>
      <c r="N44" s="73"/>
      <c r="P44" s="9">
        <v>30</v>
      </c>
      <c r="Q44" s="9">
        <f t="shared" si="6"/>
        <v>4</v>
      </c>
      <c r="R44" s="9">
        <f t="shared" si="7"/>
        <v>6</v>
      </c>
      <c r="S44" s="14" cm="1">
        <f t="array" ref="S44">INDEX('Payer-ConceptMap-3'!$I$15:$N$267,Q44+1,R44)</f>
        <v>0</v>
      </c>
    </row>
    <row r="45" spans="1:19" s="1" customFormat="1" x14ac:dyDescent="0.75">
      <c r="A45"/>
      <c r="B45" s="9"/>
      <c r="C45"/>
      <c r="F45" s="73"/>
      <c r="G45" s="95"/>
      <c r="H45" s="73"/>
      <c r="J45" s="73"/>
      <c r="K45" s="73"/>
      <c r="L45" s="73"/>
      <c r="M45" s="73"/>
      <c r="N45" s="73"/>
      <c r="P45" s="9">
        <v>31</v>
      </c>
      <c r="Q45" s="9">
        <f t="shared" si="6"/>
        <v>5</v>
      </c>
      <c r="R45" s="9">
        <f t="shared" si="7"/>
        <v>1</v>
      </c>
      <c r="S45" s="14" cm="1">
        <f t="array" ref="S45">INDEX('Payer-ConceptMap-3'!$I$15:$N$267,Q45+1,R45)</f>
        <v>0</v>
      </c>
    </row>
    <row r="46" spans="1:19" x14ac:dyDescent="0.75">
      <c r="F46" s="73"/>
      <c r="G46" s="95"/>
      <c r="H46" s="73"/>
      <c r="J46" s="73"/>
      <c r="K46" s="73"/>
      <c r="L46" s="73"/>
      <c r="M46" s="73"/>
      <c r="N46" s="73"/>
      <c r="P46" s="9">
        <v>32</v>
      </c>
      <c r="Q46" s="9">
        <f t="shared" si="6"/>
        <v>5</v>
      </c>
      <c r="R46" s="9">
        <f t="shared" si="7"/>
        <v>2</v>
      </c>
      <c r="S46" s="14" cm="1">
        <f t="array" ref="S46">INDEX('Payer-ConceptMap-3'!$I$15:$N$267,Q46+1,R46)</f>
        <v>0</v>
      </c>
    </row>
    <row r="47" spans="1:19" x14ac:dyDescent="0.75">
      <c r="F47" s="73"/>
      <c r="G47" s="95"/>
      <c r="H47" s="73"/>
      <c r="J47" s="73"/>
      <c r="K47" s="73"/>
      <c r="L47" s="73"/>
      <c r="M47" s="73"/>
      <c r="N47" s="73"/>
      <c r="P47" s="9">
        <v>33</v>
      </c>
      <c r="Q47" s="9">
        <f t="shared" si="6"/>
        <v>5</v>
      </c>
      <c r="R47" s="9">
        <f t="shared" si="7"/>
        <v>3</v>
      </c>
      <c r="S47" s="14" cm="1">
        <f t="array" ref="S47">INDEX('Payer-ConceptMap-3'!$I$15:$N$267,Q47+1,R47)</f>
        <v>0</v>
      </c>
    </row>
    <row r="48" spans="1:19" x14ac:dyDescent="0.75">
      <c r="F48" s="73"/>
      <c r="G48" s="95"/>
      <c r="H48" s="73"/>
      <c r="J48" s="73"/>
      <c r="K48" s="73"/>
      <c r="L48" s="73"/>
      <c r="M48" s="73"/>
      <c r="N48" s="73"/>
      <c r="P48" s="9">
        <v>34</v>
      </c>
      <c r="Q48" s="9">
        <f t="shared" si="6"/>
        <v>5</v>
      </c>
      <c r="R48" s="9">
        <f t="shared" si="7"/>
        <v>4</v>
      </c>
      <c r="S48" s="14" cm="1">
        <f t="array" ref="S48">INDEX('Payer-ConceptMap-3'!$I$15:$N$267,Q48+1,R48)</f>
        <v>0</v>
      </c>
    </row>
    <row r="49" spans="5:19" x14ac:dyDescent="0.75">
      <c r="F49" s="73"/>
      <c r="G49" s="95"/>
      <c r="H49" s="73"/>
      <c r="J49" s="73"/>
      <c r="K49" s="73"/>
      <c r="L49" s="73"/>
      <c r="M49" s="73"/>
      <c r="N49" s="73"/>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585</v>
      </c>
    </row>
    <row r="3" spans="2:7" x14ac:dyDescent="0.75">
      <c r="B3" s="33" t="s">
        <v>37</v>
      </c>
    </row>
    <row r="4" spans="2:7" x14ac:dyDescent="0.75">
      <c r="B4" s="74" t="str">
        <f>"Instance: "&amp;'Payer-ConceptMap-1'!C4</f>
        <v>Instance: payer2FHIR-eu-ps</v>
      </c>
    </row>
    <row r="5" spans="2:7" x14ac:dyDescent="0.75">
      <c r="B5" s="74" t="s">
        <v>541</v>
      </c>
    </row>
    <row r="6" spans="2:7" x14ac:dyDescent="0.75">
      <c r="B6" s="74" t="s">
        <v>542</v>
      </c>
    </row>
    <row r="7" spans="2:7" x14ac:dyDescent="0.75">
      <c r="B7" s="74" t="s">
        <v>552</v>
      </c>
    </row>
    <row r="8" spans="2:7" x14ac:dyDescent="0.75">
      <c r="B8" s="74" t="str">
        <f>"* name = ##34#"&amp;'Payer-ConceptMap-1'!C3&amp;"##34#"</f>
        <v>* name = ##34#Payer2Fhir##34#</v>
      </c>
    </row>
    <row r="9" spans="2:7" x14ac:dyDescent="0.75">
      <c r="B9" s="74" t="str">
        <f>"* title = ##34#"&amp;'Payer-ConceptMap-1'!C5&amp;"##34#"</f>
        <v>* title = ##34#eHN Payer to this guide Map##34#</v>
      </c>
    </row>
    <row r="10" spans="2:7" x14ac:dyDescent="0.75">
      <c r="B10" s="74" t="s">
        <v>543</v>
      </c>
    </row>
    <row r="11" spans="2:7" x14ac:dyDescent="0.75">
      <c r="B11" s="74" t="s">
        <v>544</v>
      </c>
    </row>
    <row r="12" spans="2:7" x14ac:dyDescent="0.75">
      <c r="B12" s="74" t="str">
        <f>"* description = ##34#"&amp;'Payer-ConceptMap-1'!C8&amp;"##34#"</f>
        <v>* description = ##34#eHN Payer Model to this guide Map##34#</v>
      </c>
    </row>
    <row r="13" spans="2:7" x14ac:dyDescent="0.75">
      <c r="B13" s="74" t="str">
        <f>"* purpose = ##34#"&amp;'Payer-ConceptMap-1'!C9&amp;"##34#"</f>
        <v>* purpose = ##34#It shows how the Patient Summary Payer data set defined by the EU eHN guidelines is mapped into this guide##34#</v>
      </c>
    </row>
    <row r="14" spans="2:7" x14ac:dyDescent="0.75">
      <c r="B14" s="75" t="str">
        <f>"* sourceUri = ##34#"&amp;'Payer-ConceptMap-1'!E3&amp;"##34#"</f>
        <v>* sourceUri = ##34#http://hl7.eu/fhir/laboratory/StructureDefinition/Payer##34#</v>
      </c>
    </row>
    <row r="15" spans="2:7" x14ac:dyDescent="0.75">
      <c r="B15" s="75" t="str">
        <f>"* targetUri = ##34#"&amp;'Payer-ConceptMap-1'!E4&amp;"##34#"</f>
        <v>* targetUri = ##34#http://hl7.eu/fhir/laboratory/StructureDefinition/Bundle-eu-ps##34#</v>
      </c>
    </row>
    <row r="16" spans="2:7" x14ac:dyDescent="0.75">
      <c r="B16" s="74"/>
    </row>
    <row r="17" spans="2:7" x14ac:dyDescent="0.75">
      <c r="B17" s="76" t="str">
        <f>"* group[+].source = ##34#"&amp;'Payer-ConceptMap-1'!E6&amp;"##34#"</f>
        <v>* group[+].source = ##34#http://hl7.eu/fhir/laboratory/StructureDefinition/Payer##34#</v>
      </c>
    </row>
    <row r="18" spans="2:7" x14ac:dyDescent="0.75">
      <c r="B18" s="76" t="str">
        <f>"* group[=].target = ##34#"&amp;'Payer-ConceptMap-1'!E7&amp;"##34#"</f>
        <v>* group[=].target = ##34#http://hl7.eu/fhir/laboratory/StructureDefinition/ServiceRequest-eu-ps##34#</v>
      </c>
    </row>
    <row r="19" spans="2:7" x14ac:dyDescent="0.75">
      <c r="B19" s="78"/>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8"/>
    </row>
    <row r="50" spans="2:2" x14ac:dyDescent="0.75">
      <c r="B50" s="76" t="str">
        <f>"* group[+].source = ##34#"&amp;'Payer-ConceptMap-2'!E6&amp;"##34#"</f>
        <v>* group[+].source = ##34#http://hl7.eu/fhir/laboratory/StructureDefinition/Payer##34#</v>
      </c>
    </row>
    <row r="51" spans="2:2" x14ac:dyDescent="0.75">
      <c r="B51" s="76" t="str">
        <f>"* group[=].target = ##34#"&amp;'Payer-ConceptMap-2'!E7&amp;"##34#"</f>
        <v>* group[=].target = ##34#http://hl7.org/fhir/StructureDefinition/Coverage##34#</v>
      </c>
    </row>
    <row r="52" spans="2:2" x14ac:dyDescent="0.75">
      <c r="B52" s="78"/>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3"/>
    </row>
    <row r="99" spans="2:4" x14ac:dyDescent="0.75">
      <c r="B99" s="14"/>
    </row>
    <row r="100" spans="2:4" x14ac:dyDescent="0.75">
      <c r="B100" s="78"/>
    </row>
    <row r="101" spans="2:4" x14ac:dyDescent="0.75">
      <c r="B101" s="76" t="str">
        <f>"* group[+].source = ##34#"&amp;'Payer-ConceptMap-3'!E6&amp;"##34#"</f>
        <v>* group[+].source = ##34#http://hl7.eu/fhir/laboratory/StructureDefinition/Payer##34#</v>
      </c>
    </row>
    <row r="102" spans="2:4" x14ac:dyDescent="0.75">
      <c r="B102" s="76" t="str">
        <f>"* group[=].target = ##34#"&amp;'Payer-ConceptMap-3'!E7&amp;"##34#"</f>
        <v>* group[=].target = ##34#http://hl7.eu/fhir/laboratory/StructureDefinition/Patient-eu-ps##34#</v>
      </c>
    </row>
    <row r="103" spans="2:4" x14ac:dyDescent="0.75">
      <c r="B103" s="78"/>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928</v>
      </c>
      <c r="I4" s="25" t="str">
        <f>CONCATENATE("Logical: ",B4)</f>
        <v>Logical: RecipientPsEhn</v>
      </c>
    </row>
    <row r="5" spans="1:11" x14ac:dyDescent="0.75">
      <c r="A5" s="18" t="s">
        <v>19</v>
      </c>
      <c r="B5" s="34" t="s">
        <v>334</v>
      </c>
      <c r="I5" s="25" t="str">
        <f>CONCATENATE("Id: ",B5)</f>
        <v>Id: Recipient</v>
      </c>
    </row>
    <row r="6" spans="1:11" x14ac:dyDescent="0.75">
      <c r="A6" s="18" t="s">
        <v>13</v>
      </c>
      <c r="B6" s="19" t="s">
        <v>758</v>
      </c>
      <c r="I6" s="26" t="str">
        <f>CONCATENATE("Title: ##34#",B6,"##34#")</f>
        <v>Title: ##34#A.1.4 - Information recipient##34#</v>
      </c>
    </row>
    <row r="7" spans="1:11" ht="59" x14ac:dyDescent="0.75">
      <c r="A7" s="46" t="s">
        <v>5</v>
      </c>
      <c r="B7" s="55" t="s">
        <v>762</v>
      </c>
      <c r="C7" s="12"/>
      <c r="D7" s="2"/>
      <c r="E7" s="54"/>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308</v>
      </c>
      <c r="C8" s="9" t="s">
        <v>306</v>
      </c>
      <c r="D8" s="14" t="s">
        <v>446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309</v>
      </c>
      <c r="C9" s="9" t="s">
        <v>307</v>
      </c>
      <c r="D9" s="14" t="s">
        <v>79</v>
      </c>
      <c r="E9" s="9">
        <v>0</v>
      </c>
      <c r="F9" s="9" t="s">
        <v>11</v>
      </c>
      <c r="G9" s="9" t="s">
        <v>344</v>
      </c>
      <c r="H9" s="23"/>
      <c r="I9" s="14" t="str">
        <f t="shared" ref="I9:I17" si="0">CONCATENATE("* ",B9, " ",E9,"..",F9," ",G9," ##34#",C9,"##34# ##334#",D9,"##334#")</f>
        <v>* name 0..* HumanName ##34#A.1.4.2 Recipient name##34# ##334#Person name.##334#</v>
      </c>
    </row>
    <row r="10" spans="1:11" ht="30.25" customHeight="1" x14ac:dyDescent="0.75">
      <c r="A10" s="9">
        <v>3</v>
      </c>
      <c r="B10" s="9" t="s">
        <v>310</v>
      </c>
      <c r="C10" s="9" t="s">
        <v>443</v>
      </c>
      <c r="D10" s="14" t="s">
        <v>82</v>
      </c>
      <c r="E10" s="9">
        <v>0</v>
      </c>
      <c r="F10" s="9" t="s">
        <v>11</v>
      </c>
      <c r="G10" s="9" t="s">
        <v>311</v>
      </c>
      <c r="H10" s="23"/>
      <c r="I10" s="14" t="str">
        <f t="shared" si="0"/>
        <v>* organization 0..* Organization ##34#A.1.4.3 Recipient organization##34# ##334#The healthcare provider organization information.##334#</v>
      </c>
    </row>
    <row r="11" spans="1:11" ht="45" customHeight="1" x14ac:dyDescent="0.75">
      <c r="A11" s="56">
        <v>4</v>
      </c>
      <c r="B11" s="56" t="s">
        <v>578</v>
      </c>
      <c r="C11" t="s">
        <v>748</v>
      </c>
      <c r="D11" s="57" t="s">
        <v>749</v>
      </c>
      <c r="E11" s="9">
        <v>0</v>
      </c>
      <c r="F11" s="9" t="s">
        <v>11</v>
      </c>
      <c r="G11" s="56" t="s">
        <v>57</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753</v>
      </c>
      <c r="C12" s="9" t="s">
        <v>750</v>
      </c>
      <c r="D12" s="14" t="s">
        <v>751</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579</v>
      </c>
      <c r="C13" s="16" t="s">
        <v>752</v>
      </c>
      <c r="D13" s="14" t="s">
        <v>265</v>
      </c>
      <c r="E13" s="9">
        <v>0</v>
      </c>
      <c r="F13" s="9" t="s">
        <v>11</v>
      </c>
      <c r="G13" s="9" t="s">
        <v>275</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49"/>
      <c r="E14" s="9"/>
      <c r="F14" s="9"/>
      <c r="G14" s="50"/>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0"/>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5" t="s">
        <v>280</v>
      </c>
      <c r="D26" s="116"/>
      <c r="E26" s="116"/>
      <c r="F26" s="117"/>
    </row>
    <row r="27" spans="2:9" ht="409.6" thickBot="1" x14ac:dyDescent="0.9">
      <c r="B27" t="str">
        <f t="shared" ref="B27:B29" si="2">CONCATENATE(C27," ",D27)</f>
        <v>A.1.4.1 Recipient identifier</v>
      </c>
      <c r="C27" s="36" t="s">
        <v>74</v>
      </c>
      <c r="D27" s="37" t="s">
        <v>75</v>
      </c>
      <c r="E27" s="37" t="s">
        <v>444</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77</v>
      </c>
      <c r="D28" s="37" t="s">
        <v>78</v>
      </c>
      <c r="E28" s="37" t="s">
        <v>79</v>
      </c>
      <c r="F28" s="42"/>
      <c r="I28" s="1" t="str">
        <f t="shared" si="3"/>
        <v xml:space="preserve">Person name. - Preferred system(s): </v>
      </c>
    </row>
    <row r="29" spans="2:9" ht="112.75" thickBot="1" x14ac:dyDescent="0.9">
      <c r="B29" t="str">
        <f t="shared" si="2"/>
        <v xml:space="preserve">A.1.4.3 Recipient organization </v>
      </c>
      <c r="C29" s="36" t="s">
        <v>80</v>
      </c>
      <c r="D29" s="37" t="s">
        <v>445</v>
      </c>
      <c r="E29" s="37" t="s">
        <v>82</v>
      </c>
      <c r="F29" s="42"/>
      <c r="I29" s="1" t="str">
        <f t="shared" si="3"/>
        <v xml:space="preserve">The healthcare provider organization information. - Preferred system(s): </v>
      </c>
    </row>
    <row r="30" spans="2:9" ht="409.6" thickBot="1" x14ac:dyDescent="0.9">
      <c r="C30" s="36" t="s">
        <v>741</v>
      </c>
      <c r="D30" s="1" t="s">
        <v>57</v>
      </c>
      <c r="E30" s="1" t="s">
        <v>745</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742</v>
      </c>
      <c r="D31" t="s">
        <v>744</v>
      </c>
      <c r="E31" s="1" t="s">
        <v>746</v>
      </c>
      <c r="F31" t="s">
        <v>747</v>
      </c>
      <c r="H31" t="str">
        <f t="shared" ref="H31:H32" si="4">C31&amp;" "&amp;D31</f>
        <v>A.1.4.5 Country</v>
      </c>
      <c r="I31" s="1" t="str">
        <f t="shared" si="3"/>
        <v>Country of the recipient. - Preferred system(s): ISO 3166</v>
      </c>
    </row>
    <row r="32" spans="2:9" ht="192.5" thickBot="1" x14ac:dyDescent="0.9">
      <c r="C32" s="36" t="s">
        <v>743</v>
      </c>
      <c r="D32" t="s">
        <v>58</v>
      </c>
      <c r="E32" s="1" t="s">
        <v>59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312</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313</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311</v>
      </c>
      <c r="E9" s="4" t="str">
        <f>CONCATENATE("* -&gt; ##34#",C9,"##34#")</f>
        <v>* -&gt; ##34#Organization##34#</v>
      </c>
      <c r="H9" s="10"/>
      <c r="I9" s="10"/>
      <c r="J9" s="10"/>
      <c r="K9" s="10"/>
      <c r="L9" s="10"/>
      <c r="M9" s="10"/>
      <c r="N9" s="10"/>
      <c r="O9" s="10"/>
    </row>
    <row r="10" spans="1:15" x14ac:dyDescent="0.75">
      <c r="A10" s="9"/>
      <c r="B10" s="9" t="str">
        <f>'A1.4 Recipient'!$B$5</f>
        <v>Recipient</v>
      </c>
      <c r="C10" s="8" t="s">
        <v>782</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783</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480</v>
      </c>
      <c r="E13" s="4" t="str">
        <f t="shared" si="0"/>
        <v>* -&gt; ##34#RelatedPerson##34#</v>
      </c>
      <c r="H13" s="10"/>
      <c r="I13" s="10"/>
      <c r="J13" s="10"/>
      <c r="K13" s="10"/>
      <c r="L13" s="10"/>
      <c r="M13" s="10"/>
      <c r="N13" s="10"/>
      <c r="O13" s="10"/>
    </row>
    <row r="14" spans="1:15" x14ac:dyDescent="0.75">
      <c r="A14" s="9"/>
      <c r="B14" s="9" t="str">
        <f>'A1.4 Recipient'!B8</f>
        <v>identifier</v>
      </c>
      <c r="C14" s="9" t="s">
        <v>479</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481</v>
      </c>
      <c r="E15" s="14" t="str">
        <f t="shared" si="1"/>
        <v>* name -&gt; ##34#Organization.name##34#</v>
      </c>
      <c r="G15" s="1"/>
      <c r="H15" s="10"/>
      <c r="I15" s="10"/>
      <c r="J15" s="10"/>
      <c r="K15" s="10"/>
      <c r="L15" s="10"/>
      <c r="M15" s="10"/>
      <c r="N15" s="10"/>
      <c r="O15" s="10"/>
    </row>
    <row r="16" spans="1:15" x14ac:dyDescent="0.75">
      <c r="A16" s="9"/>
      <c r="B16" s="9" t="str">
        <f>'A1.4 Recipient'!$B$9</f>
        <v>name</v>
      </c>
      <c r="C16" s="8" t="s">
        <v>784</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785</v>
      </c>
      <c r="E17" s="14" t="str">
        <f t="shared" si="1"/>
        <v>* name -&gt; ##34#Practitioner.name##34#</v>
      </c>
      <c r="G17" s="1"/>
      <c r="H17" s="10"/>
      <c r="I17" s="10"/>
      <c r="J17" s="10"/>
      <c r="K17" s="10"/>
      <c r="L17" s="10"/>
      <c r="M17" s="10"/>
      <c r="N17" s="10"/>
      <c r="O17" s="10"/>
    </row>
    <row r="18" spans="1:15" x14ac:dyDescent="0.75">
      <c r="A18" s="9"/>
      <c r="B18" s="9" t="str">
        <f>'A1.4 Recipient'!$B$9</f>
        <v>name</v>
      </c>
      <c r="C18" s="8" t="s">
        <v>482</v>
      </c>
      <c r="E18" s="14" t="str">
        <f t="shared" si="1"/>
        <v>* name -&gt; ##34#Patientn.name##34#</v>
      </c>
      <c r="G18" s="1"/>
      <c r="H18" s="10"/>
      <c r="I18" s="10"/>
      <c r="J18" s="10"/>
      <c r="K18" s="10"/>
      <c r="L18" s="10"/>
      <c r="M18" s="10"/>
      <c r="N18" s="10"/>
      <c r="O18" s="10"/>
    </row>
    <row r="19" spans="1:15" x14ac:dyDescent="0.75">
      <c r="A19" s="9"/>
      <c r="B19" s="9" t="str">
        <f>'A1.4 Recipient'!$B$9</f>
        <v>name</v>
      </c>
      <c r="C19" s="8" t="s">
        <v>483</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786</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3" t="s">
        <v>986</v>
      </c>
    </row>
    <row r="3" spans="3:7" x14ac:dyDescent="0.75">
      <c r="C3" s="33" t="str">
        <f>'A1.4 Recipient'!I3</f>
        <v>// -------------------------------------------------------------------------------</v>
      </c>
    </row>
    <row r="4" spans="3:7" x14ac:dyDescent="0.75">
      <c r="C4" s="25" t="str">
        <f>'A1.4 Recipient'!I4</f>
        <v>Logical: RecipientPsEhn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273</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611</v>
      </c>
      <c r="D3" s="70" t="s">
        <v>560</v>
      </c>
      <c r="E3" s="137" t="s">
        <v>589</v>
      </c>
      <c r="F3" s="136"/>
      <c r="G3" s="136"/>
    </row>
    <row r="4" spans="1:19" x14ac:dyDescent="0.75">
      <c r="B4" s="70" t="s">
        <v>19</v>
      </c>
      <c r="C4" s="51" t="s">
        <v>1094</v>
      </c>
      <c r="D4" s="70" t="s">
        <v>561</v>
      </c>
      <c r="E4" s="81" t="s">
        <v>591</v>
      </c>
    </row>
    <row r="5" spans="1:19" x14ac:dyDescent="0.75">
      <c r="B5" s="70" t="s">
        <v>13</v>
      </c>
      <c r="C5" s="10" t="s">
        <v>588</v>
      </c>
      <c r="D5" s="70"/>
      <c r="E5" s="10"/>
    </row>
    <row r="6" spans="1:19" x14ac:dyDescent="0.75">
      <c r="B6" s="70" t="s">
        <v>35</v>
      </c>
      <c r="C6" s="69" t="s">
        <v>589</v>
      </c>
      <c r="D6" s="70" t="s">
        <v>558</v>
      </c>
      <c r="E6" s="137" t="s">
        <v>589</v>
      </c>
      <c r="F6" s="136"/>
      <c r="G6" s="136"/>
    </row>
    <row r="7" spans="1:19" x14ac:dyDescent="0.75">
      <c r="B7" s="70" t="s">
        <v>18</v>
      </c>
      <c r="C7" s="77" t="s">
        <v>556</v>
      </c>
      <c r="D7" s="70" t="s">
        <v>559</v>
      </c>
      <c r="E7" s="137" t="s">
        <v>591</v>
      </c>
      <c r="F7" s="136"/>
      <c r="G7" s="136"/>
    </row>
    <row r="8" spans="1:19" ht="44.25" x14ac:dyDescent="0.75">
      <c r="B8" s="70" t="s">
        <v>554</v>
      </c>
      <c r="C8" s="10" t="s">
        <v>590</v>
      </c>
      <c r="D8" s="70"/>
      <c r="E8"/>
      <c r="I8" s="14" t="s">
        <v>526</v>
      </c>
      <c r="J8" s="14" t="s">
        <v>527</v>
      </c>
      <c r="K8" s="14" t="s">
        <v>528</v>
      </c>
      <c r="L8" s="14" t="s">
        <v>529</v>
      </c>
      <c r="M8" s="9" t="s">
        <v>530</v>
      </c>
      <c r="P8" s="66" t="s">
        <v>531</v>
      </c>
      <c r="Q8" s="66">
        <v>6</v>
      </c>
    </row>
    <row r="9" spans="1:19" ht="29.5" x14ac:dyDescent="0.75">
      <c r="B9" s="70" t="s">
        <v>555</v>
      </c>
      <c r="C9" s="1" t="s">
        <v>1027</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94" t="s">
        <v>523</v>
      </c>
      <c r="H13" s="71"/>
      <c r="I13" s="14"/>
      <c r="J13" s="9"/>
      <c r="K13" s="68"/>
      <c r="L13" s="68"/>
      <c r="M13" s="68"/>
      <c r="N13" s="71"/>
    </row>
    <row r="14" spans="1:19" x14ac:dyDescent="0.75">
      <c r="A14" s="23"/>
      <c r="B14" s="8" t="str">
        <f>'A1.4 Recipient'!B5</f>
        <v>Recipient</v>
      </c>
      <c r="C14" s="9"/>
      <c r="D14" t="s">
        <v>667</v>
      </c>
      <c r="E14" s="8"/>
      <c r="F14" s="9"/>
      <c r="G14" s="14"/>
      <c r="I14" s="14"/>
      <c r="J14" s="9"/>
      <c r="K14" s="9"/>
      <c r="L14" s="9"/>
      <c r="M14" s="68"/>
      <c r="N14" s="71"/>
    </row>
    <row r="15" spans="1:19" ht="73.75" x14ac:dyDescent="0.75">
      <c r="A15" s="92"/>
      <c r="B15" s="9" t="str">
        <f>'A1.4 Recipient'!B8</f>
        <v>identifier</v>
      </c>
      <c r="C15" s="9" t="str">
        <f>'A1.4 Recipient'!C8</f>
        <v>A.1.4.1 Recipient identifier</v>
      </c>
      <c r="D15" s="14" t="s">
        <v>676</v>
      </c>
      <c r="E15" s="59"/>
      <c r="F15" s="72" t="s">
        <v>537</v>
      </c>
      <c r="G15" s="79"/>
      <c r="H15" s="73"/>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677</v>
      </c>
      <c r="E16" s="59"/>
      <c r="F16" s="72" t="s">
        <v>537</v>
      </c>
      <c r="G16" s="79"/>
      <c r="H16" s="73"/>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678</v>
      </c>
      <c r="E17" s="9"/>
      <c r="F17" s="72" t="s">
        <v>537</v>
      </c>
      <c r="G17" s="79" t="s">
        <v>836</v>
      </c>
      <c r="H17" s="73"/>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679</v>
      </c>
      <c r="E18" s="9"/>
      <c r="F18" s="72" t="s">
        <v>537</v>
      </c>
      <c r="G18" s="79" t="s">
        <v>851</v>
      </c>
      <c r="H18" s="73"/>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821</v>
      </c>
      <c r="E19" s="9"/>
      <c r="F19" s="72" t="s">
        <v>537</v>
      </c>
      <c r="G19" s="79" t="s">
        <v>852</v>
      </c>
      <c r="H19" s="73"/>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837</v>
      </c>
      <c r="E20" s="9"/>
      <c r="F20" s="72" t="s">
        <v>537</v>
      </c>
      <c r="G20" s="79" t="s">
        <v>852</v>
      </c>
      <c r="H20" s="73"/>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822</v>
      </c>
      <c r="E21" s="9"/>
      <c r="F21" s="72" t="s">
        <v>537</v>
      </c>
      <c r="G21" s="79" t="s">
        <v>852</v>
      </c>
      <c r="H21" s="73"/>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754</v>
      </c>
      <c r="E22" s="9"/>
      <c r="F22" s="72" t="s">
        <v>538</v>
      </c>
      <c r="G22" s="79" t="s">
        <v>853</v>
      </c>
      <c r="H22" s="73"/>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838</v>
      </c>
      <c r="E23" s="9"/>
      <c r="F23" s="72" t="s">
        <v>538</v>
      </c>
      <c r="G23" s="79" t="s">
        <v>853</v>
      </c>
      <c r="H23" s="73"/>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755</v>
      </c>
      <c r="E24" s="9"/>
      <c r="F24" s="72" t="s">
        <v>538</v>
      </c>
      <c r="G24" s="79" t="s">
        <v>853</v>
      </c>
      <c r="H24" s="73"/>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0"/>
      <c r="E25" s="9"/>
      <c r="F25" s="72"/>
      <c r="G25" s="79"/>
      <c r="H25" s="73"/>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2"/>
      <c r="G26" s="79"/>
      <c r="H26" s="73"/>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2"/>
      <c r="G27" s="79"/>
      <c r="H27" s="73"/>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2"/>
      <c r="G28" s="79"/>
      <c r="H28" s="73"/>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2"/>
      <c r="G29" s="96"/>
      <c r="H29" s="73"/>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2"/>
      <c r="G30" s="79"/>
      <c r="H30" s="73"/>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2"/>
      <c r="G31" s="79"/>
      <c r="H31" s="73"/>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2"/>
      <c r="G32" s="79"/>
      <c r="H32" s="73"/>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2"/>
      <c r="G33" s="79"/>
      <c r="H33" s="73"/>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2"/>
      <c r="G34" s="79"/>
      <c r="H34" s="73"/>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2"/>
      <c r="G35" s="79"/>
      <c r="H35" s="73"/>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2"/>
      <c r="G36" s="79"/>
      <c r="H36" s="73"/>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2"/>
      <c r="G37" s="79"/>
      <c r="H37" s="73"/>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2"/>
      <c r="G38" s="79"/>
      <c r="H38" s="73"/>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2"/>
      <c r="G39" s="79"/>
      <c r="H39" s="73"/>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2"/>
      <c r="G40" s="95"/>
      <c r="H40" s="73"/>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57"/>
      <c r="F41" s="73"/>
      <c r="G41" s="95"/>
      <c r="H41" s="73"/>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3"/>
      <c r="G42" s="95"/>
      <c r="H42" s="73"/>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3"/>
      <c r="G43" s="95"/>
      <c r="H43" s="73"/>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3"/>
      <c r="G44" s="95"/>
      <c r="H44" s="73"/>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3"/>
      <c r="G45" s="95"/>
      <c r="H45" s="73"/>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3"/>
      <c r="G46" s="95"/>
      <c r="H46" s="73"/>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3"/>
      <c r="G47" s="95"/>
      <c r="H47" s="73"/>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3"/>
      <c r="G48" s="95"/>
      <c r="H48" s="73"/>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3"/>
      <c r="G49" s="95"/>
      <c r="H49" s="73"/>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3"/>
      <c r="G50" s="95"/>
      <c r="H50" s="73"/>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3"/>
      <c r="G51" s="95"/>
      <c r="H51" s="73"/>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3"/>
      <c r="G52" s="95"/>
      <c r="H52" s="73"/>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3"/>
      <c r="G53" s="95"/>
      <c r="H53" s="73"/>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3"/>
      <c r="G54" s="95"/>
      <c r="H54" s="73"/>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3"/>
      <c r="G55" s="95"/>
      <c r="H55" s="73"/>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592</v>
      </c>
    </row>
    <row r="3" spans="2:7" x14ac:dyDescent="0.75">
      <c r="B3" s="33" t="s">
        <v>37</v>
      </c>
    </row>
    <row r="4" spans="2:7" x14ac:dyDescent="0.75">
      <c r="B4" s="74" t="str">
        <f>"Instance: "&amp;'Recipient-ConceptMap-1'!C4</f>
        <v>Instance: recipient2FHIR-eu-ps</v>
      </c>
    </row>
    <row r="5" spans="2:7" x14ac:dyDescent="0.75">
      <c r="B5" s="74" t="s">
        <v>541</v>
      </c>
    </row>
    <row r="6" spans="2:7" x14ac:dyDescent="0.75">
      <c r="B6" s="74" t="s">
        <v>542</v>
      </c>
    </row>
    <row r="7" spans="2:7" x14ac:dyDescent="0.75">
      <c r="B7" s="74" t="s">
        <v>552</v>
      </c>
    </row>
    <row r="8" spans="2:7" x14ac:dyDescent="0.75">
      <c r="B8" s="74" t="str">
        <f>"* name = ##34#"&amp;'Recipient-ConceptMap-1'!C3&amp;"##34#"</f>
        <v>* name = ##34#Recipient2FHIR##34#</v>
      </c>
    </row>
    <row r="9" spans="2:7" x14ac:dyDescent="0.75">
      <c r="B9" s="74" t="str">
        <f>"* title = ##34#"&amp;'Recipient-ConceptMap-1'!C5&amp;"##34#"</f>
        <v>* title = ##34#eHN Recipient to this guide Map##34#</v>
      </c>
    </row>
    <row r="10" spans="2:7" x14ac:dyDescent="0.75">
      <c r="B10" s="74" t="s">
        <v>543</v>
      </c>
    </row>
    <row r="11" spans="2:7" x14ac:dyDescent="0.75">
      <c r="B11" s="74" t="s">
        <v>544</v>
      </c>
    </row>
    <row r="12" spans="2:7" x14ac:dyDescent="0.75">
      <c r="B12" s="74" t="str">
        <f>"* description = ##34#"&amp;'Recipient-ConceptMap-1'!C8&amp;"##34#"</f>
        <v>* description = ##34#eHN Recipient Model to this guide Map##34#</v>
      </c>
    </row>
    <row r="13" spans="2:7" x14ac:dyDescent="0.75">
      <c r="B13" s="74" t="str">
        <f>"* purpose = ##34#"&amp;'Recipient-ConceptMap-1'!C9&amp;"##34#"</f>
        <v>* purpose = ##34#It shows how the Patient Summary Recipient data set defined by the EU eHN guidelines is mapped into this guide##34#</v>
      </c>
    </row>
    <row r="14" spans="2:7" x14ac:dyDescent="0.75">
      <c r="B14" s="75" t="str">
        <f>"* sourceUri = ##34#"&amp;'Recipient-ConceptMap-1'!E3&amp;"##34#"</f>
        <v>* sourceUri = ##34#http://hl7.eu/fhir/laboratory/StructureDefinition/Recipient##34#</v>
      </c>
    </row>
    <row r="15" spans="2:7" x14ac:dyDescent="0.75">
      <c r="B15" s="75" t="str">
        <f>"* targetUri = ##34#"&amp;'Recipient-ConceptMap-1'!E4&amp;"##34#"</f>
        <v>* targetUri = ##34#http://hl7.eu/fhir/StructureDefinition/information-recipient##34#</v>
      </c>
    </row>
    <row r="16" spans="2:7" x14ac:dyDescent="0.75">
      <c r="B16" s="74"/>
    </row>
    <row r="17" spans="2:7" x14ac:dyDescent="0.75">
      <c r="B17" s="76" t="str">
        <f>"* group[+].source = ##34#"&amp;'Recipient-ConceptMap-1'!E6&amp;"##34#"</f>
        <v>* group[+].source = ##34#http://hl7.eu/fhir/laboratory/StructureDefinition/Recipient##34#</v>
      </c>
    </row>
    <row r="18" spans="2:7" x14ac:dyDescent="0.75">
      <c r="B18" s="76" t="str">
        <f>"* group[=].target = ##34#"&amp;'Recipient-ConceptMap-1'!E7&amp;"##34#"</f>
        <v>* group[=].target = ##34#http://hl7.eu/fhir/StructureDefinition/information-recipient##34#</v>
      </c>
    </row>
    <row r="19" spans="2:7" x14ac:dyDescent="0.75">
      <c r="B19" s="78"/>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3"/>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4"/>
    </row>
    <row r="129" spans="2:2" x14ac:dyDescent="0.75">
      <c r="B129" s="76"/>
    </row>
    <row r="130" spans="2:2" x14ac:dyDescent="0.75">
      <c r="B130" s="76"/>
    </row>
    <row r="131" spans="2:2" x14ac:dyDescent="0.75">
      <c r="B131" s="78"/>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929</v>
      </c>
      <c r="I4" s="25" t="str">
        <f>CONCATENATE("Logical: ",B4)</f>
        <v>Logical: AuthorPsEhn</v>
      </c>
    </row>
    <row r="5" spans="1:11" x14ac:dyDescent="0.75">
      <c r="A5" s="18" t="s">
        <v>19</v>
      </c>
      <c r="B5" s="34" t="s">
        <v>341</v>
      </c>
      <c r="I5" s="25" t="str">
        <f>CONCATENATE("Id: ",B5)</f>
        <v>Id: Author</v>
      </c>
    </row>
    <row r="6" spans="1:11" x14ac:dyDescent="0.75">
      <c r="A6" s="18" t="s">
        <v>13</v>
      </c>
      <c r="B6" s="19" t="s">
        <v>769</v>
      </c>
      <c r="I6" s="26" t="str">
        <f>CONCATENATE("Title: ##34#",B6,"##34#")</f>
        <v>Title: ##34#A.1.5 - Author##34#</v>
      </c>
    </row>
    <row r="7" spans="1:11" ht="45" customHeight="1" x14ac:dyDescent="0.75">
      <c r="A7" s="46" t="s">
        <v>5</v>
      </c>
      <c r="B7" s="55" t="s">
        <v>763</v>
      </c>
      <c r="C7" s="12"/>
      <c r="D7" s="2"/>
      <c r="E7" s="54"/>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308</v>
      </c>
      <c r="C8" s="9" t="s">
        <v>335</v>
      </c>
      <c r="D8" s="14" t="s">
        <v>448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309</v>
      </c>
      <c r="C9" s="9" t="s">
        <v>336</v>
      </c>
      <c r="D9" s="14" t="s">
        <v>337</v>
      </c>
      <c r="E9" s="9">
        <v>0</v>
      </c>
      <c r="F9" s="9" t="s">
        <v>11</v>
      </c>
      <c r="G9" s="9" t="s">
        <v>344</v>
      </c>
      <c r="H9" s="23"/>
      <c r="I9" s="14" t="str">
        <f t="shared" ref="I9:I14" si="0">CONCATENATE("* ",B9, " ",E9,"..",F9," ",G9," ##34#",C9,"##34# ##334#",D9,"##334#")</f>
        <v>* name 0..* HumanName ##34#A.1.5.2 Author name##34# ##334#Person or device name. - Preferred system(s): ##334#</v>
      </c>
    </row>
    <row r="10" spans="1:11" ht="30.25" customHeight="1" x14ac:dyDescent="0.75">
      <c r="A10" s="9">
        <v>3</v>
      </c>
      <c r="B10" s="9" t="s">
        <v>310</v>
      </c>
      <c r="C10" s="9" t="s">
        <v>447</v>
      </c>
      <c r="D10" s="14" t="s">
        <v>324</v>
      </c>
      <c r="E10" s="9">
        <v>0</v>
      </c>
      <c r="F10" s="9" t="s">
        <v>11</v>
      </c>
      <c r="G10" s="9" t="s">
        <v>311</v>
      </c>
      <c r="H10" s="23"/>
      <c r="I10" s="14" t="str">
        <f t="shared" si="0"/>
        <v>* organization 0..* Organization ##34#A.1.5.3 Author organization##34# ##334#The healthcare provider organization information. - Preferred system(s): ##334#</v>
      </c>
    </row>
    <row r="11" spans="1:11" ht="45" customHeight="1" x14ac:dyDescent="0.75">
      <c r="A11" s="56">
        <v>4</v>
      </c>
      <c r="B11" s="56"/>
      <c r="D11" s="57"/>
      <c r="E11" s="56"/>
      <c r="F11" s="56"/>
      <c r="G11" s="56"/>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5" t="s">
        <v>83</v>
      </c>
      <c r="D26" s="116"/>
      <c r="E26" s="116"/>
      <c r="F26" s="117"/>
    </row>
    <row r="27" spans="2:9" ht="409.6" thickBot="1" x14ac:dyDescent="0.9">
      <c r="B27" t="str">
        <f t="shared" ref="B27:B29" si="2">CONCATENATE(C27," ",D27)</f>
        <v>A.1.5.1 Author identifier</v>
      </c>
      <c r="C27" s="36" t="s">
        <v>84</v>
      </c>
      <c r="D27" s="37" t="s">
        <v>85</v>
      </c>
      <c r="E27" s="37" t="s">
        <v>449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87</v>
      </c>
      <c r="D28" s="37" t="s">
        <v>88</v>
      </c>
      <c r="E28" s="37" t="s">
        <v>89</v>
      </c>
      <c r="F28" s="42"/>
      <c r="I28" s="1" t="str">
        <f t="shared" si="3"/>
        <v xml:space="preserve">Person or device name. - Preferred system(s): </v>
      </c>
    </row>
    <row r="29" spans="2:9" ht="112.75" thickBot="1" x14ac:dyDescent="0.9">
      <c r="B29" t="str">
        <f t="shared" si="2"/>
        <v xml:space="preserve">A.1.5.3 Author organization </v>
      </c>
      <c r="C29" s="36" t="s">
        <v>90</v>
      </c>
      <c r="D29" s="37" t="s">
        <v>450</v>
      </c>
      <c r="E29" s="37" t="s">
        <v>82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343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484</v>
      </c>
      <c r="E9" s="4" t="str">
        <f>CONCATENATE("* -&gt; ##34#",C9,"##34#")</f>
        <v>* -&gt; ##34#Composition.author.resolve()##34#</v>
      </c>
      <c r="H9" s="10"/>
      <c r="I9" s="10"/>
      <c r="J9" s="10"/>
      <c r="K9" s="10"/>
      <c r="L9" s="10"/>
      <c r="M9" s="10"/>
      <c r="N9" s="10"/>
      <c r="O9" s="10"/>
    </row>
    <row r="10" spans="1:15" ht="44.25" x14ac:dyDescent="0.75">
      <c r="A10" s="9"/>
      <c r="B10" s="59" t="str">
        <f>'A1.5 Author'!$B$8</f>
        <v>identifier</v>
      </c>
      <c r="C10" s="9" t="s">
        <v>787</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9" t="str">
        <f>'A1.5 Author'!$B$8</f>
        <v>identifier</v>
      </c>
      <c r="C11" s="9" t="s">
        <v>788</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789</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790</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3" t="s">
        <v>987</v>
      </c>
    </row>
    <row r="3" spans="3:7" x14ac:dyDescent="0.75">
      <c r="C3" s="33" t="str">
        <f>'A1.5 Author'!I3</f>
        <v>// -------------------------------------------------------------------------------</v>
      </c>
    </row>
    <row r="4" spans="3:7" x14ac:dyDescent="0.75">
      <c r="C4" s="25" t="str">
        <f>'A1.5 Author'!I4</f>
        <v>Logical: AuthorPsEhn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273</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0"/>
      <c r="G48" s="10"/>
    </row>
    <row r="49" spans="3:3" x14ac:dyDescent="0.75">
      <c r="C49" s="60"/>
    </row>
    <row r="50" spans="3:3" x14ac:dyDescent="0.75">
      <c r="C50" s="60"/>
    </row>
    <row r="51" spans="3:3" x14ac:dyDescent="0.75">
      <c r="C51" s="6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708</v>
      </c>
      <c r="D3" s="70" t="s">
        <v>560</v>
      </c>
      <c r="E3" s="81" t="s">
        <v>596</v>
      </c>
    </row>
    <row r="4" spans="1:19" x14ac:dyDescent="0.75">
      <c r="B4" s="70" t="s">
        <v>19</v>
      </c>
      <c r="C4" s="51" t="s">
        <v>1095</v>
      </c>
      <c r="D4" s="70" t="s">
        <v>561</v>
      </c>
      <c r="E4" t="str">
        <f>'Author-ConceptMap-2-delete'!E4</f>
        <v>http://hl7.eu/fhir/laboratory/StructureDefinition/Bundle-eu-ps</v>
      </c>
    </row>
    <row r="5" spans="1:19" x14ac:dyDescent="0.75">
      <c r="B5" s="70" t="s">
        <v>13</v>
      </c>
      <c r="C5" s="10" t="s">
        <v>597</v>
      </c>
      <c r="D5" s="70"/>
      <c r="E5" s="10"/>
    </row>
    <row r="6" spans="1:19" x14ac:dyDescent="0.75">
      <c r="B6" s="70" t="s">
        <v>35</v>
      </c>
      <c r="C6" s="69"/>
      <c r="D6" s="70" t="s">
        <v>558</v>
      </c>
      <c r="E6" s="137" t="s">
        <v>596</v>
      </c>
      <c r="F6" s="136"/>
      <c r="G6" s="136"/>
    </row>
    <row r="7" spans="1:19" x14ac:dyDescent="0.75">
      <c r="B7" s="70" t="s">
        <v>18</v>
      </c>
      <c r="C7" s="77"/>
      <c r="D7" s="70" t="s">
        <v>559</v>
      </c>
      <c r="E7" s="137" t="s">
        <v>1089</v>
      </c>
      <c r="F7" s="136"/>
      <c r="G7" s="136"/>
    </row>
    <row r="8" spans="1:19" ht="44.25" x14ac:dyDescent="0.75">
      <c r="B8" s="70" t="s">
        <v>554</v>
      </c>
      <c r="C8" s="10" t="s">
        <v>595</v>
      </c>
      <c r="D8" s="70"/>
      <c r="E8" s="10"/>
      <c r="I8" s="14" t="s">
        <v>526</v>
      </c>
      <c r="J8" s="14" t="s">
        <v>527</v>
      </c>
      <c r="K8" s="14" t="s">
        <v>528</v>
      </c>
      <c r="L8" s="14" t="s">
        <v>529</v>
      </c>
      <c r="M8" s="9" t="s">
        <v>530</v>
      </c>
      <c r="P8" s="66" t="s">
        <v>531</v>
      </c>
      <c r="Q8" s="66">
        <v>6</v>
      </c>
    </row>
    <row r="9" spans="1:19" ht="29.5" x14ac:dyDescent="0.75">
      <c r="B9" s="70" t="s">
        <v>555</v>
      </c>
      <c r="C9" s="1" t="s">
        <v>1028</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'A1.5 Author'!B5</f>
        <v>Author</v>
      </c>
      <c r="C14" s="9"/>
      <c r="D14" s="14" t="s">
        <v>263</v>
      </c>
      <c r="E14" s="8"/>
      <c r="F14" s="72"/>
      <c r="G14" s="72"/>
      <c r="I14" s="14"/>
      <c r="J14" s="9"/>
      <c r="K14" s="9"/>
      <c r="L14" s="9"/>
      <c r="M14" s="68"/>
      <c r="N14" s="71"/>
    </row>
    <row r="15" spans="1:19" ht="44.25" customHeight="1" x14ac:dyDescent="0.75">
      <c r="A15" s="23"/>
      <c r="B15" s="9" t="str">
        <f>'A1.5 Author'!B8</f>
        <v>identifier</v>
      </c>
      <c r="C15" s="9" t="str">
        <f>'A1.5 Author'!C8</f>
        <v>A.1.5.1 Author identifier</v>
      </c>
      <c r="D15" s="14" t="s">
        <v>686</v>
      </c>
      <c r="E15" s="9"/>
      <c r="F15" s="72" t="s">
        <v>537</v>
      </c>
      <c r="G15" s="72"/>
      <c r="H15" s="73"/>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687</v>
      </c>
      <c r="E16" s="9"/>
      <c r="F16" s="72" t="s">
        <v>537</v>
      </c>
      <c r="G16" s="96" t="s">
        <v>825</v>
      </c>
      <c r="H16" s="73"/>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795</v>
      </c>
      <c r="E17" s="9"/>
      <c r="F17" s="72" t="s">
        <v>537</v>
      </c>
      <c r="G17" s="14" t="s">
        <v>826</v>
      </c>
      <c r="H17" s="73"/>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823</v>
      </c>
      <c r="E18" s="9"/>
      <c r="F18" s="72" t="s">
        <v>537</v>
      </c>
      <c r="G18" s="79" t="s">
        <v>847</v>
      </c>
      <c r="H18" s="73"/>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688</v>
      </c>
      <c r="E19" s="9"/>
      <c r="F19" s="72" t="s">
        <v>537</v>
      </c>
      <c r="G19" s="14" t="s">
        <v>827</v>
      </c>
      <c r="H19" s="73"/>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824</v>
      </c>
      <c r="E20" s="9"/>
      <c r="F20" s="72" t="s">
        <v>537</v>
      </c>
      <c r="G20" s="79" t="s">
        <v>847</v>
      </c>
      <c r="H20" s="73"/>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2"/>
      <c r="G21" s="72"/>
      <c r="H21" s="73"/>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2"/>
      <c r="G22" s="72"/>
      <c r="H22" s="73"/>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2"/>
      <c r="G23" s="72"/>
      <c r="H23" s="73"/>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2"/>
      <c r="G24" s="72"/>
      <c r="H24" s="73"/>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2"/>
      <c r="G25" s="72"/>
      <c r="H25" s="73"/>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2"/>
      <c r="G26" s="72"/>
      <c r="H26" s="73"/>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2"/>
      <c r="G27" s="72"/>
      <c r="H27" s="73"/>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2"/>
      <c r="G28" s="72"/>
      <c r="H28" s="73"/>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2"/>
      <c r="G29" s="72"/>
      <c r="H29" s="73"/>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2"/>
      <c r="G30" s="72"/>
      <c r="H30" s="73"/>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2"/>
      <c r="G31" s="72"/>
      <c r="H31" s="73"/>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2"/>
      <c r="G32" s="72"/>
      <c r="H32" s="73"/>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2"/>
      <c r="G33" s="72"/>
      <c r="H33" s="73"/>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2"/>
      <c r="G34" s="72"/>
      <c r="H34" s="73"/>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2"/>
      <c r="G35" s="72"/>
      <c r="H35" s="73"/>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2"/>
      <c r="G36" s="72"/>
      <c r="H36" s="73"/>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2"/>
      <c r="G37" s="72"/>
      <c r="H37" s="73"/>
      <c r="K37" s="73"/>
      <c r="L37" s="73"/>
      <c r="M37" s="71"/>
      <c r="N37" s="71"/>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2"/>
      <c r="G38" s="72"/>
      <c r="H38" s="73"/>
      <c r="K38" s="73"/>
      <c r="L38" s="73"/>
      <c r="M38" s="71"/>
      <c r="N38" s="71"/>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2"/>
      <c r="G39" s="73"/>
      <c r="H39" s="73"/>
      <c r="J39"/>
      <c r="K39" s="73"/>
      <c r="L39" s="73"/>
      <c r="M39" s="71"/>
      <c r="N39" s="71"/>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7"/>
      <c r="F40" s="73"/>
      <c r="G40" s="73"/>
      <c r="H40" s="73"/>
      <c r="J40"/>
      <c r="K40" s="73"/>
      <c r="L40" s="73"/>
      <c r="M40" s="71"/>
      <c r="N40" s="71"/>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708</v>
      </c>
      <c r="D3" s="70" t="s">
        <v>560</v>
      </c>
      <c r="E3" s="81" t="s">
        <v>596</v>
      </c>
    </row>
    <row r="4" spans="1:19" x14ac:dyDescent="0.75">
      <c r="B4" s="70" t="s">
        <v>19</v>
      </c>
      <c r="C4" s="51" t="s">
        <v>1095</v>
      </c>
      <c r="D4" s="70" t="s">
        <v>561</v>
      </c>
      <c r="E4" s="137" t="s">
        <v>1086</v>
      </c>
      <c r="F4" s="136"/>
      <c r="G4" s="136"/>
    </row>
    <row r="5" spans="1:19" x14ac:dyDescent="0.75">
      <c r="B5" s="70" t="s">
        <v>13</v>
      </c>
      <c r="C5" s="10" t="s">
        <v>597</v>
      </c>
      <c r="D5" s="70"/>
      <c r="E5" s="10"/>
    </row>
    <row r="6" spans="1:19" x14ac:dyDescent="0.75">
      <c r="B6" s="70" t="s">
        <v>35</v>
      </c>
      <c r="C6" s="69"/>
      <c r="D6" s="70" t="s">
        <v>558</v>
      </c>
      <c r="E6" s="137" t="s">
        <v>596</v>
      </c>
      <c r="F6" s="136"/>
      <c r="G6" s="136"/>
    </row>
    <row r="7" spans="1:19" x14ac:dyDescent="0.75">
      <c r="B7" s="70" t="s">
        <v>18</v>
      </c>
      <c r="C7" s="77"/>
      <c r="D7" s="70" t="s">
        <v>559</v>
      </c>
      <c r="E7" s="136" t="s">
        <v>1087</v>
      </c>
      <c r="F7" s="136"/>
      <c r="G7" s="136"/>
    </row>
    <row r="8" spans="1:19" ht="44.25" x14ac:dyDescent="0.75">
      <c r="B8" s="70" t="s">
        <v>554</v>
      </c>
      <c r="C8" s="10" t="s">
        <v>595</v>
      </c>
      <c r="D8" s="70"/>
      <c r="E8" s="10"/>
      <c r="I8" s="14" t="s">
        <v>526</v>
      </c>
      <c r="J8" s="14" t="s">
        <v>527</v>
      </c>
      <c r="K8" s="14" t="s">
        <v>528</v>
      </c>
      <c r="L8" s="14" t="s">
        <v>529</v>
      </c>
      <c r="M8" s="9" t="s">
        <v>530</v>
      </c>
      <c r="P8" s="66" t="s">
        <v>531</v>
      </c>
      <c r="Q8" s="66">
        <v>6</v>
      </c>
    </row>
    <row r="9" spans="1:19" ht="29.5" x14ac:dyDescent="0.75">
      <c r="B9" s="70" t="s">
        <v>555</v>
      </c>
      <c r="C9" s="1" t="s">
        <v>1028</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'A1.5 Author'!B5</f>
        <v>Author</v>
      </c>
      <c r="C14" s="9"/>
      <c r="D14" s="4" t="s">
        <v>546</v>
      </c>
      <c r="E14" s="8"/>
      <c r="F14" s="72"/>
      <c r="G14" s="72"/>
      <c r="I14" s="14"/>
      <c r="J14" s="9"/>
      <c r="K14" s="9"/>
      <c r="L14" s="9"/>
      <c r="M14" s="68"/>
      <c r="N14" s="71"/>
    </row>
    <row r="15" spans="1:19" ht="44.25" customHeight="1" x14ac:dyDescent="0.75">
      <c r="A15" s="23"/>
      <c r="B15" s="9" t="str">
        <f>'A1.5 Author'!B8</f>
        <v>identifier</v>
      </c>
      <c r="C15" s="9" t="str">
        <f>'A1.5 Author'!C8</f>
        <v>A.1.5.1 Author identifier</v>
      </c>
      <c r="D15" s="14" t="s">
        <v>680</v>
      </c>
      <c r="E15" s="9"/>
      <c r="F15" s="72" t="s">
        <v>538</v>
      </c>
      <c r="G15" s="72" t="s">
        <v>571</v>
      </c>
      <c r="H15" s="73"/>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683</v>
      </c>
      <c r="E16" s="9"/>
      <c r="F16" s="72" t="s">
        <v>538</v>
      </c>
      <c r="G16" s="72" t="s">
        <v>600</v>
      </c>
      <c r="H16" s="73"/>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681</v>
      </c>
      <c r="E17" s="9"/>
      <c r="F17" s="72" t="s">
        <v>538</v>
      </c>
      <c r="G17" s="79" t="s">
        <v>828</v>
      </c>
      <c r="H17" s="73"/>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846</v>
      </c>
      <c r="E18" s="9"/>
      <c r="F18" s="72" t="s">
        <v>538</v>
      </c>
      <c r="G18" s="79" t="s">
        <v>829</v>
      </c>
      <c r="H18" s="73"/>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684</v>
      </c>
      <c r="E19" s="9"/>
      <c r="F19" s="72" t="s">
        <v>538</v>
      </c>
      <c r="G19" s="79" t="s">
        <v>830</v>
      </c>
      <c r="H19" s="73"/>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792</v>
      </c>
      <c r="E20" s="9"/>
      <c r="F20" s="72" t="s">
        <v>538</v>
      </c>
      <c r="G20" s="79" t="s">
        <v>831</v>
      </c>
      <c r="H20" s="73"/>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682</v>
      </c>
      <c r="E21" s="9"/>
      <c r="F21" s="72" t="s">
        <v>538</v>
      </c>
      <c r="G21" s="79" t="s">
        <v>829</v>
      </c>
      <c r="H21" s="73"/>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685</v>
      </c>
      <c r="E22" s="9"/>
      <c r="F22" s="72" t="s">
        <v>538</v>
      </c>
      <c r="G22" s="79" t="s">
        <v>831</v>
      </c>
      <c r="H22" s="73"/>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2"/>
      <c r="G23" s="72"/>
      <c r="H23" s="73"/>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2"/>
      <c r="G24" s="72"/>
      <c r="H24" s="73"/>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2"/>
      <c r="G25" s="72"/>
      <c r="H25" s="73"/>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2"/>
      <c r="G26" s="72"/>
      <c r="H26" s="73"/>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2"/>
      <c r="G27" s="72"/>
      <c r="H27" s="73"/>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2"/>
      <c r="G28" s="72"/>
      <c r="H28" s="73"/>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2"/>
      <c r="G29" s="72"/>
      <c r="H29" s="73"/>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2"/>
      <c r="G30" s="72"/>
      <c r="H30" s="73"/>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2"/>
      <c r="G31" s="72"/>
      <c r="H31" s="73"/>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2"/>
      <c r="G32" s="72"/>
      <c r="H32" s="73"/>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2"/>
      <c r="G33" s="72"/>
      <c r="H33" s="73"/>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2"/>
      <c r="G34" s="72"/>
      <c r="H34" s="73"/>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2"/>
      <c r="G35" s="72"/>
      <c r="H35" s="73"/>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2"/>
      <c r="G36" s="72"/>
      <c r="H36" s="73"/>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2"/>
      <c r="G37" s="72"/>
      <c r="H37" s="73"/>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2"/>
      <c r="G38" s="72"/>
      <c r="H38" s="73"/>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2"/>
      <c r="G39" s="72"/>
      <c r="H39" s="73"/>
      <c r="K39" s="73"/>
      <c r="L39" s="73"/>
      <c r="M39" s="71"/>
      <c r="N39" s="71"/>
      <c r="P39" s="9">
        <v>25</v>
      </c>
      <c r="Q39" s="9">
        <f t="shared" si="13"/>
        <v>4</v>
      </c>
      <c r="R39" s="9">
        <f t="shared" si="14"/>
        <v>1</v>
      </c>
      <c r="S39" s="14" t="str" cm="1">
        <f t="array" ref="S39">INDEX('Author-ConceptMap-2'!$I$15:$N$125,Q39+1,R39)</f>
        <v>* group[=].element[+].code = #Author.name</v>
      </c>
    </row>
    <row r="40" spans="1:19" x14ac:dyDescent="0.75">
      <c r="B40" s="9"/>
      <c r="C40" s="9"/>
      <c r="D40" s="14"/>
      <c r="E40" s="14"/>
      <c r="F40" s="72"/>
      <c r="G40" s="72"/>
      <c r="H40" s="73"/>
      <c r="K40" s="73"/>
      <c r="L40" s="73"/>
      <c r="M40" s="71"/>
      <c r="N40" s="71"/>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2"/>
      <c r="G41" s="73"/>
      <c r="H41" s="73"/>
      <c r="J41"/>
      <c r="K41" s="73"/>
      <c r="L41" s="73"/>
      <c r="M41" s="71"/>
      <c r="N41" s="71"/>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7"/>
      <c r="F42" s="73"/>
      <c r="G42" s="73"/>
      <c r="H42" s="73"/>
      <c r="J42"/>
      <c r="K42" s="73"/>
      <c r="L42" s="73"/>
      <c r="M42" s="71"/>
      <c r="N42" s="71"/>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3"/>
      <c r="G43" s="73"/>
      <c r="H43" s="73"/>
      <c r="J43"/>
      <c r="K43" s="73"/>
      <c r="L43" s="73"/>
      <c r="M43" s="71"/>
      <c r="N43" s="71"/>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3"/>
      <c r="G44" s="73"/>
      <c r="H44" s="73"/>
      <c r="J44" s="73"/>
      <c r="K44" s="73"/>
      <c r="L44" s="73"/>
      <c r="M44" s="71"/>
      <c r="N44" s="71"/>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3"/>
      <c r="G45" s="73"/>
      <c r="H45" s="73"/>
      <c r="J45" s="73"/>
      <c r="K45" s="73"/>
      <c r="L45" s="73"/>
      <c r="M45" s="71"/>
      <c r="N45" s="71"/>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display="http://hl7.eu/fhir/laboratory/StructureDefinition/Bundle-eu-lab"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593</v>
      </c>
      <c r="D3" s="70" t="s">
        <v>560</v>
      </c>
      <c r="E3" s="81" t="s">
        <v>596</v>
      </c>
    </row>
    <row r="4" spans="1:19" x14ac:dyDescent="0.75">
      <c r="B4" s="70" t="s">
        <v>19</v>
      </c>
      <c r="C4" s="51" t="s">
        <v>594</v>
      </c>
      <c r="D4" s="70" t="s">
        <v>561</v>
      </c>
      <c r="E4" t="str">
        <f>'Author-ConceptMap-2'!E4</f>
        <v>http://hl7.eu/fhir/laboratory/StructureDefinition/Bundle-eu-ps</v>
      </c>
    </row>
    <row r="5" spans="1:19" x14ac:dyDescent="0.75">
      <c r="B5" s="70" t="s">
        <v>13</v>
      </c>
      <c r="C5" s="10" t="s">
        <v>597</v>
      </c>
      <c r="D5" s="70"/>
      <c r="E5" s="10"/>
    </row>
    <row r="6" spans="1:19" x14ac:dyDescent="0.75">
      <c r="B6" s="70" t="s">
        <v>35</v>
      </c>
      <c r="C6" s="69"/>
      <c r="D6" s="70" t="s">
        <v>558</v>
      </c>
      <c r="E6" s="137" t="s">
        <v>596</v>
      </c>
      <c r="F6" s="136"/>
      <c r="G6" s="136"/>
    </row>
    <row r="7" spans="1:19" x14ac:dyDescent="0.75">
      <c r="B7" s="70" t="s">
        <v>18</v>
      </c>
      <c r="C7" s="77"/>
      <c r="D7" s="70" t="s">
        <v>559</v>
      </c>
      <c r="E7" s="136" t="s">
        <v>1087</v>
      </c>
      <c r="F7" s="136"/>
      <c r="G7" s="136"/>
    </row>
    <row r="8" spans="1:19" ht="44.25" x14ac:dyDescent="0.75">
      <c r="B8" s="70" t="s">
        <v>554</v>
      </c>
      <c r="C8" s="10" t="s">
        <v>595</v>
      </c>
      <c r="D8" s="70"/>
      <c r="E8" s="10"/>
      <c r="I8" s="14" t="s">
        <v>526</v>
      </c>
      <c r="J8" s="14" t="s">
        <v>527</v>
      </c>
      <c r="K8" s="14" t="s">
        <v>528</v>
      </c>
      <c r="L8" s="14" t="s">
        <v>529</v>
      </c>
      <c r="M8" s="9" t="s">
        <v>530</v>
      </c>
      <c r="P8" s="66" t="s">
        <v>531</v>
      </c>
      <c r="Q8" s="66">
        <v>6</v>
      </c>
    </row>
    <row r="9" spans="1:19" ht="29.5" x14ac:dyDescent="0.75">
      <c r="B9" s="70" t="s">
        <v>555</v>
      </c>
      <c r="C9" s="1" t="s">
        <v>1028</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'A1.5 Author'!B5</f>
        <v>Author</v>
      </c>
      <c r="C14" s="9"/>
      <c r="D14" s="4" t="s">
        <v>546</v>
      </c>
      <c r="E14" s="8"/>
      <c r="F14" s="72"/>
      <c r="G14" s="72"/>
      <c r="I14" s="14"/>
      <c r="J14" s="9"/>
      <c r="K14" s="9"/>
      <c r="L14" s="9"/>
      <c r="M14" s="68"/>
      <c r="N14" s="71"/>
    </row>
    <row r="15" spans="1:19" ht="59" x14ac:dyDescent="0.75">
      <c r="A15" s="23"/>
      <c r="B15" s="59" t="s">
        <v>563</v>
      </c>
      <c r="C15" s="59" t="s">
        <v>330</v>
      </c>
      <c r="D15" s="14" t="s">
        <v>651</v>
      </c>
      <c r="E15" s="59"/>
      <c r="F15" s="72" t="s">
        <v>538</v>
      </c>
      <c r="G15" s="72" t="s">
        <v>600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683</v>
      </c>
      <c r="E16" s="9"/>
      <c r="F16" s="72" t="s">
        <v>538</v>
      </c>
      <c r="G16" s="72" t="s">
        <v>600</v>
      </c>
      <c r="H16" s="73"/>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684</v>
      </c>
      <c r="E17" s="9"/>
      <c r="F17" s="72" t="s">
        <v>538</v>
      </c>
      <c r="G17" s="72" t="s">
        <v>791</v>
      </c>
      <c r="H17" s="73"/>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792</v>
      </c>
      <c r="E18" s="9"/>
      <c r="F18" s="72" t="s">
        <v>538</v>
      </c>
      <c r="G18" s="72" t="s">
        <v>793</v>
      </c>
      <c r="H18" s="73"/>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685</v>
      </c>
      <c r="E19" s="9"/>
      <c r="F19" s="72" t="s">
        <v>538</v>
      </c>
      <c r="G19" s="72" t="s">
        <v>794</v>
      </c>
      <c r="H19" s="73"/>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2"/>
      <c r="G20" s="72"/>
      <c r="H20" s="73"/>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2"/>
      <c r="G21" s="72"/>
      <c r="H21" s="73"/>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2"/>
      <c r="G22" s="72"/>
      <c r="H22" s="73"/>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2"/>
      <c r="G23" s="72"/>
      <c r="H23" s="73"/>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2"/>
      <c r="G24" s="72"/>
      <c r="H24" s="73"/>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2"/>
      <c r="G25" s="72"/>
      <c r="H25" s="73"/>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2"/>
      <c r="G26" s="72"/>
      <c r="H26" s="73"/>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2"/>
      <c r="G27" s="72"/>
      <c r="H27" s="73"/>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2"/>
      <c r="G28" s="72"/>
      <c r="H28" s="73"/>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2"/>
      <c r="G29" s="72"/>
      <c r="H29" s="73"/>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2"/>
      <c r="G30" s="72"/>
      <c r="H30" s="73"/>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2"/>
      <c r="G31" s="72"/>
      <c r="H31" s="73"/>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2"/>
      <c r="G32" s="72"/>
      <c r="H32" s="73"/>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2"/>
      <c r="G33" s="72"/>
      <c r="H33" s="73"/>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2"/>
      <c r="G34" s="72"/>
      <c r="H34" s="73"/>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2"/>
      <c r="G35" s="72"/>
      <c r="H35" s="73"/>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2"/>
      <c r="G36" s="72"/>
      <c r="H36" s="73"/>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2"/>
      <c r="G37" s="72"/>
      <c r="H37" s="73"/>
      <c r="K37" s="73"/>
      <c r="L37" s="73"/>
      <c r="M37" s="71"/>
      <c r="N37" s="71"/>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2"/>
      <c r="G38" s="72"/>
      <c r="H38" s="73"/>
      <c r="K38" s="73"/>
      <c r="L38" s="73"/>
      <c r="M38" s="71"/>
      <c r="N38" s="71"/>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2"/>
      <c r="G39" s="73"/>
      <c r="H39" s="73"/>
      <c r="J39"/>
      <c r="K39" s="73"/>
      <c r="L39" s="73"/>
      <c r="M39" s="71"/>
      <c r="N39" s="71"/>
      <c r="P39">
        <v>25</v>
      </c>
      <c r="Q39" s="9">
        <f t="shared" si="17"/>
        <v>4</v>
      </c>
      <c r="R39" s="9">
        <f t="shared" si="18"/>
        <v>1</v>
      </c>
      <c r="S39" s="14" cm="1">
        <f t="array" ref="S39">INDEX('Author-ConceptMap-2-delete'!$I$16:$N$121,Q39+1,R39)</f>
        <v>0</v>
      </c>
    </row>
    <row r="40" spans="1:19" s="1" customFormat="1" x14ac:dyDescent="0.75">
      <c r="A40"/>
      <c r="B40" s="9"/>
      <c r="C40" s="9"/>
      <c r="D40" s="57"/>
      <c r="F40" s="73"/>
      <c r="G40" s="73"/>
      <c r="H40" s="73"/>
      <c r="J40"/>
      <c r="K40" s="73"/>
      <c r="L40" s="73"/>
      <c r="M40" s="71"/>
      <c r="N40" s="71"/>
      <c r="P40" s="9">
        <v>26</v>
      </c>
      <c r="Q40" s="9">
        <f t="shared" si="17"/>
        <v>4</v>
      </c>
      <c r="R40" s="9">
        <f t="shared" si="18"/>
        <v>2</v>
      </c>
      <c r="S40" s="14" cm="1">
        <f t="array" ref="S40">INDEX('Author-ConceptMap-2-delete'!$I$16:$N$121,Q40+1,R40)</f>
        <v>0</v>
      </c>
    </row>
    <row r="41" spans="1:19" s="1" customFormat="1" x14ac:dyDescent="0.75">
      <c r="A41"/>
      <c r="B41" s="9"/>
      <c r="C41" s="9"/>
      <c r="F41" s="73"/>
      <c r="G41" s="73"/>
      <c r="H41" s="73"/>
      <c r="J41"/>
      <c r="K41" s="73"/>
      <c r="L41" s="73"/>
      <c r="M41" s="71"/>
      <c r="N41" s="71"/>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598</v>
      </c>
    </row>
    <row r="3" spans="2:7" x14ac:dyDescent="0.75">
      <c r="B3" s="33" t="s">
        <v>37</v>
      </c>
    </row>
    <row r="4" spans="2:7" x14ac:dyDescent="0.75">
      <c r="B4" s="74" t="str">
        <f>"Instance: "&amp;'Author-ConceptMap-2'!C4</f>
        <v>Instance: author2FHIR-eu-ps</v>
      </c>
    </row>
    <row r="5" spans="2:7" x14ac:dyDescent="0.75">
      <c r="B5" s="74" t="s">
        <v>541</v>
      </c>
    </row>
    <row r="6" spans="2:7" x14ac:dyDescent="0.75">
      <c r="B6" s="74" t="s">
        <v>542</v>
      </c>
    </row>
    <row r="7" spans="2:7" x14ac:dyDescent="0.75">
      <c r="B7" s="74" t="s">
        <v>552</v>
      </c>
    </row>
    <row r="8" spans="2:7" x14ac:dyDescent="0.75">
      <c r="B8" s="74" t="str">
        <f>"* name = ##34#"&amp;'Author-ConceptMap-2'!C3&amp;"##34#"</f>
        <v>* name = ##34#LabRptAuthor2FHIR##34#</v>
      </c>
    </row>
    <row r="9" spans="2:7" x14ac:dyDescent="0.75">
      <c r="B9" s="74" t="str">
        <f>"* title = ##34#"&amp;'Author-ConceptMap-2'!C5&amp;"##34#"</f>
        <v>* title = ##34#eHN Author to this guide Map##34#</v>
      </c>
    </row>
    <row r="10" spans="2:7" x14ac:dyDescent="0.75">
      <c r="B10" s="74" t="s">
        <v>543</v>
      </c>
    </row>
    <row r="11" spans="2:7" x14ac:dyDescent="0.75">
      <c r="B11" s="74" t="s">
        <v>544</v>
      </c>
    </row>
    <row r="12" spans="2:7" x14ac:dyDescent="0.75">
      <c r="B12" s="74" t="str">
        <f>"* description = ##34#"&amp;'Author-ConceptMap-2'!C8&amp;"##34#"</f>
        <v>* description = ##34#eHN Author Model to this guide Map##34#</v>
      </c>
    </row>
    <row r="13" spans="2:7" x14ac:dyDescent="0.75">
      <c r="B13" s="74" t="str">
        <f>"* purpose = ##34#"&amp;'Author-ConceptMap-2'!C9&amp;"##34#"</f>
        <v>* purpose = ##34#It shows how the Patient Summary Author data set defined by the EU eHN guidelines is mapped into this guide##34#</v>
      </c>
    </row>
    <row r="14" spans="2:7" x14ac:dyDescent="0.75">
      <c r="B14" s="75" t="str">
        <f>"* sourceUri = ##34#"&amp;'Author-ConceptMap-2'!E3&amp;"##34#"</f>
        <v>* sourceUri = ##34#http://hl7.eu/fhir/laboratory/StructureDefinition/Author##34#</v>
      </c>
    </row>
    <row r="15" spans="2:7" x14ac:dyDescent="0.75">
      <c r="B15" s="75" t="str">
        <f>"* targetUri = ##34#"&amp;'Author-ConceptMap-2'!E4&amp;"##34#"</f>
        <v>* targetUri = ##34#http://hl7.eu/fhir/laboratory/StructureDefinition/Bundle-eu-ps##34#</v>
      </c>
    </row>
    <row r="16" spans="2:7" x14ac:dyDescent="0.75">
      <c r="B16" s="74"/>
    </row>
    <row r="17" spans="2:2" x14ac:dyDescent="0.75">
      <c r="B17" s="74"/>
    </row>
    <row r="18" spans="2:2" x14ac:dyDescent="0.75">
      <c r="B18" s="76" t="str">
        <f>"* group[+].source = ##34#"&amp;'Author-ConceptMap-1'!E6&amp;"##34#"</f>
        <v>* group[+].source = ##34#http://hl7.eu/fhir/laboratory/StructureDefinition/Author##34#</v>
      </c>
    </row>
    <row r="19" spans="2:2" x14ac:dyDescent="0.75">
      <c r="B19" s="76" t="str">
        <f>"* group[=].target = ##34#"&amp;'Author-ConceptMap-1'!E7&amp;"##34#"</f>
        <v>* group[=].target = ##34#http://hl7.eu/fhir/laboratory/StructureDefinition/Composition-eu-ps##34#</v>
      </c>
    </row>
    <row r="20" spans="2:2" x14ac:dyDescent="0.75">
      <c r="B20" s="78"/>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6" t="str">
        <f>"* group[+].source = ##34#"&amp;'Author-ConceptMap-2'!E6&amp;"##34#"</f>
        <v>* group[+].source = ##34#http://hl7.eu/fhir/laboratory/StructureDefinition/Author##34#</v>
      </c>
    </row>
    <row r="64" spans="2:2" x14ac:dyDescent="0.75">
      <c r="B64" s="76" t="str">
        <f>"* group[=].target = ##34#"&amp;'Author-ConceptMap-2'!E7&amp;"##34#"</f>
        <v>* group[=].target = ##34#http://hl7.eu/fhir/laboratory/StructureDefinition/DiagnosticReport-eu-ps##34#</v>
      </c>
    </row>
    <row r="65" spans="2:7" x14ac:dyDescent="0.75">
      <c r="B65" s="78"/>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930</v>
      </c>
      <c r="I4" s="25" t="str">
        <f>CONCATENATE("Logical: ",B4)</f>
        <v>Logical: LegalAuthenticatorPsEhn</v>
      </c>
    </row>
    <row r="5" spans="1:11" x14ac:dyDescent="0.75">
      <c r="A5" s="18" t="s">
        <v>19</v>
      </c>
      <c r="B5" s="34" t="s">
        <v>333</v>
      </c>
      <c r="I5" s="25" t="str">
        <f>CONCATENATE("Id: ",B5)</f>
        <v>Id: LegalAuthenticator</v>
      </c>
    </row>
    <row r="6" spans="1:11" x14ac:dyDescent="0.75">
      <c r="A6" s="18" t="s">
        <v>13</v>
      </c>
      <c r="B6" s="19" t="s">
        <v>771</v>
      </c>
      <c r="I6" s="26" t="str">
        <f>CONCATENATE("Title: ##34#",B6,"##34#")</f>
        <v>Title: ##34#A.1.6 - Legal authenticator##34#</v>
      </c>
    </row>
    <row r="7" spans="1:11" ht="44.25" x14ac:dyDescent="0.75">
      <c r="A7" s="46" t="s">
        <v>5</v>
      </c>
      <c r="B7" s="55" t="s">
        <v>764</v>
      </c>
      <c r="C7" s="12"/>
      <c r="D7" s="2"/>
      <c r="E7" s="54"/>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308</v>
      </c>
      <c r="C8" s="9" t="s">
        <v>321</v>
      </c>
      <c r="D8" s="14" t="s">
        <v>452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309</v>
      </c>
      <c r="C9" s="9" t="s">
        <v>322</v>
      </c>
      <c r="D9" s="14" t="s">
        <v>318</v>
      </c>
      <c r="E9" s="9">
        <v>0</v>
      </c>
      <c r="F9" s="9" t="s">
        <v>11</v>
      </c>
      <c r="G9" s="9" t="s">
        <v>344</v>
      </c>
      <c r="H9" s="23"/>
      <c r="I9" s="14" t="str">
        <f t="shared" ref="I9:I14" si="0">CONCATENATE("* ",B9, " ",E9,"..",F9," ",G9," ##34#",C9,"##34# ##334#",D9,"##334#")</f>
        <v>* name 0..* HumanName ##34#A.1.6.2 Legal authenticator name##34# ##334#Person name. - Preferred system(s): ##334#</v>
      </c>
    </row>
    <row r="10" spans="1:11" ht="30.25" customHeight="1" x14ac:dyDescent="0.75">
      <c r="A10" s="9">
        <v>3</v>
      </c>
      <c r="B10" s="9" t="s">
        <v>310</v>
      </c>
      <c r="C10" s="9" t="s">
        <v>451</v>
      </c>
      <c r="D10" s="14" t="s">
        <v>324</v>
      </c>
      <c r="E10" s="9">
        <v>0</v>
      </c>
      <c r="F10" s="9" t="s">
        <v>11</v>
      </c>
      <c r="G10" s="9" t="s">
        <v>311</v>
      </c>
      <c r="H10" s="23"/>
      <c r="I10" s="14" t="str">
        <f t="shared" si="0"/>
        <v>* organization 0..* Organization ##34#A.1.6.3 Legal authenticator organization##34# ##334#The healthcare provider organization information. - Preferred system(s): ##334#</v>
      </c>
    </row>
    <row r="11" spans="1:11" ht="45" customHeight="1" x14ac:dyDescent="0.75">
      <c r="A11" s="56">
        <v>4</v>
      </c>
      <c r="B11" s="56" t="s">
        <v>2</v>
      </c>
      <c r="C11" t="s">
        <v>323</v>
      </c>
      <c r="D11" s="57" t="s">
        <v>325</v>
      </c>
      <c r="E11" s="56">
        <v>0</v>
      </c>
      <c r="F11" s="56">
        <v>1</v>
      </c>
      <c r="G11" s="56"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5" t="s">
        <v>92</v>
      </c>
      <c r="D26" s="116"/>
      <c r="E26" s="116"/>
      <c r="F26" s="117"/>
    </row>
    <row r="27" spans="2:9" ht="384.75" customHeight="1" thickBot="1" x14ac:dyDescent="0.9">
      <c r="B27" t="str">
        <f t="shared" ref="B27:B30" si="2">CONCATENATE(C27," ",D27)</f>
        <v>A.1.6.1 Legal authenticator identifier</v>
      </c>
      <c r="C27" s="36" t="s">
        <v>93</v>
      </c>
      <c r="D27" s="39" t="s">
        <v>94</v>
      </c>
      <c r="E27" s="37" t="s">
        <v>453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96</v>
      </c>
      <c r="D28" s="39" t="s">
        <v>97</v>
      </c>
      <c r="E28" s="37" t="s">
        <v>79</v>
      </c>
      <c r="F28" s="42"/>
      <c r="I28" s="1" t="str">
        <f t="shared" si="3"/>
        <v xml:space="preserve">Person name. - Preferred system(s): </v>
      </c>
    </row>
    <row r="29" spans="2:9" ht="112.75" thickBot="1" x14ac:dyDescent="0.9">
      <c r="B29" t="str">
        <f t="shared" si="2"/>
        <v xml:space="preserve">A.1.6.3 Legal authenticator organization </v>
      </c>
      <c r="C29" s="36" t="s">
        <v>98</v>
      </c>
      <c r="D29" s="39" t="s">
        <v>454</v>
      </c>
      <c r="E29" s="37" t="s">
        <v>82</v>
      </c>
      <c r="F29" s="42"/>
      <c r="I29" s="1" t="str">
        <f t="shared" si="3"/>
        <v xml:space="preserve">The healthcare provider organization information. - Preferred system(s): </v>
      </c>
    </row>
    <row r="30" spans="2:9" ht="112.75" thickBot="1" x14ac:dyDescent="0.9">
      <c r="B30" t="str">
        <f t="shared" si="2"/>
        <v>A.1.6.4 Authentication date and time</v>
      </c>
      <c r="C30" s="36" t="s">
        <v>100</v>
      </c>
      <c r="D30" s="39" t="s">
        <v>101</v>
      </c>
      <c r="E30" s="37" t="s">
        <v>102</v>
      </c>
      <c r="F30" s="39" t="s">
        <v>103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326</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327</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339</v>
      </c>
      <c r="E9" s="4" t="str">
        <f>CONCATENATE("* -&gt; ##34#",C9,"##34#")</f>
        <v>* -&gt; ##34#Composition.attester.where(mode=http://hl7.org/fhir/composition-attestation-mode#legal)##34#</v>
      </c>
      <c r="H9" s="10"/>
      <c r="I9" s="10"/>
      <c r="J9" s="10"/>
      <c r="K9" s="10"/>
      <c r="L9" s="10"/>
      <c r="M9" s="10"/>
      <c r="N9" s="10"/>
      <c r="O9" s="10"/>
    </row>
    <row r="10" spans="1:15" x14ac:dyDescent="0.75">
      <c r="A10" s="9"/>
      <c r="B10" s="59" t="str">
        <f>'A1.6 LegalAuth'!$B$8</f>
        <v>identifier</v>
      </c>
      <c r="C10" s="9" t="s">
        <v>796</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9" t="str">
        <f>'A1.6 LegalAuth'!$B$8</f>
        <v>identifier</v>
      </c>
      <c r="C11" s="9" t="s">
        <v>797</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798</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9" t="str">
        <f>'A1.6 LegalAuth'!$B$10</f>
        <v>organization</v>
      </c>
      <c r="C13" s="9" t="s">
        <v>799</v>
      </c>
      <c r="E13" s="14" t="str">
        <f t="shared" si="0"/>
        <v>* organization -&gt; ##34#.party.resolve().ofType(PractitionerRole).organization.resolve()##34#</v>
      </c>
      <c r="G13" s="1" t="s">
        <v>27</v>
      </c>
      <c r="H13" s="10"/>
      <c r="I13" s="10"/>
      <c r="J13" s="10"/>
      <c r="K13" s="10"/>
      <c r="L13" s="10"/>
      <c r="M13" s="10"/>
      <c r="N13" s="10"/>
      <c r="O13" s="10"/>
    </row>
    <row r="14" spans="1:15" x14ac:dyDescent="0.75">
      <c r="A14" s="9"/>
      <c r="B14" s="59" t="str">
        <f>'A1.6 LegalAuth'!$B$10</f>
        <v>organization</v>
      </c>
      <c r="C14" s="9" t="s">
        <v>485</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486</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787</v>
      </c>
    </row>
    <row r="31" spans="1:15" x14ac:dyDescent="0.75">
      <c r="C31" s="9" t="s">
        <v>788</v>
      </c>
      <c r="E31" s="22"/>
    </row>
    <row r="32" spans="1:15" x14ac:dyDescent="0.75">
      <c r="C32" s="9" t="s">
        <v>789</v>
      </c>
    </row>
    <row r="33" spans="3:3" x14ac:dyDescent="0.75">
      <c r="C33" s="9" t="s">
        <v>790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3" t="s">
        <v>988</v>
      </c>
    </row>
    <row r="3" spans="3:7" x14ac:dyDescent="0.75">
      <c r="C3" s="33" t="str">
        <f>'A1.6 LegalAuth'!I3</f>
        <v>// -------------------------------------------------------------------------------</v>
      </c>
    </row>
    <row r="4" spans="3:7" x14ac:dyDescent="0.75">
      <c r="C4" s="25" t="str">
        <f>'A1.6 LegalAuth'!I4</f>
        <v>Logical: LegalAuthenticatorPsEhn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273</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612</v>
      </c>
      <c r="D3" s="70" t="s">
        <v>560</v>
      </c>
      <c r="E3" s="137" t="str">
        <f>"http://hl7.eu/fhir/laboratory/StructureDefinition/"&amp;'A1.6 LegalAuth'!B5</f>
        <v>http://hl7.eu/fhir/laboratory/StructureDefinition/LegalAuthenticator</v>
      </c>
      <c r="F3" s="136"/>
      <c r="G3" s="136"/>
    </row>
    <row r="4" spans="1:19" x14ac:dyDescent="0.75">
      <c r="B4" s="70" t="s">
        <v>19</v>
      </c>
      <c r="C4" s="51" t="s">
        <v>1096</v>
      </c>
      <c r="D4" s="70" t="s">
        <v>561</v>
      </c>
      <c r="E4" s="137" t="s">
        <v>1089</v>
      </c>
      <c r="F4" s="136"/>
      <c r="G4" s="136"/>
    </row>
    <row r="5" spans="1:19" x14ac:dyDescent="0.75">
      <c r="B5" s="70" t="s">
        <v>13</v>
      </c>
      <c r="C5" s="10" t="s">
        <v>588</v>
      </c>
      <c r="D5" s="70"/>
      <c r="E5" s="10"/>
    </row>
    <row r="6" spans="1:19" x14ac:dyDescent="0.75">
      <c r="B6" s="70" t="s">
        <v>35</v>
      </c>
      <c r="C6" s="69"/>
      <c r="D6" s="70" t="s">
        <v>558</v>
      </c>
      <c r="E6" s="137" t="str">
        <f>E3</f>
        <v>http://hl7.eu/fhir/laboratory/StructureDefinition/LegalAuthenticator</v>
      </c>
      <c r="F6" s="136"/>
      <c r="G6" s="136"/>
    </row>
    <row r="7" spans="1:19" x14ac:dyDescent="0.75">
      <c r="B7" s="70" t="s">
        <v>18</v>
      </c>
      <c r="C7" s="77"/>
      <c r="D7" s="70" t="s">
        <v>559</v>
      </c>
      <c r="E7" s="137" t="str">
        <f>E4</f>
        <v>http://hl7.eu/fhir/laboratory/StructureDefinition/Composition-eu-ps</v>
      </c>
      <c r="F7" s="136"/>
      <c r="G7" s="136"/>
    </row>
    <row r="8" spans="1:19" ht="44.25" x14ac:dyDescent="0.75">
      <c r="B8" s="70" t="s">
        <v>554</v>
      </c>
      <c r="C8" s="10" t="s">
        <v>601</v>
      </c>
      <c r="D8" s="70"/>
      <c r="E8"/>
      <c r="I8" s="14" t="s">
        <v>526</v>
      </c>
      <c r="J8" s="14" t="s">
        <v>527</v>
      </c>
      <c r="K8" s="14" t="s">
        <v>528</v>
      </c>
      <c r="L8" s="14" t="s">
        <v>529</v>
      </c>
      <c r="M8" s="9" t="s">
        <v>530</v>
      </c>
      <c r="P8" s="66" t="s">
        <v>531</v>
      </c>
      <c r="Q8" s="66">
        <v>6</v>
      </c>
    </row>
    <row r="9" spans="1:19" ht="29.5" x14ac:dyDescent="0.75">
      <c r="B9" s="70" t="s">
        <v>555</v>
      </c>
      <c r="C9" s="1" t="s">
        <v>602</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'A1.6 LegalAuth'!B5</f>
        <v>LegalAuthenticator</v>
      </c>
      <c r="C14" s="9"/>
      <c r="D14" t="s">
        <v>263</v>
      </c>
      <c r="E14" s="8"/>
      <c r="F14" s="9"/>
      <c r="G14" t="s">
        <v>623</v>
      </c>
      <c r="I14" s="14"/>
      <c r="J14" s="9"/>
      <c r="K14" s="9"/>
      <c r="L14" s="9"/>
      <c r="M14" s="68"/>
      <c r="N14" s="71"/>
    </row>
    <row r="15" spans="1:19" ht="73.75" x14ac:dyDescent="0.75">
      <c r="A15" s="23"/>
      <c r="B15" s="9" t="str">
        <f>'A1.6 LegalAuth'!B8</f>
        <v>identifier</v>
      </c>
      <c r="C15" s="9" t="str">
        <f>'A1.6 LegalAuth'!C8</f>
        <v>A.1.6.1 Legal authenticator identifier</v>
      </c>
      <c r="D15" s="14" t="s">
        <v>689</v>
      </c>
      <c r="E15" s="9"/>
      <c r="F15" s="72" t="s">
        <v>537</v>
      </c>
      <c r="G15" t="s">
        <v>690</v>
      </c>
      <c r="H15" s="73"/>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691</v>
      </c>
      <c r="E16" s="9"/>
      <c r="F16" s="72" t="s">
        <v>537</v>
      </c>
      <c r="G16" s="14" t="s">
        <v>800</v>
      </c>
      <c r="H16" s="73"/>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801</v>
      </c>
      <c r="E17" s="9"/>
      <c r="F17" s="72" t="s">
        <v>537</v>
      </c>
      <c r="G17" s="14" t="s">
        <v>802</v>
      </c>
      <c r="H17" s="73"/>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692</v>
      </c>
      <c r="E18" s="9"/>
      <c r="F18" s="72" t="s">
        <v>537</v>
      </c>
      <c r="G18" s="14" t="s">
        <v>803</v>
      </c>
      <c r="H18" s="73"/>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693</v>
      </c>
      <c r="E19" s="9"/>
      <c r="F19" s="72" t="s">
        <v>537</v>
      </c>
      <c r="G19" s="14" t="s">
        <v>694</v>
      </c>
      <c r="H19" s="73"/>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2"/>
      <c r="G20" s="72"/>
      <c r="H20" s="73"/>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2"/>
      <c r="G21" s="72"/>
      <c r="H21" s="73"/>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2"/>
      <c r="G22" s="72"/>
      <c r="H22" s="73"/>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0"/>
      <c r="E23" s="9"/>
      <c r="F23" s="72"/>
      <c r="G23" s="72"/>
      <c r="H23" s="73"/>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2"/>
      <c r="G24" s="72"/>
      <c r="H24" s="73"/>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2"/>
      <c r="G25" s="72"/>
      <c r="H25" s="73"/>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2"/>
      <c r="G26" s="72"/>
      <c r="H26" s="73"/>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2"/>
      <c r="G27" s="72"/>
      <c r="H27" s="73"/>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2"/>
      <c r="G28" s="72"/>
      <c r="H28" s="73"/>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2"/>
      <c r="G29" s="72"/>
      <c r="H29" s="73"/>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2"/>
      <c r="G30" s="72"/>
      <c r="H30" s="73"/>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2"/>
      <c r="G31" s="72"/>
      <c r="H31" s="73"/>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2"/>
      <c r="G32" s="72"/>
      <c r="H32" s="73"/>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2"/>
      <c r="G33" s="72"/>
      <c r="H33" s="73"/>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2"/>
      <c r="G34" s="72"/>
      <c r="H34" s="73"/>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2"/>
      <c r="G35" s="72"/>
      <c r="H35" s="73"/>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2"/>
      <c r="G36" s="72"/>
      <c r="H36" s="73"/>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2"/>
      <c r="G37" s="72"/>
      <c r="H37" s="73"/>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2"/>
      <c r="G38" s="73"/>
      <c r="H38" s="73"/>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7"/>
      <c r="F39" s="73"/>
      <c r="G39" s="73"/>
      <c r="H39" s="73"/>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3"/>
      <c r="G40" s="73"/>
      <c r="H40" s="73"/>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3"/>
      <c r="G41" s="73"/>
      <c r="H41" s="73"/>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3"/>
      <c r="G42" s="73"/>
      <c r="H42" s="73"/>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3"/>
      <c r="G43" s="73"/>
      <c r="H43" s="73"/>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3"/>
      <c r="G44" s="73"/>
      <c r="H44" s="73"/>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3"/>
      <c r="G45" s="73"/>
      <c r="H45" s="73"/>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3"/>
      <c r="G46" s="73"/>
      <c r="H46" s="73"/>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599</v>
      </c>
    </row>
    <row r="3" spans="2:7" x14ac:dyDescent="0.75">
      <c r="B3" s="33" t="s">
        <v>37</v>
      </c>
    </row>
    <row r="4" spans="2:7" x14ac:dyDescent="0.75">
      <c r="B4" s="74" t="str">
        <f>"Instance: "&amp;'LegalAuth-ConceptMap-1'!C4</f>
        <v>Instance: legalAuth2FHIR-eu-ps</v>
      </c>
    </row>
    <row r="5" spans="2:7" x14ac:dyDescent="0.75">
      <c r="B5" s="74" t="s">
        <v>541</v>
      </c>
    </row>
    <row r="6" spans="2:7" x14ac:dyDescent="0.75">
      <c r="B6" s="74" t="s">
        <v>542</v>
      </c>
    </row>
    <row r="7" spans="2:7" x14ac:dyDescent="0.75">
      <c r="B7" s="74" t="s">
        <v>552</v>
      </c>
    </row>
    <row r="8" spans="2:7" x14ac:dyDescent="0.75">
      <c r="B8" s="74" t="str">
        <f>"* name = ##34#"&amp;'LegalAuth-ConceptMap-1'!C3&amp;"##34#"</f>
        <v>* name = ##34#LegalAuth2Fhir##34#</v>
      </c>
    </row>
    <row r="9" spans="2:7" x14ac:dyDescent="0.75">
      <c r="B9" s="74" t="str">
        <f>"* title = ##34#"&amp;'LegalAuth-ConceptMap-1'!C5&amp;"##34#"</f>
        <v>* title = ##34#eHN Recipient to this guide Map##34#</v>
      </c>
    </row>
    <row r="10" spans="2:7" x14ac:dyDescent="0.75">
      <c r="B10" s="74" t="s">
        <v>543</v>
      </c>
    </row>
    <row r="11" spans="2:7" x14ac:dyDescent="0.75">
      <c r="B11" s="74" t="s">
        <v>544</v>
      </c>
    </row>
    <row r="12" spans="2:7" x14ac:dyDescent="0.75">
      <c r="B12" s="74" t="str">
        <f>"* description = ##34#"&amp;'LegalAuth-ConceptMap-1'!C8&amp;"##34#"</f>
        <v>* description = ##34#eHN Legal Authenticator Model to this guide Map##34#</v>
      </c>
    </row>
    <row r="13" spans="2:7" x14ac:dyDescent="0.75">
      <c r="B13" s="74" t="str">
        <f>"* purpose = ##34#"&amp;'LegalAuth-ConceptMap-1'!C9&amp;"##34#"</f>
        <v>* purpose = ##34#It shows how theLegal Authenticator Recipient data set defined by the EU eHN guidelines is mapped into this guide##34#</v>
      </c>
    </row>
    <row r="14" spans="2:7" x14ac:dyDescent="0.75">
      <c r="B14" s="75" t="str">
        <f>"* sourceUri = ##34#"&amp;'LegalAuth-ConceptMap-1'!E3&amp;"##34#"</f>
        <v>* sourceUri = ##34#http://hl7.eu/fhir/laboratory/StructureDefinition/LegalAuthenticator##34#</v>
      </c>
    </row>
    <row r="15" spans="2:7" x14ac:dyDescent="0.75">
      <c r="B15" s="75" t="str">
        <f>"* targetUri = ##34#"&amp;'LegalAuth-ConceptMap-1'!E4&amp;"##34#"</f>
        <v>* targetUri = ##34#http://hl7.eu/fhir/laboratory/StructureDefinition/Composition-eu-ps##34#</v>
      </c>
    </row>
    <row r="16" spans="2:7" x14ac:dyDescent="0.75">
      <c r="B16" s="74"/>
    </row>
    <row r="17" spans="2:7" x14ac:dyDescent="0.75">
      <c r="B17" s="76" t="str">
        <f>"* group[+].source = ##34#"&amp;'LegalAuth-ConceptMap-1'!E6&amp;"##34#"</f>
        <v>* group[+].source = ##34#http://hl7.eu/fhir/laboratory/StructureDefinition/LegalAuthenticator##34#</v>
      </c>
    </row>
    <row r="18" spans="2:7" x14ac:dyDescent="0.75">
      <c r="B18" s="76" t="str">
        <f>"* group[=].target = ##34#"&amp;'LegalAuth-ConceptMap-1'!E7&amp;"##34#"</f>
        <v>* group[=].target = ##34#http://hl7.eu/fhir/laboratory/StructureDefinition/Composition-eu-ps##34#</v>
      </c>
    </row>
    <row r="19" spans="2:7" x14ac:dyDescent="0.75">
      <c r="B19" s="78"/>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4"/>
    </row>
    <row r="86" spans="2:2" x14ac:dyDescent="0.75">
      <c r="B86" s="76"/>
    </row>
    <row r="87" spans="2:2" x14ac:dyDescent="0.75">
      <c r="B87" s="76"/>
    </row>
    <row r="88" spans="2:2" x14ac:dyDescent="0.75">
      <c r="B88" s="78"/>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931</v>
      </c>
      <c r="I4" s="25" t="str">
        <f>CONCATENATE("Logical: ",B4)</f>
        <v>Logical: ValidatorPsEhn</v>
      </c>
    </row>
    <row r="5" spans="1:11" x14ac:dyDescent="0.75">
      <c r="A5" s="18" t="s">
        <v>19</v>
      </c>
      <c r="B5" s="34" t="s">
        <v>345</v>
      </c>
      <c r="I5" s="25" t="str">
        <f>CONCATENATE("Id: ",B5)</f>
        <v>Id: Validator</v>
      </c>
    </row>
    <row r="6" spans="1:11" x14ac:dyDescent="0.75">
      <c r="A6" s="18" t="s">
        <v>13</v>
      </c>
      <c r="B6" s="19" t="s">
        <v>772</v>
      </c>
      <c r="I6" s="26" t="str">
        <f>CONCATENATE("Title: ##34#",B6,"##34#")</f>
        <v>Title: ##34#A.1.7 - Result validator##34#</v>
      </c>
    </row>
    <row r="7" spans="1:11" x14ac:dyDescent="0.75">
      <c r="A7" s="46" t="s">
        <v>5</v>
      </c>
      <c r="B7" s="55" t="s">
        <v>765</v>
      </c>
      <c r="C7" s="12"/>
      <c r="D7" s="2"/>
      <c r="E7" s="54"/>
      <c r="F7" s="3" t="s">
        <v>9</v>
      </c>
      <c r="G7" s="3" t="s">
        <v>10</v>
      </c>
      <c r="I7" s="26" t="str">
        <f>CONCATENATE("Description: "," ##334#",B7,"##334#",)</f>
        <v>Description:  ##334#Result validator. Section A1.7 of the eHN guideline.##334#</v>
      </c>
    </row>
    <row r="8" spans="1:11" ht="74.5" customHeight="1" x14ac:dyDescent="0.75">
      <c r="A8" s="9">
        <v>1</v>
      </c>
      <c r="B8" s="9" t="s">
        <v>308</v>
      </c>
      <c r="C8" s="9" t="s">
        <v>316</v>
      </c>
      <c r="D8" s="14" t="s">
        <v>455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309</v>
      </c>
      <c r="C9" s="9" t="s">
        <v>456</v>
      </c>
      <c r="D9" s="14" t="s">
        <v>318</v>
      </c>
      <c r="E9" s="9">
        <v>0</v>
      </c>
      <c r="F9" s="9" t="s">
        <v>11</v>
      </c>
      <c r="G9" s="9" t="s">
        <v>344</v>
      </c>
      <c r="H9" s="23"/>
      <c r="I9" s="14" t="str">
        <f t="shared" ref="I9:I14" si="0">CONCATENATE("* ",B9, " ",E9,"..",F9," ",G9," ##34#",C9,"##34# ##334#",D9,"##334#")</f>
        <v>* name 0..* HumanName ##34#A.1.7.2 Result validator name##34# ##334#Person name. - Preferred system(s): ##334#</v>
      </c>
    </row>
    <row r="10" spans="1:11" ht="30.25" customHeight="1" x14ac:dyDescent="0.75">
      <c r="A10" s="9">
        <v>3</v>
      </c>
      <c r="B10" s="9" t="s">
        <v>310</v>
      </c>
      <c r="C10" s="9" t="s">
        <v>460</v>
      </c>
      <c r="D10" s="14" t="s">
        <v>319</v>
      </c>
      <c r="E10" s="9">
        <v>0</v>
      </c>
      <c r="F10" s="9" t="s">
        <v>11</v>
      </c>
      <c r="G10" s="9" t="s">
        <v>311</v>
      </c>
      <c r="H10" s="23"/>
      <c r="I10" s="14" t="str">
        <f t="shared" si="0"/>
        <v>* organization 0..* Organization ##34#A.1.7.3 Result validator organisation##34# ##334#The healthcare provider organisation information. - Preferred system(s): ##334#</v>
      </c>
    </row>
    <row r="11" spans="1:11" ht="45" customHeight="1" x14ac:dyDescent="0.75">
      <c r="A11" s="56">
        <v>4</v>
      </c>
      <c r="B11" s="56" t="s">
        <v>2</v>
      </c>
      <c r="C11" t="s">
        <v>317</v>
      </c>
      <c r="D11" s="57" t="s">
        <v>320</v>
      </c>
      <c r="E11" s="56">
        <v>0</v>
      </c>
      <c r="F11" s="56">
        <v>1</v>
      </c>
      <c r="G11" s="56"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5" t="s">
        <v>104</v>
      </c>
      <c r="D26" s="116"/>
      <c r="E26" s="116"/>
      <c r="F26" s="117"/>
    </row>
    <row r="27" spans="2:9" ht="384.75" thickBot="1" x14ac:dyDescent="0.9">
      <c r="B27" t="str">
        <f t="shared" ref="B27:B30" si="2">CONCATENATE(C27," ",D27)</f>
        <v>A.1.7.1 Result validator identifier</v>
      </c>
      <c r="C27" s="36" t="s">
        <v>105</v>
      </c>
      <c r="D27" s="39" t="s">
        <v>106</v>
      </c>
      <c r="E27" s="37" t="s">
        <v>457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108</v>
      </c>
      <c r="D28" s="39" t="s">
        <v>458</v>
      </c>
      <c r="E28" s="37" t="s">
        <v>79</v>
      </c>
      <c r="F28" s="42"/>
      <c r="I28" s="1" t="str">
        <f t="shared" si="3"/>
        <v xml:space="preserve">Person name. - Preferred system(s): </v>
      </c>
    </row>
    <row r="29" spans="2:9" ht="112.75" thickBot="1" x14ac:dyDescent="0.9">
      <c r="B29" t="str">
        <f t="shared" si="2"/>
        <v xml:space="preserve">A.1.7.3 Result validator organisation </v>
      </c>
      <c r="C29" s="36" t="s">
        <v>110</v>
      </c>
      <c r="D29" s="39" t="s">
        <v>459</v>
      </c>
      <c r="E29" s="37" t="s">
        <v>112</v>
      </c>
      <c r="F29" s="42"/>
      <c r="I29" s="1" t="str">
        <f t="shared" si="3"/>
        <v xml:space="preserve">The healthcare provider organisation information. - Preferred system(s): </v>
      </c>
    </row>
    <row r="30" spans="2:9" ht="96.75" thickBot="1" x14ac:dyDescent="0.9">
      <c r="B30" t="str">
        <f t="shared" si="2"/>
        <v>A.1.7.4 Validation date and time</v>
      </c>
      <c r="C30" s="36" t="s">
        <v>113</v>
      </c>
      <c r="D30" s="39" t="s">
        <v>114</v>
      </c>
      <c r="E30" s="37" t="s">
        <v>115</v>
      </c>
      <c r="F30" s="39" t="s">
        <v>103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314</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315</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340</v>
      </c>
      <c r="E9" s="4" t="str">
        <f>CONCATENATE("* -&gt; ##34#",C9,"##34#")</f>
        <v>* -&gt; ##34#Composition.attester.where(mode=http://hl7.org/fhir/composition-attestation-mode#professional)##34#</v>
      </c>
      <c r="H9" s="10"/>
      <c r="I9" s="10"/>
      <c r="J9" s="10"/>
      <c r="K9" s="10"/>
      <c r="L9" s="10"/>
      <c r="M9" s="10"/>
      <c r="N9" s="10"/>
      <c r="O9" s="10"/>
    </row>
    <row r="10" spans="1:15" x14ac:dyDescent="0.75">
      <c r="A10" s="9"/>
      <c r="B10" s="59" t="str">
        <f>'A1.7 Validator'!$B$8</f>
        <v>identifier</v>
      </c>
      <c r="C10" s="9" t="s">
        <v>796</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9" t="str">
        <f>'A1.7 Validator'!$B$8</f>
        <v>identifier</v>
      </c>
      <c r="C11" s="9" t="s">
        <v>797</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798</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9" t="str">
        <f>'A1.7 Validator'!$B$10</f>
        <v>organization</v>
      </c>
      <c r="C13" s="9" t="s">
        <v>799</v>
      </c>
      <c r="E13" s="14" t="str">
        <f t="shared" si="0"/>
        <v>* organization -&gt; ##34#.party.resolve().ofType(PractitionerRole).organization.resolve()##34#</v>
      </c>
      <c r="G13" s="1" t="s">
        <v>27</v>
      </c>
      <c r="H13" s="10"/>
      <c r="I13" s="10"/>
      <c r="J13" s="10"/>
      <c r="K13" s="10"/>
      <c r="L13" s="10"/>
      <c r="M13" s="10"/>
      <c r="N13" s="10"/>
      <c r="O13" s="10"/>
    </row>
    <row r="14" spans="1:15" x14ac:dyDescent="0.75">
      <c r="A14" s="9"/>
      <c r="B14" s="59" t="str">
        <f>'A1.7 Validator'!$B$10</f>
        <v>organization</v>
      </c>
      <c r="C14" s="9" t="s">
        <v>485</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486</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3" t="s">
        <v>989</v>
      </c>
    </row>
    <row r="3" spans="3:7" x14ac:dyDescent="0.75">
      <c r="C3" s="33" t="str">
        <f>'A1.7 Validator'!I3</f>
        <v>// -------------------------------------------------------------------------------</v>
      </c>
    </row>
    <row r="4" spans="3:7" x14ac:dyDescent="0.75">
      <c r="C4" s="25" t="str">
        <f>'A1.7 Validator'!I4</f>
        <v>Logical: ValidatorPsEhn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273</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616</v>
      </c>
      <c r="D3" s="70" t="s">
        <v>560</v>
      </c>
      <c r="E3" s="137" t="str">
        <f>"http://hl7.eu/fhir/laboratory/StructureDefinition/"&amp;'A1.7 Validator'!B5</f>
        <v>http://hl7.eu/fhir/laboratory/StructureDefinition/Validator</v>
      </c>
      <c r="F3" s="136"/>
      <c r="G3" s="136"/>
    </row>
    <row r="4" spans="1:19" x14ac:dyDescent="0.75">
      <c r="B4" s="70" t="s">
        <v>19</v>
      </c>
      <c r="C4" s="51" t="s">
        <v>1097</v>
      </c>
      <c r="D4" s="70" t="s">
        <v>561</v>
      </c>
      <c r="E4" s="137" t="s">
        <v>1089</v>
      </c>
      <c r="F4" s="136"/>
      <c r="G4" s="136"/>
    </row>
    <row r="5" spans="1:19" x14ac:dyDescent="0.75">
      <c r="B5" s="70" t="s">
        <v>13</v>
      </c>
      <c r="C5" s="10" t="s">
        <v>603</v>
      </c>
      <c r="D5" s="70"/>
      <c r="E5" s="10"/>
    </row>
    <row r="6" spans="1:19" x14ac:dyDescent="0.75">
      <c r="B6" s="70" t="s">
        <v>35</v>
      </c>
      <c r="C6" s="69"/>
      <c r="D6" s="70" t="s">
        <v>558</v>
      </c>
      <c r="E6" s="137" t="str">
        <f>E3</f>
        <v>http://hl7.eu/fhir/laboratory/StructureDefinition/Validator</v>
      </c>
      <c r="F6" s="136"/>
      <c r="G6" s="136"/>
    </row>
    <row r="7" spans="1:19" x14ac:dyDescent="0.75">
      <c r="B7" s="70" t="s">
        <v>18</v>
      </c>
      <c r="C7" s="77"/>
      <c r="D7" s="70" t="s">
        <v>559</v>
      </c>
      <c r="E7" s="137" t="str">
        <f>E4</f>
        <v>http://hl7.eu/fhir/laboratory/StructureDefinition/Composition-eu-ps</v>
      </c>
      <c r="F7" s="136"/>
      <c r="G7" s="136"/>
    </row>
    <row r="8" spans="1:19" ht="44.25" x14ac:dyDescent="0.75">
      <c r="B8" s="70" t="s">
        <v>554</v>
      </c>
      <c r="C8" s="10" t="s">
        <v>604</v>
      </c>
      <c r="D8" s="70"/>
      <c r="E8"/>
      <c r="I8" s="14" t="s">
        <v>526</v>
      </c>
      <c r="J8" s="14" t="s">
        <v>527</v>
      </c>
      <c r="K8" s="14" t="s">
        <v>528</v>
      </c>
      <c r="L8" s="14" t="s">
        <v>529</v>
      </c>
      <c r="M8" s="9" t="s">
        <v>530</v>
      </c>
      <c r="P8" s="66" t="s">
        <v>531</v>
      </c>
      <c r="Q8" s="66">
        <v>6</v>
      </c>
    </row>
    <row r="9" spans="1:19" ht="29.5" x14ac:dyDescent="0.75">
      <c r="B9" s="70" t="s">
        <v>555</v>
      </c>
      <c r="C9" s="1" t="s">
        <v>605</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'A1.7 Validator'!B5</f>
        <v>Validator</v>
      </c>
      <c r="C14" s="9"/>
      <c r="D14" t="s">
        <v>263</v>
      </c>
      <c r="E14" s="8"/>
      <c r="F14" s="9"/>
      <c r="G14" t="s">
        <v>624</v>
      </c>
      <c r="I14" s="14"/>
      <c r="J14" s="9"/>
      <c r="K14" s="9"/>
      <c r="L14" s="9"/>
      <c r="M14" s="68"/>
      <c r="N14" s="71"/>
    </row>
    <row r="15" spans="1:19" ht="73.75" x14ac:dyDescent="0.75">
      <c r="A15" s="23"/>
      <c r="B15" s="9" t="str">
        <f>'A1.7 Validator'!B8</f>
        <v>identifier</v>
      </c>
      <c r="C15" s="9" t="str">
        <f>'A1.7 Validator'!C8</f>
        <v>A.1.7.1 Result validator identifier</v>
      </c>
      <c r="D15" s="14" t="s">
        <v>689</v>
      </c>
      <c r="E15" s="14"/>
      <c r="F15" s="72" t="s">
        <v>537</v>
      </c>
      <c r="G15" t="s">
        <v>695</v>
      </c>
      <c r="H15" s="73"/>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691</v>
      </c>
      <c r="E16" s="14"/>
      <c r="F16" s="72" t="s">
        <v>537</v>
      </c>
      <c r="G16" s="14" t="s">
        <v>804</v>
      </c>
      <c r="H16" s="73"/>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801</v>
      </c>
      <c r="E17" s="14"/>
      <c r="F17" s="72" t="s">
        <v>537</v>
      </c>
      <c r="G17" s="14" t="s">
        <v>805</v>
      </c>
      <c r="H17" s="73"/>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692</v>
      </c>
      <c r="E18" s="14"/>
      <c r="F18" s="72" t="s">
        <v>537</v>
      </c>
      <c r="G18" s="14" t="s">
        <v>806</v>
      </c>
      <c r="H18" s="73"/>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693</v>
      </c>
      <c r="E19" s="9"/>
      <c r="F19" s="72" t="s">
        <v>537</v>
      </c>
      <c r="G19" s="14" t="s">
        <v>696</v>
      </c>
      <c r="H19" s="73"/>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2"/>
      <c r="G20" s="72"/>
      <c r="H20" s="73"/>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606</v>
      </c>
    </row>
    <row r="3" spans="2:7" x14ac:dyDescent="0.75">
      <c r="B3" s="33" t="s">
        <v>37</v>
      </c>
    </row>
    <row r="4" spans="2:7" x14ac:dyDescent="0.75">
      <c r="B4" s="74" t="str">
        <f>"Instance: "&amp;'Validator-ConceptMap-1'!C4</f>
        <v>Instance: validator2FHIR-eu-ps</v>
      </c>
    </row>
    <row r="5" spans="2:7" x14ac:dyDescent="0.75">
      <c r="B5" s="74" t="s">
        <v>541</v>
      </c>
    </row>
    <row r="6" spans="2:7" x14ac:dyDescent="0.75">
      <c r="B6" s="74" t="s">
        <v>542</v>
      </c>
    </row>
    <row r="7" spans="2:7" x14ac:dyDescent="0.75">
      <c r="B7" s="74" t="s">
        <v>552</v>
      </c>
    </row>
    <row r="8" spans="2:7" x14ac:dyDescent="0.75">
      <c r="B8" s="74" t="str">
        <f>"* name = ##34#"&amp;'Validator-ConceptMap-1'!C3&amp;"##34#"</f>
        <v>* name = ##34#Validator2Fhir##34#</v>
      </c>
    </row>
    <row r="9" spans="2:7" x14ac:dyDescent="0.75">
      <c r="B9" s="74" t="str">
        <f>"* title = ##34#"&amp;'Validator-ConceptMap-1'!C5&amp;"##34#"</f>
        <v>* title = ##34#eHN Validator to this guide Map##34#</v>
      </c>
    </row>
    <row r="10" spans="2:7" x14ac:dyDescent="0.75">
      <c r="B10" s="74" t="s">
        <v>543</v>
      </c>
    </row>
    <row r="11" spans="2:7" x14ac:dyDescent="0.75">
      <c r="B11" s="74" t="s">
        <v>544</v>
      </c>
    </row>
    <row r="12" spans="2:7" x14ac:dyDescent="0.75">
      <c r="B12" s="74" t="str">
        <f>"* description = ##34#"&amp;'Validator-ConceptMap-1'!C8&amp;"##34#"</f>
        <v>* description = ##34#eHN Validator Model to this guide Map##34#</v>
      </c>
    </row>
    <row r="13" spans="2:7" x14ac:dyDescent="0.75">
      <c r="B13" s="74" t="str">
        <f>"* purpose = ##34#"&amp;'Validator-ConceptMap-1'!C9&amp;"##34#"</f>
        <v>* purpose = ##34#It shows how the Validator Recipient data set defined by the EU eHN guidelines is mapped into this guide##34#</v>
      </c>
    </row>
    <row r="14" spans="2:7" x14ac:dyDescent="0.75">
      <c r="B14" s="75" t="str">
        <f>"* sourceUri = ##34#"&amp;'Validator-ConceptMap-1'!E3&amp;"##34#"</f>
        <v>* sourceUri = ##34#http://hl7.eu/fhir/laboratory/StructureDefinition/Validator##34#</v>
      </c>
    </row>
    <row r="15" spans="2:7" x14ac:dyDescent="0.75">
      <c r="B15" s="75" t="str">
        <f>"* targetUri = ##34#"&amp;'Validator-ConceptMap-1'!E4&amp;"##34#"</f>
        <v>* targetUri = ##34#http://hl7.eu/fhir/laboratory/StructureDefinition/Composition-eu-ps##34#</v>
      </c>
    </row>
    <row r="16" spans="2:7" x14ac:dyDescent="0.75">
      <c r="B16" s="74"/>
    </row>
    <row r="17" spans="2:7" x14ac:dyDescent="0.75">
      <c r="B17" s="76" t="str">
        <f>"* group[+].source = ##34#"&amp;'Validator-ConceptMap-1'!E6&amp;"##34#"</f>
        <v>* group[+].source = ##34#http://hl7.eu/fhir/laboratory/StructureDefinition/Validator##34#</v>
      </c>
    </row>
    <row r="18" spans="2:7" x14ac:dyDescent="0.75">
      <c r="B18" s="76" t="str">
        <f>"* group[=].target = ##34#"&amp;'Validator-ConceptMap-1'!E7&amp;"##34#"</f>
        <v>* group[=].target = ##34#http://hl7.eu/fhir/laboratory/StructureDefinition/Composition-eu-ps##34#</v>
      </c>
    </row>
    <row r="19" spans="2:7" x14ac:dyDescent="0.75">
      <c r="B19" s="78"/>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4"/>
    </row>
    <row r="86" spans="2:2" x14ac:dyDescent="0.75">
      <c r="B86" s="76"/>
    </row>
    <row r="87" spans="2:2" x14ac:dyDescent="0.75">
      <c r="B87" s="76"/>
    </row>
    <row r="88" spans="2:2" x14ac:dyDescent="0.75">
      <c r="B88" s="78"/>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932</v>
      </c>
      <c r="I4" s="25" t="str">
        <f>CONCATENATE("Logical: ",B4)</f>
        <v>Logical: OrderPsEhn</v>
      </c>
    </row>
    <row r="5" spans="1:11" x14ac:dyDescent="0.75">
      <c r="A5" s="18" t="s">
        <v>19</v>
      </c>
      <c r="B5" s="34" t="s">
        <v>216</v>
      </c>
      <c r="I5" s="25" t="str">
        <f>CONCATENATE("Id: ",B5)</f>
        <v>Id: Order</v>
      </c>
    </row>
    <row r="6" spans="1:11" x14ac:dyDescent="0.75">
      <c r="A6" s="18" t="s">
        <v>13</v>
      </c>
      <c r="B6" s="19" t="s">
        <v>607</v>
      </c>
      <c r="I6" s="26" t="str">
        <f>CONCATENATE("Title: ##34#",B6,"##34#")</f>
        <v>Title: ##34#A2, A3 - Order##34#</v>
      </c>
    </row>
    <row r="7" spans="1:11" x14ac:dyDescent="0.75">
      <c r="A7" s="46" t="s">
        <v>5</v>
      </c>
      <c r="B7" s="19" t="s">
        <v>766</v>
      </c>
      <c r="C7" s="12"/>
      <c r="D7" s="2"/>
      <c r="E7" s="54"/>
      <c r="F7" s="3" t="s">
        <v>9</v>
      </c>
      <c r="G7" s="3" t="s">
        <v>10</v>
      </c>
      <c r="I7" s="26" t="str">
        <f>CONCATENATE("Description: "," ##334#",B7,"##334#",)</f>
        <v>Description:  ##334#Order information and reason. Sections A2 and A3 of the eHN guideline.##334#</v>
      </c>
    </row>
    <row r="8" spans="1:11" ht="44.25" x14ac:dyDescent="0.75">
      <c r="A8" s="9">
        <v>1</v>
      </c>
      <c r="B8" s="9" t="s">
        <v>363</v>
      </c>
      <c r="C8" s="14" t="s">
        <v>358</v>
      </c>
      <c r="D8" s="14" t="s">
        <v>346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364</v>
      </c>
      <c r="C9" s="14" t="s">
        <v>347</v>
      </c>
      <c r="D9" s="61" t="s">
        <v>134</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365</v>
      </c>
      <c r="C10" s="14" t="s">
        <v>348</v>
      </c>
      <c r="D10" s="14" t="s">
        <v>356</v>
      </c>
      <c r="E10" s="9">
        <v>0</v>
      </c>
      <c r="F10" s="9" t="s">
        <v>11</v>
      </c>
      <c r="G10" s="56" t="s">
        <v>2</v>
      </c>
      <c r="H10" s="23"/>
      <c r="I10" s="14" t="str">
        <f t="shared" si="0"/>
        <v>* orderDetails.dateTime 0..* dateTime ##34#A.2.2 Order date and time##34# ##334#Date and time of the order placement. - Preferred system(s): ISO 8601##334#</v>
      </c>
    </row>
    <row r="11" spans="1:11" ht="88.5" x14ac:dyDescent="0.75">
      <c r="A11" s="56">
        <v>4</v>
      </c>
      <c r="B11" s="9" t="s">
        <v>366</v>
      </c>
      <c r="C11" s="1" t="s">
        <v>349</v>
      </c>
      <c r="D11" s="57" t="s">
        <v>461</v>
      </c>
      <c r="E11" s="56">
        <v>0</v>
      </c>
      <c r="F11" s="56"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367</v>
      </c>
      <c r="C12" s="14" t="s">
        <v>350</v>
      </c>
      <c r="D12" s="14" t="s">
        <v>79</v>
      </c>
      <c r="E12" s="56">
        <v>0</v>
      </c>
      <c r="F12" s="56" t="s">
        <v>11</v>
      </c>
      <c r="G12" s="9" t="s">
        <v>344</v>
      </c>
      <c r="H12" s="23"/>
      <c r="I12" s="14" t="str">
        <f t="shared" si="0"/>
        <v>* orderDetails.orderPlacerName 0..* HumanName ##34#A.2.4 Order placer name##34# ##334#Person name.##334#</v>
      </c>
    </row>
    <row r="13" spans="1:11" ht="44.25" x14ac:dyDescent="0.75">
      <c r="A13" s="9">
        <v>6</v>
      </c>
      <c r="B13" s="9" t="s">
        <v>368</v>
      </c>
      <c r="C13" s="49" t="s">
        <v>351</v>
      </c>
      <c r="D13" s="14" t="s">
        <v>145</v>
      </c>
      <c r="E13" s="56">
        <v>0</v>
      </c>
      <c r="F13" s="56"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369</v>
      </c>
      <c r="C14" s="49" t="s">
        <v>463</v>
      </c>
      <c r="D14" s="49" t="s">
        <v>148</v>
      </c>
      <c r="E14" s="56">
        <v>0</v>
      </c>
      <c r="F14" s="56" t="s">
        <v>11</v>
      </c>
      <c r="G14" s="9" t="s">
        <v>311</v>
      </c>
      <c r="H14" s="23"/>
      <c r="I14" s="14" t="str">
        <f t="shared" si="0"/>
        <v>* orderDetails.orderPlacerOrganization 0..* Organization ##34#A.2.6 Order placer organization##34# ##334#Order placer organization information.##334#</v>
      </c>
    </row>
    <row r="15" spans="1:11" ht="29.5" x14ac:dyDescent="0.75">
      <c r="A15" s="9">
        <v>8</v>
      </c>
      <c r="B15" s="9" t="s">
        <v>360</v>
      </c>
      <c r="C15" s="14" t="s">
        <v>357</v>
      </c>
      <c r="D15" s="14" t="s">
        <v>352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361</v>
      </c>
      <c r="C16" s="14" t="s">
        <v>353</v>
      </c>
      <c r="D16" s="14" t="s">
        <v>362</v>
      </c>
      <c r="E16" s="9">
        <v>0</v>
      </c>
      <c r="F16" s="9" t="s">
        <v>11</v>
      </c>
      <c r="G16" s="50"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30" t="s">
        <v>131</v>
      </c>
      <c r="D26" s="131"/>
      <c r="E26" s="131"/>
      <c r="F26" s="132"/>
    </row>
    <row r="27" spans="2:9" ht="64.75" thickBot="1" x14ac:dyDescent="0.9">
      <c r="B27" t="str">
        <f t="shared" si="1"/>
        <v>A.2.1 Order Id</v>
      </c>
      <c r="C27" s="36" t="s">
        <v>132</v>
      </c>
      <c r="D27" s="39" t="s">
        <v>133</v>
      </c>
      <c r="E27" s="37" t="s">
        <v>134</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135</v>
      </c>
      <c r="D28" s="39" t="s">
        <v>136</v>
      </c>
      <c r="E28" s="37" t="s">
        <v>137</v>
      </c>
      <c r="F28" s="39" t="s">
        <v>103</v>
      </c>
      <c r="I28" s="1" t="str">
        <f t="shared" si="2"/>
        <v>Date and time of the order placement. - Preferred system(s): ISO 8601</v>
      </c>
    </row>
    <row r="29" spans="2:9" ht="224.75" thickBot="1" x14ac:dyDescent="0.9">
      <c r="B29" t="str">
        <f t="shared" si="1"/>
        <v>A.2.3 Order placer identifier</v>
      </c>
      <c r="C29" s="36" t="s">
        <v>138</v>
      </c>
      <c r="D29" s="39" t="s">
        <v>139</v>
      </c>
      <c r="E29" s="37" t="s">
        <v>461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141</v>
      </c>
      <c r="D30" s="39" t="s">
        <v>142</v>
      </c>
      <c r="E30" s="37" t="s">
        <v>79</v>
      </c>
      <c r="F30" s="42"/>
      <c r="I30" s="1" t="str">
        <f t="shared" si="2"/>
        <v xml:space="preserve">Person name. - Preferred system(s): </v>
      </c>
    </row>
    <row r="31" spans="2:9" ht="32.75" thickBot="1" x14ac:dyDescent="0.9">
      <c r="B31" t="str">
        <f t="shared" si="1"/>
        <v>A.2.5 Order placer contact details</v>
      </c>
      <c r="C31" s="36" t="s">
        <v>143</v>
      </c>
      <c r="D31" s="39" t="s">
        <v>144</v>
      </c>
      <c r="E31" s="37" t="s">
        <v>145</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146</v>
      </c>
      <c r="D32" s="39" t="s">
        <v>462</v>
      </c>
      <c r="E32" s="37" t="s">
        <v>148</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33" t="s">
        <v>149</v>
      </c>
      <c r="D33" s="134"/>
      <c r="E33" s="134"/>
      <c r="F33" s="135"/>
    </row>
    <row r="34" spans="2:9" ht="80" x14ac:dyDescent="0.75">
      <c r="B34" t="str">
        <f t="shared" si="1"/>
        <v>A.3.1 Problem / diagnosis / condition description</v>
      </c>
      <c r="C34" s="124" t="s">
        <v>150</v>
      </c>
      <c r="D34" s="124" t="s">
        <v>151</v>
      </c>
      <c r="E34" s="124" t="s">
        <v>152</v>
      </c>
      <c r="F34" s="43" t="s">
        <v>153</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25"/>
      <c r="D35" s="125"/>
      <c r="E35" s="125"/>
      <c r="F35" s="43" t="s">
        <v>154</v>
      </c>
      <c r="I35" s="1" t="str">
        <f t="shared" si="2"/>
        <v xml:space="preserve"> - Preferred system(s): SNOMED CT</v>
      </c>
    </row>
    <row r="36" spans="2:9" ht="32.75" thickBot="1" x14ac:dyDescent="0.9">
      <c r="C36" s="126"/>
      <c r="D36" s="126"/>
      <c r="E36" s="126"/>
      <c r="F36" s="39" t="s">
        <v>155</v>
      </c>
      <c r="I36" s="1" t="str">
        <f t="shared" si="2"/>
        <v xml:space="preserve"> - Preferred system(s): Orphacode</v>
      </c>
    </row>
    <row r="39" spans="2:9" ht="59" x14ac:dyDescent="0.75">
      <c r="D39" s="1" t="s">
        <v>359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355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287</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287</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489</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490</v>
      </c>
      <c r="E12" s="14" t="str">
        <f t="shared" si="0"/>
        <v>* orderDetails.dateTime -&gt; ##34#ServiceRequest.authoredOn##34#</v>
      </c>
      <c r="H12" s="10"/>
      <c r="I12" s="10"/>
      <c r="J12" s="10"/>
      <c r="K12" s="10"/>
      <c r="L12" s="10"/>
      <c r="M12" s="10"/>
      <c r="N12" s="10"/>
      <c r="O12" s="10"/>
    </row>
    <row r="13" spans="1:15" ht="29.5" x14ac:dyDescent="0.75">
      <c r="A13" s="9"/>
      <c r="B13" s="59" t="str">
        <f>'A2 Order'!$B$11</f>
        <v>orderDetails.orderPlacerIdentifier</v>
      </c>
      <c r="C13" s="9" t="s">
        <v>807</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9" t="str">
        <f>'A2 Order'!$B$11</f>
        <v>orderDetails.orderPlacerIdentifier</v>
      </c>
      <c r="C14" s="9" t="s">
        <v>808</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809</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9" t="str">
        <f>'A2 Order'!$B$13</f>
        <v>orderDetails.orderPlacerContacts</v>
      </c>
      <c r="C16" s="9" t="s">
        <v>810</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9" t="str">
        <f>'A2 Order'!$B$13</f>
        <v>orderDetails.orderPlacerContacts</v>
      </c>
      <c r="C17" s="9" t="s">
        <v>811</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2" t="str">
        <f>'A2 Order'!$B$14</f>
        <v>orderDetails.orderPlacerOrganization</v>
      </c>
      <c r="C18" s="9" t="s">
        <v>812</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2" t="str">
        <f>'A2 Order'!$B$14</f>
        <v>orderDetails.orderPlacerOrganization</v>
      </c>
      <c r="C19" s="9" t="s">
        <v>491</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492</v>
      </c>
      <c r="E20" s="14" t="str">
        <f t="shared" si="0"/>
        <v>* reason -&gt; ##34#ServiceRequest.reasonCode##34#</v>
      </c>
    </row>
    <row r="21" spans="1:15" x14ac:dyDescent="0.75">
      <c r="A21" s="9"/>
      <c r="B21" s="9" t="str">
        <f>'A2 Order'!B16</f>
        <v>reason.code</v>
      </c>
      <c r="C21" s="9" t="s">
        <v>492</v>
      </c>
      <c r="E21" s="14" t="str">
        <f t="shared" si="0"/>
        <v>* reason.code -&gt; ##34#ServiceRequest.reasonCode##34#</v>
      </c>
    </row>
    <row r="22" spans="1:15" x14ac:dyDescent="0.75">
      <c r="A22" s="9"/>
      <c r="B22" s="9">
        <f>'A2 Order'!B17</f>
        <v>0</v>
      </c>
      <c r="C22" s="50" t="s">
        <v>302</v>
      </c>
      <c r="E22" s="14" t="str">
        <f t="shared" si="0"/>
        <v>*  -&gt; ##34###34#</v>
      </c>
    </row>
    <row r="23" spans="1:15" x14ac:dyDescent="0.75">
      <c r="A23" s="9"/>
      <c r="B23" s="9">
        <f>'A2 Order'!B18</f>
        <v>0</v>
      </c>
      <c r="C23" s="9" t="s">
        <v>302</v>
      </c>
      <c r="E23" s="14" t="str">
        <f t="shared" si="0"/>
        <v>*  -&gt; ##34###34#</v>
      </c>
    </row>
    <row r="24" spans="1:15" x14ac:dyDescent="0.75">
      <c r="B24" s="9"/>
      <c r="C24" s="9" t="s">
        <v>302</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3" t="s">
        <v>990</v>
      </c>
    </row>
    <row r="3" spans="3:7" x14ac:dyDescent="0.75">
      <c r="C3" s="33" t="str">
        <f>'A2 Order'!I3</f>
        <v>// -------------------------------------------------------------------------------</v>
      </c>
    </row>
    <row r="4" spans="3:7" x14ac:dyDescent="0.75">
      <c r="C4" s="25" t="str">
        <f>'A2 Order'!I4</f>
        <v>Logical: OrderPsEhn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273</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613</v>
      </c>
      <c r="D3" s="70" t="s">
        <v>560</v>
      </c>
      <c r="E3" t="str">
        <f>"http://hl7.eu/fhir/laboratory/StructureDefinition/"&amp;'A2 Order'!B5</f>
        <v>http://hl7.eu/fhir/laboratory/StructureDefinition/Order</v>
      </c>
    </row>
    <row r="4" spans="1:19" x14ac:dyDescent="0.75">
      <c r="B4" s="70" t="s">
        <v>19</v>
      </c>
      <c r="C4" s="51" t="s">
        <v>1098</v>
      </c>
      <c r="D4" s="70" t="s">
        <v>561</v>
      </c>
      <c r="E4" s="136" t="s">
        <v>1092</v>
      </c>
      <c r="F4" s="136"/>
      <c r="G4" s="136"/>
    </row>
    <row r="5" spans="1:19" x14ac:dyDescent="0.75">
      <c r="B5" s="70" t="s">
        <v>13</v>
      </c>
      <c r="C5" s="10" t="s">
        <v>614</v>
      </c>
      <c r="D5" s="70"/>
      <c r="E5" s="10"/>
    </row>
    <row r="6" spans="1:19" x14ac:dyDescent="0.75">
      <c r="B6" s="70" t="s">
        <v>35</v>
      </c>
      <c r="C6" s="69" t="s">
        <v>553</v>
      </c>
      <c r="D6" s="70" t="s">
        <v>558</v>
      </c>
      <c r="E6" s="136" t="str">
        <f>E3</f>
        <v>http://hl7.eu/fhir/laboratory/StructureDefinition/Order</v>
      </c>
      <c r="F6" s="136"/>
      <c r="G6" s="136"/>
    </row>
    <row r="7" spans="1:19" x14ac:dyDescent="0.75">
      <c r="B7" s="70" t="s">
        <v>18</v>
      </c>
      <c r="C7" s="77" t="s">
        <v>556</v>
      </c>
      <c r="D7" s="70" t="s">
        <v>559</v>
      </c>
      <c r="E7" s="136" t="s">
        <v>1092</v>
      </c>
      <c r="F7" s="136"/>
      <c r="G7" s="136"/>
    </row>
    <row r="8" spans="1:19" ht="44.25" x14ac:dyDescent="0.75">
      <c r="B8" s="70" t="s">
        <v>554</v>
      </c>
      <c r="C8" s="10" t="s">
        <v>614</v>
      </c>
      <c r="D8" s="70"/>
      <c r="E8" s="10"/>
      <c r="I8" s="14" t="s">
        <v>526</v>
      </c>
      <c r="J8" s="14" t="s">
        <v>527</v>
      </c>
      <c r="K8" s="14" t="s">
        <v>528</v>
      </c>
      <c r="L8" s="14" t="s">
        <v>529</v>
      </c>
      <c r="M8" s="9" t="s">
        <v>530</v>
      </c>
      <c r="P8" s="66" t="s">
        <v>531</v>
      </c>
      <c r="Q8" s="66">
        <v>6</v>
      </c>
    </row>
    <row r="9" spans="1:19" ht="29.5" x14ac:dyDescent="0.75">
      <c r="B9" s="70" t="s">
        <v>555</v>
      </c>
      <c r="C9" s="1" t="s">
        <v>615</v>
      </c>
      <c r="D9" s="70"/>
      <c r="E9"/>
      <c r="I9" s="14"/>
      <c r="J9" s="9"/>
      <c r="K9" s="9"/>
      <c r="L9" s="9"/>
      <c r="M9" s="9"/>
    </row>
    <row r="10" spans="1:19" x14ac:dyDescent="0.75">
      <c r="B10" s="70"/>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'A2 Order'!B5</f>
        <v>Order</v>
      </c>
      <c r="C14" s="9"/>
      <c r="D14" s="4" t="s">
        <v>617</v>
      </c>
      <c r="E14" s="8"/>
      <c r="F14" s="9"/>
      <c r="G14" s="9"/>
      <c r="I14" s="14"/>
      <c r="J14" s="9"/>
      <c r="K14" s="9"/>
      <c r="L14" s="9"/>
      <c r="M14" s="68"/>
      <c r="N14" s="71"/>
    </row>
    <row r="15" spans="1:19" ht="44.25" x14ac:dyDescent="0.75">
      <c r="A15" s="23"/>
      <c r="B15" s="9" t="str">
        <f>'A2 Order'!B8</f>
        <v>orderDetails</v>
      </c>
      <c r="C15" s="9" t="str">
        <f>'A2 Order'!C8</f>
        <v>A.2 Order information</v>
      </c>
      <c r="D15" s="14"/>
      <c r="E15" s="59"/>
      <c r="F15" s="72" t="s">
        <v>538</v>
      </c>
      <c r="G15" s="72"/>
      <c r="H15" s="73"/>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308</v>
      </c>
      <c r="E16" s="9"/>
      <c r="F16" s="72" t="s">
        <v>538</v>
      </c>
      <c r="G16" s="72"/>
      <c r="H16" s="73"/>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618</v>
      </c>
      <c r="E17" s="9"/>
      <c r="F17" s="72" t="s">
        <v>538</v>
      </c>
      <c r="G17" s="72" t="s">
        <v>619</v>
      </c>
      <c r="H17" s="73"/>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620</v>
      </c>
      <c r="E18" s="9"/>
      <c r="F18" s="72" t="s">
        <v>537</v>
      </c>
      <c r="G18" s="72"/>
      <c r="H18" s="73"/>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697</v>
      </c>
      <c r="E19" s="9"/>
      <c r="F19" s="72" t="s">
        <v>538</v>
      </c>
      <c r="G19" s="72" t="s">
        <v>619</v>
      </c>
      <c r="H19" s="73"/>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698</v>
      </c>
      <c r="E20" s="9"/>
      <c r="F20" s="72" t="s">
        <v>538</v>
      </c>
      <c r="G20" s="14" t="s">
        <v>813</v>
      </c>
      <c r="H20" s="73"/>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814</v>
      </c>
      <c r="E21" s="9"/>
      <c r="F21" s="72" t="s">
        <v>538</v>
      </c>
      <c r="G21" s="14" t="s">
        <v>815</v>
      </c>
      <c r="H21" s="73"/>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699</v>
      </c>
      <c r="E22" s="9"/>
      <c r="F22" s="72" t="s">
        <v>538</v>
      </c>
      <c r="G22" s="14" t="s">
        <v>816</v>
      </c>
      <c r="H22" s="73"/>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700</v>
      </c>
      <c r="E23" s="9"/>
      <c r="F23" s="72" t="s">
        <v>538</v>
      </c>
      <c r="G23" s="14" t="s">
        <v>817</v>
      </c>
      <c r="H23" s="73"/>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699</v>
      </c>
      <c r="E24" s="9"/>
      <c r="F24" s="72" t="s">
        <v>538</v>
      </c>
      <c r="G24" s="14" t="s">
        <v>818</v>
      </c>
      <c r="H24" s="73"/>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701</v>
      </c>
      <c r="E25" s="9"/>
      <c r="F25" s="72" t="s">
        <v>537</v>
      </c>
      <c r="G25" s="14" t="s">
        <v>819</v>
      </c>
      <c r="H25" s="73"/>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621</v>
      </c>
      <c r="E26" s="9"/>
      <c r="F26" s="72" t="s">
        <v>538</v>
      </c>
      <c r="G26" s="72"/>
      <c r="H26" s="73"/>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622</v>
      </c>
      <c r="E27" s="9"/>
      <c r="F27" s="72" t="s">
        <v>538</v>
      </c>
      <c r="G27" s="72"/>
      <c r="H27" s="73"/>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621</v>
      </c>
      <c r="E28" s="14"/>
      <c r="F28" s="72" t="s">
        <v>537</v>
      </c>
      <c r="G28" s="72"/>
      <c r="H28" s="73"/>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2"/>
      <c r="G29" s="72"/>
      <c r="H29" s="73"/>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2"/>
      <c r="G30" s="72"/>
      <c r="H30" s="73"/>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2"/>
      <c r="G31" s="72"/>
      <c r="H31" s="73"/>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2"/>
      <c r="G32" s="72"/>
      <c r="H32" s="73"/>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2"/>
      <c r="G33" s="72"/>
      <c r="H33" s="73"/>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2"/>
      <c r="G34" s="72"/>
      <c r="H34" s="73"/>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2"/>
      <c r="G35" s="72"/>
      <c r="H35" s="73"/>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2"/>
      <c r="G36" s="72"/>
      <c r="H36" s="73"/>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2"/>
      <c r="G37" s="72"/>
      <c r="H37" s="73"/>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2"/>
      <c r="G38" s="72"/>
      <c r="H38" s="73"/>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2"/>
      <c r="G39" s="72"/>
      <c r="H39" s="73"/>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2"/>
      <c r="G40" s="72"/>
      <c r="H40" s="73"/>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2"/>
      <c r="G41" s="72"/>
      <c r="H41" s="73"/>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2"/>
      <c r="G42" s="73"/>
      <c r="H42" s="73"/>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7"/>
      <c r="F43" s="73"/>
      <c r="G43" s="73"/>
      <c r="H43" s="73"/>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3"/>
      <c r="G44" s="73"/>
      <c r="H44" s="73"/>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3"/>
      <c r="G45" s="73"/>
      <c r="H45" s="73"/>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3"/>
      <c r="G46" s="73"/>
      <c r="H46" s="73"/>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3"/>
      <c r="G47" s="73"/>
      <c r="H47" s="73"/>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3"/>
      <c r="G48" s="73"/>
      <c r="H48" s="73"/>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3"/>
      <c r="G49" s="73"/>
      <c r="H49" s="73"/>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3"/>
      <c r="G50" s="73"/>
      <c r="H50" s="73"/>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3"/>
      <c r="G51" s="73"/>
      <c r="H51" s="73"/>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3"/>
      <c r="G52" s="73"/>
      <c r="H52" s="73"/>
      <c r="J52" s="73"/>
      <c r="K52" s="73"/>
      <c r="L52" s="73"/>
      <c r="M52" s="73"/>
      <c r="N52" s="73"/>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3"/>
      <c r="G53" s="73"/>
      <c r="H53" s="73"/>
      <c r="J53" s="73"/>
      <c r="K53" s="73"/>
      <c r="L53" s="73"/>
      <c r="M53" s="73"/>
      <c r="N53" s="73"/>
      <c r="P53" s="9">
        <v>39</v>
      </c>
      <c r="Q53" s="9">
        <f t="shared" si="10"/>
        <v>6</v>
      </c>
      <c r="R53" s="9">
        <f t="shared" si="11"/>
        <v>3</v>
      </c>
      <c r="S53" s="14" t="str" cm="1">
        <f t="array" ref="S53">INDEX('Order-ConceptMap-1'!$I$15:$N$178,Q53+1,R53)</f>
        <v>* group[=].element[=].target.code = #ServiceRequest.requester.Practitioner.name</v>
      </c>
    </row>
    <row r="54" spans="1:19" x14ac:dyDescent="0.75">
      <c r="F54" s="73"/>
      <c r="G54" s="73"/>
      <c r="H54" s="73"/>
      <c r="J54" s="73"/>
      <c r="K54" s="73"/>
      <c r="L54" s="73"/>
      <c r="M54" s="73"/>
      <c r="N54" s="73"/>
      <c r="P54" s="9">
        <v>40</v>
      </c>
      <c r="Q54" s="9">
        <f t="shared" si="10"/>
        <v>6</v>
      </c>
      <c r="R54" s="9">
        <f t="shared" si="11"/>
        <v>4</v>
      </c>
      <c r="S54" s="14" t="str" cm="1">
        <f t="array" ref="S54">INDEX('Order-ConceptMap-1'!$I$15:$N$178,Q54+1,R54)</f>
        <v>* group[=].element[=].target.display = ##34###34#</v>
      </c>
    </row>
    <row r="55" spans="1:19" x14ac:dyDescent="0.75">
      <c r="F55" s="73"/>
      <c r="G55" s="73"/>
      <c r="H55" s="73"/>
      <c r="J55" s="73"/>
      <c r="K55" s="73"/>
      <c r="L55" s="73"/>
      <c r="M55" s="73"/>
      <c r="N55" s="73"/>
      <c r="P55" s="9">
        <v>41</v>
      </c>
      <c r="Q55" s="9">
        <f t="shared" si="10"/>
        <v>6</v>
      </c>
      <c r="R55" s="9">
        <f t="shared" si="11"/>
        <v>5</v>
      </c>
      <c r="S55" s="14" t="str" cm="1">
        <f t="array" ref="S55">INDEX('Order-ConceptMap-1'!$I$15:$N$178,Q55+1,R55)</f>
        <v>* group[=].element[=].target.equivalence = #relatedto</v>
      </c>
    </row>
    <row r="56" spans="1:19" ht="29.5" x14ac:dyDescent="0.75">
      <c r="F56" s="73"/>
      <c r="G56" s="73"/>
      <c r="H56" s="73"/>
      <c r="J56" s="73"/>
      <c r="K56" s="73"/>
      <c r="L56" s="73"/>
      <c r="M56" s="73"/>
      <c r="N56" s="73"/>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3"/>
      <c r="G57" s="73"/>
      <c r="H57" s="73"/>
      <c r="J57" s="73"/>
      <c r="K57" s="73"/>
      <c r="L57" s="73"/>
      <c r="M57" s="73"/>
      <c r="N57" s="73"/>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608</v>
      </c>
    </row>
    <row r="3" spans="2:7" x14ac:dyDescent="0.75">
      <c r="B3" s="33" t="s">
        <v>37</v>
      </c>
    </row>
    <row r="4" spans="2:7" x14ac:dyDescent="0.75">
      <c r="B4" s="74" t="str">
        <f>"Instance: "&amp;'Order-ConceptMap-1'!C4</f>
        <v>Instance: order2FHIR-eu-ps</v>
      </c>
    </row>
    <row r="5" spans="2:7" x14ac:dyDescent="0.75">
      <c r="B5" s="74" t="s">
        <v>541</v>
      </c>
    </row>
    <row r="6" spans="2:7" x14ac:dyDescent="0.75">
      <c r="B6" s="74" t="s">
        <v>542</v>
      </c>
    </row>
    <row r="7" spans="2:7" x14ac:dyDescent="0.75">
      <c r="B7" s="74" t="s">
        <v>552</v>
      </c>
    </row>
    <row r="8" spans="2:7" x14ac:dyDescent="0.75">
      <c r="B8" s="74" t="str">
        <f>"* name = ##34#"&amp;'Order-ConceptMap-1'!C3&amp;"##34#"</f>
        <v>* name = ##34#Order2Fhir##34#</v>
      </c>
    </row>
    <row r="9" spans="2:7" x14ac:dyDescent="0.75">
      <c r="B9" s="74" t="str">
        <f>"* title = ##34#"&amp;'Order-ConceptMap-1'!C5&amp;"##34#"</f>
        <v>* title = ##34#eHN Order to this guide Map##34#</v>
      </c>
    </row>
    <row r="10" spans="2:7" x14ac:dyDescent="0.75">
      <c r="B10" s="74" t="s">
        <v>543</v>
      </c>
    </row>
    <row r="11" spans="2:7" x14ac:dyDescent="0.75">
      <c r="B11" s="74" t="s">
        <v>544</v>
      </c>
    </row>
    <row r="12" spans="2:7" x14ac:dyDescent="0.75">
      <c r="B12" s="74" t="str">
        <f>"* description = ##34#"&amp;'Order-ConceptMap-1'!C8&amp;"##34#"</f>
        <v>* description = ##34#eHN Order to this guide Map##34#</v>
      </c>
    </row>
    <row r="13" spans="2:7" x14ac:dyDescent="0.75">
      <c r="B13" s="74" t="str">
        <f>"* purpose = ##34#"&amp;'Order-ConceptMap-1'!C9&amp;"##34#"</f>
        <v>* purpose = ##34#It shows how the Order data set defined by the EU eHN guidelines is mapped into this guide##34#</v>
      </c>
    </row>
    <row r="14" spans="2:7" x14ac:dyDescent="0.75">
      <c r="B14" s="75" t="str">
        <f>"* sourceUri = ##34#"&amp;'Order-ConceptMap-1'!E3&amp;"##34#"</f>
        <v>* sourceUri = ##34#http://hl7.eu/fhir/laboratory/StructureDefinition/Order##34#</v>
      </c>
    </row>
    <row r="15" spans="2:7" x14ac:dyDescent="0.75">
      <c r="B15" s="75" t="str">
        <f>"* targetUri = ##34#"&amp;'Order-ConceptMap-1'!E4&amp;"##34#"</f>
        <v>* targetUri = ##34#http://hl7.eu/fhir/laboratory/StructureDefinition/ServiceRequest-eu-ps##34#</v>
      </c>
    </row>
    <row r="16" spans="2:7" x14ac:dyDescent="0.75">
      <c r="B16" s="74"/>
    </row>
    <row r="17" spans="2:7" x14ac:dyDescent="0.75">
      <c r="B17" s="76" t="str">
        <f>"* group[+].source = ##34#"&amp;'Order-ConceptMap-1'!E6&amp;"##34#"</f>
        <v>* group[+].source = ##34#http://hl7.eu/fhir/laboratory/StructureDefinition/Order##34#</v>
      </c>
    </row>
    <row r="18" spans="2:7" x14ac:dyDescent="0.75">
      <c r="B18" s="76" t="str">
        <f>"* group[=].target = ##34#"&amp;'Order-ConceptMap-1'!E7&amp;"##34#"</f>
        <v>* group[=].target = ##34#http://hl7.eu/fhir/laboratory/StructureDefinition/ServiceRequest-eu-ps##34#</v>
      </c>
    </row>
    <row r="19" spans="2:7" x14ac:dyDescent="0.75">
      <c r="B19" s="78"/>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3"/>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933</v>
      </c>
      <c r="I4" s="25" t="str">
        <f>CONCATENATE("Logical: ",B4)</f>
        <v>Logical: SpecimenPsEhn</v>
      </c>
    </row>
    <row r="5" spans="1:11" x14ac:dyDescent="0.75">
      <c r="A5" s="18" t="s">
        <v>19</v>
      </c>
      <c r="B5" s="34" t="s">
        <v>471</v>
      </c>
      <c r="I5" s="25" t="str">
        <f>CONCATENATE("Id: ",B5)</f>
        <v>Id: SpecimenLab</v>
      </c>
    </row>
    <row r="6" spans="1:11" x14ac:dyDescent="0.75">
      <c r="A6" s="18" t="s">
        <v>13</v>
      </c>
      <c r="B6" s="19" t="s">
        <v>714</v>
      </c>
      <c r="I6" s="26" t="str">
        <f>CONCATENATE("Title: ##34#",B6,"##34#")</f>
        <v>Title: ##34#A.4 - Specimen information##34#</v>
      </c>
    </row>
    <row r="7" spans="1:11" x14ac:dyDescent="0.75">
      <c r="A7" s="46" t="s">
        <v>5</v>
      </c>
      <c r="B7" s="19" t="s">
        <v>767</v>
      </c>
      <c r="C7" s="12"/>
      <c r="D7" s="2"/>
      <c r="E7" s="54"/>
      <c r="F7" s="3" t="s">
        <v>9</v>
      </c>
      <c r="G7" s="3" t="s">
        <v>10</v>
      </c>
      <c r="I7" s="26" t="str">
        <f>CONCATENATE("Description: "," ##334#",B7,"##334#",)</f>
        <v>Description:  ##334#Specimen information. Section A4 of the eHN guideline.##334#</v>
      </c>
    </row>
    <row r="8" spans="1:11" ht="59" x14ac:dyDescent="0.75">
      <c r="A8" s="9">
        <v>1</v>
      </c>
      <c r="B8" s="9" t="s">
        <v>308</v>
      </c>
      <c r="C8" s="14" t="s">
        <v>370</v>
      </c>
      <c r="D8" s="14" t="s">
        <v>382</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391</v>
      </c>
      <c r="C9" s="14" t="s">
        <v>371</v>
      </c>
      <c r="D9" s="37" t="s">
        <v>383</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392</v>
      </c>
      <c r="C10" s="1" t="s">
        <v>372</v>
      </c>
      <c r="D10" s="14" t="s">
        <v>384</v>
      </c>
      <c r="E10" s="9">
        <v>0</v>
      </c>
      <c r="F10" s="9" t="s">
        <v>11</v>
      </c>
      <c r="G10" s="9" t="s">
        <v>1</v>
      </c>
      <c r="H10" s="23"/>
      <c r="I10" s="14" t="str">
        <f t="shared" si="0"/>
        <v>* material 0..* CodeableConcept ##34#A.4.3 Material##34# ##334#Specimen material. - Preferred system(s): SNOMED CT##334#</v>
      </c>
    </row>
    <row r="11" spans="1:11" ht="29.5" x14ac:dyDescent="0.75">
      <c r="A11" s="56">
        <v>4</v>
      </c>
      <c r="B11" s="9" t="s">
        <v>633</v>
      </c>
      <c r="C11" s="14" t="s">
        <v>373</v>
      </c>
      <c r="D11" s="57" t="s">
        <v>385</v>
      </c>
      <c r="E11" s="56">
        <v>0</v>
      </c>
      <c r="F11" s="56" t="s">
        <v>11</v>
      </c>
      <c r="G11" s="9" t="s">
        <v>2</v>
      </c>
      <c r="H11" s="23"/>
      <c r="I11" s="14" t="str">
        <f t="shared" si="0"/>
        <v>* collected 0..* dateTime ##34#A.4.4 Collection period##34# ##334#Collection date time or period. - Preferred system(s): ISO 8601##334#</v>
      </c>
    </row>
    <row r="12" spans="1:11" ht="44.25" x14ac:dyDescent="0.75">
      <c r="A12" s="9">
        <v>5</v>
      </c>
      <c r="B12" s="9" t="s">
        <v>393</v>
      </c>
      <c r="C12" s="49" t="s">
        <v>374</v>
      </c>
      <c r="D12" s="14" t="s">
        <v>386</v>
      </c>
      <c r="E12" s="56">
        <v>0</v>
      </c>
      <c r="F12" s="56"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395</v>
      </c>
      <c r="C13" s="49" t="s">
        <v>375</v>
      </c>
      <c r="D13" s="14" t="s">
        <v>387</v>
      </c>
      <c r="E13" s="56">
        <v>0</v>
      </c>
      <c r="F13" s="56"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394</v>
      </c>
      <c r="C14" s="14" t="s">
        <v>376</v>
      </c>
      <c r="D14" s="49" t="s">
        <v>390</v>
      </c>
      <c r="E14" s="56">
        <v>0</v>
      </c>
      <c r="F14" s="56"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396</v>
      </c>
      <c r="C15" t="s">
        <v>377</v>
      </c>
      <c r="D15" s="1" t="s">
        <v>388</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397</v>
      </c>
      <c r="C16" t="s">
        <v>378</v>
      </c>
      <c r="D16" s="1" t="s">
        <v>389</v>
      </c>
      <c r="E16" s="9">
        <v>0</v>
      </c>
      <c r="F16" s="9" t="s">
        <v>11</v>
      </c>
      <c r="G16" s="50"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33" t="s">
        <v>156</v>
      </c>
      <c r="D26" s="134"/>
      <c r="E26" s="134"/>
      <c r="F26" s="135"/>
    </row>
    <row r="27" spans="2:9" ht="112.75" thickBot="1" x14ac:dyDescent="0.9">
      <c r="B27" t="str">
        <f t="shared" si="1"/>
        <v>A.4.1 Specimen identifier</v>
      </c>
      <c r="C27" s="36" t="s">
        <v>157</v>
      </c>
      <c r="D27" s="39" t="s">
        <v>158</v>
      </c>
      <c r="E27" s="37" t="s">
        <v>379</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160</v>
      </c>
      <c r="D28" s="39" t="s">
        <v>161</v>
      </c>
      <c r="E28" s="37" t="s">
        <v>162</v>
      </c>
      <c r="F28" s="39" t="s">
        <v>154</v>
      </c>
      <c r="I28" s="1" t="str">
        <f t="shared" si="2"/>
        <v>Biologic type of species for laboratory result reports bound to non-human subjects. - Preferred system(s): SNOMED CT</v>
      </c>
    </row>
    <row r="29" spans="2:9" ht="32.75" thickBot="1" x14ac:dyDescent="0.9">
      <c r="B29" t="str">
        <f t="shared" si="1"/>
        <v>A.4.3 Material</v>
      </c>
      <c r="C29" s="36" t="s">
        <v>163</v>
      </c>
      <c r="D29" s="39" t="s">
        <v>164</v>
      </c>
      <c r="E29" s="37" t="s">
        <v>165</v>
      </c>
      <c r="F29" s="39" t="s">
        <v>154</v>
      </c>
      <c r="I29" s="1" t="str">
        <f t="shared" si="2"/>
        <v>Specimen material. - Preferred system(s): SNOMED CT</v>
      </c>
    </row>
    <row r="30" spans="2:9" ht="16.75" thickBot="1" x14ac:dyDescent="0.9">
      <c r="B30" t="str">
        <f t="shared" si="1"/>
        <v>A.4.4 Collection period</v>
      </c>
      <c r="C30" s="36" t="s">
        <v>166</v>
      </c>
      <c r="D30" s="39" t="s">
        <v>167</v>
      </c>
      <c r="E30" s="37" t="s">
        <v>168</v>
      </c>
      <c r="F30" s="39" t="s">
        <v>103</v>
      </c>
      <c r="I30" s="1" t="str">
        <f t="shared" si="2"/>
        <v>Collection date time or period. - Preferred system(s): ISO 8601</v>
      </c>
    </row>
    <row r="31" spans="2:9" ht="64.75" thickBot="1" x14ac:dyDescent="0.9">
      <c r="B31" t="str">
        <f t="shared" si="1"/>
        <v>A.4.5 Anatomic location</v>
      </c>
      <c r="C31" s="36" t="s">
        <v>169</v>
      </c>
      <c r="D31" s="39" t="s">
        <v>170</v>
      </c>
      <c r="E31" s="37" t="s">
        <v>171</v>
      </c>
      <c r="F31" s="39" t="s">
        <v>154</v>
      </c>
      <c r="I31" s="1" t="str">
        <f t="shared" si="2"/>
        <v>Anatomic location (body location, laterality) where the material is collected, e.g. Elbow, left - Preferred system(s): SNOMED CT</v>
      </c>
    </row>
    <row r="32" spans="2:9" ht="64.75" thickBot="1" x14ac:dyDescent="0.9">
      <c r="B32" t="str">
        <f t="shared" si="1"/>
        <v>A.4.6 Morphology</v>
      </c>
      <c r="C32" s="36" t="s">
        <v>172</v>
      </c>
      <c r="D32" s="39" t="s">
        <v>173</v>
      </c>
      <c r="E32" s="37" t="s">
        <v>174</v>
      </c>
      <c r="F32" s="39" t="s">
        <v>154</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24" t="s">
        <v>175</v>
      </c>
      <c r="D33" s="127" t="s">
        <v>176</v>
      </c>
      <c r="E33" s="124" t="s">
        <v>177</v>
      </c>
      <c r="F33" s="43" t="s">
        <v>154</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25"/>
      <c r="D34" s="128"/>
      <c r="E34" s="125"/>
      <c r="F34" s="41"/>
      <c r="I34" s="1" t="str">
        <f t="shared" si="2"/>
        <v xml:space="preserve"> - Preferred system(s): </v>
      </c>
    </row>
    <row r="35" spans="2:9" ht="16.75" thickBot="1" x14ac:dyDescent="0.9">
      <c r="B35" t="str">
        <f t="shared" si="1"/>
        <v xml:space="preserve"> </v>
      </c>
      <c r="C35" s="126"/>
      <c r="D35" s="129"/>
      <c r="E35" s="126"/>
      <c r="F35" s="39" t="s">
        <v>178</v>
      </c>
      <c r="I35" s="1" t="str">
        <f t="shared" si="2"/>
        <v xml:space="preserve"> - Preferred system(s): EMDN</v>
      </c>
    </row>
    <row r="36" spans="2:9" ht="48.75" thickBot="1" x14ac:dyDescent="0.9">
      <c r="B36" t="str">
        <f t="shared" si="1"/>
        <v>A.4.8 Collection procedure/method</v>
      </c>
      <c r="C36" s="36" t="s">
        <v>179</v>
      </c>
      <c r="D36" s="39" t="s">
        <v>180</v>
      </c>
      <c r="E36" s="37" t="s">
        <v>181</v>
      </c>
      <c r="F36" s="39" t="s">
        <v>154</v>
      </c>
      <c r="I36" s="1" t="str">
        <f t="shared" si="2"/>
        <v>If relevant for the results, the method of obtaining the specimen. - Preferred system(s): SNOMED CT</v>
      </c>
    </row>
    <row r="37" spans="2:9" ht="48.75" thickBot="1" x14ac:dyDescent="0.9">
      <c r="B37" t="str">
        <f t="shared" si="1"/>
        <v>A.4.9 Received date</v>
      </c>
      <c r="C37" s="36" t="s">
        <v>182</v>
      </c>
      <c r="D37" s="39" t="s">
        <v>183</v>
      </c>
      <c r="E37" s="37" t="s">
        <v>184</v>
      </c>
      <c r="F37" s="39" t="s">
        <v>103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380</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381</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288</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493</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494</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3" t="s">
        <v>302</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495</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496</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3" t="s">
        <v>497</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498</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499</v>
      </c>
      <c r="E17" s="14" t="str">
        <f t="shared" si="1"/>
        <v>* collectionMethod -&gt; ##34#Specimen.collection.method##34#</v>
      </c>
      <c r="G17" s="1" t="s">
        <v>32</v>
      </c>
    </row>
    <row r="18" spans="1:7" x14ac:dyDescent="0.75">
      <c r="A18" s="9">
        <v>9</v>
      </c>
      <c r="B18" s="9" t="str">
        <f>'A.4 Specimen'!B16</f>
        <v>receivedDateTime</v>
      </c>
      <c r="C18" s="9" t="s">
        <v>500</v>
      </c>
      <c r="E18" s="14" t="str">
        <f t="shared" si="1"/>
        <v>* receivedDateTime -&gt; ##34#Specimen.receivedTime##34#</v>
      </c>
      <c r="G18" s="1" t="s">
        <v>33</v>
      </c>
    </row>
    <row r="19" spans="1:7" x14ac:dyDescent="0.75">
      <c r="A19" s="9">
        <v>10</v>
      </c>
      <c r="B19" s="9">
        <f>'A.4 Specimen'!B17</f>
        <v>0</v>
      </c>
      <c r="C19" s="9" t="s">
        <v>302</v>
      </c>
      <c r="E19" s="14" t="str">
        <f t="shared" si="1"/>
        <v>*  -&gt; ##34###34#</v>
      </c>
    </row>
    <row r="20" spans="1:7" x14ac:dyDescent="0.75">
      <c r="A20" s="9"/>
      <c r="B20" s="9">
        <f>'A.4 Specimen'!B18</f>
        <v>0</v>
      </c>
      <c r="C20" s="9" t="s">
        <v>302</v>
      </c>
      <c r="E20" s="14" t="str">
        <f t="shared" si="1"/>
        <v>*  -&gt; ##34###34#</v>
      </c>
    </row>
    <row r="21" spans="1:7" x14ac:dyDescent="0.75">
      <c r="B21" s="9">
        <f>'A.4 Specimen'!B19</f>
        <v>0</v>
      </c>
      <c r="C21" s="9" t="s">
        <v>302</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3" t="s">
        <v>991</v>
      </c>
    </row>
    <row r="3" spans="3:7" x14ac:dyDescent="0.75">
      <c r="C3" s="33" t="str">
        <f>'A.4 Specimen'!I3</f>
        <v>// -------------------------------------------------------------------------------</v>
      </c>
    </row>
    <row r="4" spans="3:7" x14ac:dyDescent="0.75">
      <c r="C4" s="25" t="str">
        <f>'A.4 Specimen'!I4</f>
        <v>Logical: SpecimenPsEhn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273</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625</v>
      </c>
      <c r="D3" s="70" t="s">
        <v>560</v>
      </c>
      <c r="E3" s="81" t="str">
        <f>"http://hl7.eu/fhir/laboratory/StructureDefinition/"&amp;'A.4 Specimen'!B5</f>
        <v>http://hl7.eu/fhir/laboratory/StructureDefinition/SpecimenLab</v>
      </c>
    </row>
    <row r="4" spans="1:19" x14ac:dyDescent="0.75">
      <c r="B4" s="70" t="s">
        <v>19</v>
      </c>
      <c r="C4" s="51" t="s">
        <v>1099</v>
      </c>
      <c r="D4" s="70" t="s">
        <v>561</v>
      </c>
      <c r="E4" s="137" t="s">
        <v>1100</v>
      </c>
      <c r="F4" s="136"/>
      <c r="G4" s="136"/>
    </row>
    <row r="5" spans="1:19" x14ac:dyDescent="0.75">
      <c r="B5" s="70" t="s">
        <v>13</v>
      </c>
      <c r="C5" s="10" t="s">
        <v>626</v>
      </c>
      <c r="D5" s="70"/>
      <c r="E5" s="10"/>
    </row>
    <row r="6" spans="1:19" x14ac:dyDescent="0.75">
      <c r="B6" s="70" t="s">
        <v>35</v>
      </c>
      <c r="C6" s="69"/>
      <c r="D6" s="70" t="s">
        <v>558</v>
      </c>
      <c r="E6" s="137" t="str">
        <f>E3</f>
        <v>http://hl7.eu/fhir/laboratory/StructureDefinition/SpecimenLab</v>
      </c>
      <c r="F6" s="136"/>
      <c r="G6" s="136"/>
    </row>
    <row r="7" spans="1:19" x14ac:dyDescent="0.75">
      <c r="B7" s="70" t="s">
        <v>18</v>
      </c>
      <c r="C7" s="77"/>
      <c r="D7" s="70" t="s">
        <v>559</v>
      </c>
      <c r="E7" s="137" t="s">
        <v>1100</v>
      </c>
      <c r="F7" s="136"/>
      <c r="G7" s="136"/>
    </row>
    <row r="8" spans="1:19" ht="44.25" x14ac:dyDescent="0.75">
      <c r="B8" s="70" t="s">
        <v>554</v>
      </c>
      <c r="C8" s="50" t="s">
        <v>627</v>
      </c>
      <c r="D8" s="70"/>
      <c r="E8" s="10"/>
      <c r="I8" s="14" t="s">
        <v>526</v>
      </c>
      <c r="J8" s="14" t="s">
        <v>527</v>
      </c>
      <c r="K8" s="14" t="s">
        <v>528</v>
      </c>
      <c r="L8" s="14" t="s">
        <v>529</v>
      </c>
      <c r="M8" s="9" t="s">
        <v>530</v>
      </c>
      <c r="P8" s="66" t="s">
        <v>531</v>
      </c>
      <c r="Q8" s="66">
        <v>6</v>
      </c>
    </row>
    <row r="9" spans="1:19" ht="29.5" x14ac:dyDescent="0.75">
      <c r="B9" s="70" t="s">
        <v>555</v>
      </c>
      <c r="C9" s="14" t="s">
        <v>628</v>
      </c>
      <c r="D9" s="70"/>
      <c r="E9"/>
      <c r="I9" s="14"/>
      <c r="J9" s="9"/>
      <c r="K9" s="9"/>
      <c r="L9" s="9"/>
      <c r="M9" s="9"/>
    </row>
    <row r="10" spans="1:19" x14ac:dyDescent="0.75">
      <c r="B10" s="70"/>
      <c r="C10" s="9"/>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'A.4 Specimen'!B5</f>
        <v>SpecimenLab</v>
      </c>
      <c r="C14" s="9"/>
      <c r="D14" s="4" t="s">
        <v>629</v>
      </c>
      <c r="E14" s="8"/>
      <c r="F14" s="72"/>
      <c r="G14" s="72"/>
      <c r="I14" s="14"/>
      <c r="J14" s="9"/>
      <c r="K14" s="9"/>
      <c r="L14" s="9"/>
      <c r="M14" s="68"/>
      <c r="N14" s="71"/>
    </row>
    <row r="15" spans="1:19" ht="44.25" x14ac:dyDescent="0.75">
      <c r="A15" s="23"/>
      <c r="B15" s="9" t="str">
        <f>'A.4 Specimen'!B8</f>
        <v>identifier</v>
      </c>
      <c r="C15" s="9" t="str">
        <f>'A.4 Specimen'!C8</f>
        <v>A.4.1 Specimen identifier</v>
      </c>
      <c r="D15" s="14" t="s">
        <v>308</v>
      </c>
      <c r="E15" s="59"/>
      <c r="F15" s="72" t="s">
        <v>537</v>
      </c>
      <c r="G15" s="72"/>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0" t="str">
        <f>'A.4 Specimen'!B9</f>
        <v>speciesType</v>
      </c>
      <c r="C16" s="9" t="str">
        <f>'A.4 Specimen'!C9</f>
        <v>A.4.2 Type of species</v>
      </c>
      <c r="D16" s="14" t="s">
        <v>715</v>
      </c>
      <c r="E16" s="9"/>
      <c r="F16" s="72" t="s">
        <v>538</v>
      </c>
      <c r="G16" s="72" t="s">
        <v>774</v>
      </c>
      <c r="H16" s="73"/>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630</v>
      </c>
      <c r="E17" s="9"/>
      <c r="F17" s="72" t="s">
        <v>537</v>
      </c>
      <c r="G17" s="72"/>
      <c r="H17" s="73"/>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632</v>
      </c>
      <c r="E18" s="9"/>
      <c r="F18" s="72" t="s">
        <v>537</v>
      </c>
      <c r="G18" s="72"/>
      <c r="H18" s="73"/>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634</v>
      </c>
      <c r="E19" s="9"/>
      <c r="F19" s="72" t="s">
        <v>538</v>
      </c>
      <c r="G19" s="72"/>
      <c r="H19" s="73"/>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840</v>
      </c>
      <c r="E20" s="9"/>
      <c r="F20" s="72" t="s">
        <v>538</v>
      </c>
      <c r="G20" s="72" t="s">
        <v>839</v>
      </c>
      <c r="H20" s="73"/>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840</v>
      </c>
      <c r="E21" s="14"/>
      <c r="F21" s="72" t="s">
        <v>538</v>
      </c>
      <c r="G21" s="72" t="s">
        <v>839</v>
      </c>
      <c r="H21" s="73"/>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547</v>
      </c>
      <c r="E22" s="9"/>
      <c r="F22" s="72" t="s">
        <v>538</v>
      </c>
      <c r="G22" s="93" t="s">
        <v>845</v>
      </c>
      <c r="H22" s="73"/>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635</v>
      </c>
      <c r="E23" s="9"/>
      <c r="F23" s="72" t="s">
        <v>537</v>
      </c>
      <c r="G23" s="72"/>
      <c r="H23" s="73"/>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636</v>
      </c>
      <c r="E24" s="9"/>
      <c r="F24" s="72" t="s">
        <v>537</v>
      </c>
      <c r="G24" s="72"/>
      <c r="H24" s="73"/>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2"/>
      <c r="G25" s="72"/>
      <c r="H25" s="73"/>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2"/>
      <c r="G26" s="72"/>
      <c r="H26" s="73"/>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2"/>
      <c r="G27" s="72"/>
      <c r="H27" s="73"/>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2"/>
      <c r="G28" s="72"/>
      <c r="H28" s="73"/>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2"/>
      <c r="G29" s="72"/>
      <c r="H29" s="73"/>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2"/>
      <c r="G30" s="72"/>
      <c r="H30" s="73"/>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2"/>
      <c r="G31" s="72"/>
      <c r="H31" s="73"/>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2"/>
      <c r="G32" s="72"/>
      <c r="H32" s="73"/>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2"/>
      <c r="G33" s="72"/>
      <c r="H33" s="73"/>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2"/>
      <c r="G34" s="72"/>
      <c r="H34" s="73"/>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2"/>
      <c r="G35" s="72"/>
      <c r="H35" s="73"/>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2"/>
      <c r="G36" s="72"/>
      <c r="H36" s="73"/>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2"/>
      <c r="G37" s="72"/>
      <c r="H37" s="73"/>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2"/>
      <c r="G38" s="72"/>
      <c r="H38" s="73"/>
      <c r="K38" s="73"/>
      <c r="L38" s="73"/>
      <c r="M38" s="71"/>
      <c r="N38" s="71"/>
      <c r="P38" s="9">
        <v>24</v>
      </c>
      <c r="Q38" s="9">
        <f t="shared" si="8"/>
        <v>3</v>
      </c>
      <c r="R38" s="9">
        <f t="shared" si="9"/>
        <v>6</v>
      </c>
      <c r="S38" s="14" t="str" cm="1">
        <f t="array" ref="S38">INDEX('Specimen-ConceptMap-1'!$I$15:$N$124,Q38+1,R38)</f>
        <v/>
      </c>
    </row>
    <row r="39" spans="1:19" x14ac:dyDescent="0.75">
      <c r="B39" s="9"/>
      <c r="C39" s="9"/>
      <c r="D39" s="14"/>
      <c r="E39" s="14"/>
      <c r="F39" s="72"/>
      <c r="G39" s="72"/>
      <c r="H39" s="73"/>
      <c r="K39" s="73"/>
      <c r="L39" s="73"/>
      <c r="M39" s="71"/>
      <c r="N39" s="71"/>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2"/>
      <c r="G40" s="73"/>
      <c r="H40" s="73"/>
      <c r="J40"/>
      <c r="K40" s="73"/>
      <c r="L40" s="73"/>
      <c r="M40" s="71"/>
      <c r="N40" s="71"/>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7"/>
      <c r="F41" s="73"/>
      <c r="G41" s="73"/>
      <c r="H41" s="73"/>
      <c r="J41"/>
      <c r="K41" s="73"/>
      <c r="L41" s="73"/>
      <c r="M41" s="71"/>
      <c r="N41" s="71"/>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3"/>
      <c r="G42" s="73"/>
      <c r="H42" s="73"/>
      <c r="J42"/>
      <c r="K42" s="73"/>
      <c r="L42" s="73"/>
      <c r="M42" s="71"/>
      <c r="N42" s="71"/>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3"/>
      <c r="G43" s="73"/>
      <c r="H43" s="73"/>
      <c r="J43" s="73"/>
      <c r="K43" s="73"/>
      <c r="L43" s="73"/>
      <c r="M43" s="71"/>
      <c r="N43" s="71"/>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3"/>
      <c r="G44" s="73"/>
      <c r="H44" s="73"/>
      <c r="J44" s="73"/>
      <c r="K44" s="73"/>
      <c r="L44" s="73"/>
      <c r="M44" s="71"/>
      <c r="N44" s="71"/>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625</v>
      </c>
      <c r="D3" s="70" t="s">
        <v>560</v>
      </c>
      <c r="E3" s="81" t="str">
        <f>"http://hl7.eu/fhir/laboratory/StructureDefinition/"&amp;'A.4 Specimen'!B5</f>
        <v>http://hl7.eu/fhir/laboratory/StructureDefinition/SpecimenLab</v>
      </c>
    </row>
    <row r="4" spans="1:19" x14ac:dyDescent="0.75">
      <c r="B4" s="70" t="s">
        <v>19</v>
      </c>
      <c r="C4" s="51" t="s">
        <v>1099</v>
      </c>
      <c r="D4" s="70" t="s">
        <v>561</v>
      </c>
      <c r="E4" s="137" t="s">
        <v>1100</v>
      </c>
      <c r="F4" s="136"/>
      <c r="G4" s="136"/>
    </row>
    <row r="5" spans="1:19" x14ac:dyDescent="0.75">
      <c r="B5" s="70" t="s">
        <v>13</v>
      </c>
      <c r="C5" s="10" t="s">
        <v>626</v>
      </c>
      <c r="D5" s="70"/>
      <c r="E5" s="10"/>
    </row>
    <row r="6" spans="1:19" x14ac:dyDescent="0.75">
      <c r="B6" s="70" t="s">
        <v>35</v>
      </c>
      <c r="C6" s="69"/>
      <c r="D6" s="70" t="s">
        <v>558</v>
      </c>
      <c r="E6" s="137" t="str">
        <f>E3</f>
        <v>http://hl7.eu/fhir/laboratory/StructureDefinition/SpecimenLab</v>
      </c>
      <c r="F6" s="136"/>
      <c r="G6" s="136"/>
    </row>
    <row r="7" spans="1:19" x14ac:dyDescent="0.75">
      <c r="B7" s="70" t="s">
        <v>18</v>
      </c>
      <c r="C7" s="77"/>
      <c r="D7" s="70" t="s">
        <v>559</v>
      </c>
      <c r="E7" s="137" t="s">
        <v>1101</v>
      </c>
      <c r="F7" s="136"/>
      <c r="G7" s="136"/>
    </row>
    <row r="8" spans="1:19" ht="44.25" x14ac:dyDescent="0.75">
      <c r="B8" s="70" t="s">
        <v>554</v>
      </c>
      <c r="C8" s="50" t="s">
        <v>627</v>
      </c>
      <c r="D8" s="70"/>
      <c r="E8" s="10"/>
      <c r="I8" s="14" t="s">
        <v>526</v>
      </c>
      <c r="J8" s="14" t="s">
        <v>527</v>
      </c>
      <c r="K8" s="14" t="s">
        <v>528</v>
      </c>
      <c r="L8" s="14" t="s">
        <v>529</v>
      </c>
      <c r="M8" s="9" t="s">
        <v>530</v>
      </c>
      <c r="P8" s="66" t="s">
        <v>531</v>
      </c>
      <c r="Q8" s="66">
        <v>6</v>
      </c>
    </row>
    <row r="9" spans="1:19" ht="29.5" x14ac:dyDescent="0.75">
      <c r="B9" s="70" t="s">
        <v>555</v>
      </c>
      <c r="C9" s="14" t="s">
        <v>628</v>
      </c>
      <c r="D9" s="70"/>
      <c r="E9"/>
      <c r="I9" s="14"/>
      <c r="J9" s="9"/>
      <c r="K9" s="9"/>
      <c r="L9" s="9"/>
      <c r="M9" s="9"/>
    </row>
    <row r="10" spans="1:19" x14ac:dyDescent="0.75">
      <c r="B10" s="70"/>
      <c r="C10" s="9"/>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'A.4 Specimen'!B5</f>
        <v>SpecimenLab</v>
      </c>
      <c r="C14" s="9"/>
      <c r="D14" s="4" t="s">
        <v>841</v>
      </c>
      <c r="E14" s="8"/>
      <c r="F14" s="72"/>
      <c r="G14" s="72"/>
      <c r="I14" s="14"/>
      <c r="J14" s="9"/>
      <c r="K14" s="9"/>
      <c r="L14" s="9"/>
      <c r="M14" s="68"/>
      <c r="N14" s="71"/>
    </row>
    <row r="15" spans="1:19" ht="44.25" x14ac:dyDescent="0.75">
      <c r="A15" s="23"/>
      <c r="B15" s="9" t="str">
        <f>'A.4 Specimen'!B12</f>
        <v>anatomicLocation</v>
      </c>
      <c r="C15" s="9" t="str">
        <f>'A.4 Specimen'!C12</f>
        <v>A.4.5 Anatomic location</v>
      </c>
      <c r="D15" s="14" t="s">
        <v>842</v>
      </c>
      <c r="E15" s="8"/>
      <c r="F15" s="72" t="s">
        <v>537</v>
      </c>
      <c r="G15" s="72"/>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843</v>
      </c>
      <c r="E16" s="9"/>
      <c r="F16" s="72" t="s">
        <v>537</v>
      </c>
      <c r="G16" s="72" t="s">
        <v>844</v>
      </c>
      <c r="H16" s="73"/>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395</v>
      </c>
      <c r="E17" s="14"/>
      <c r="F17" s="72" t="s">
        <v>537</v>
      </c>
      <c r="G17" s="72"/>
      <c r="H17" s="73"/>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2"/>
      <c r="G18" s="72"/>
      <c r="H18" s="73"/>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2"/>
      <c r="G19" s="72"/>
      <c r="H19" s="73"/>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2"/>
      <c r="G20" s="72"/>
      <c r="H20" s="73"/>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2"/>
      <c r="G21" s="72"/>
      <c r="H21" s="73"/>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2"/>
      <c r="G22" s="72"/>
      <c r="H22" s="73"/>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2"/>
      <c r="G23" s="72"/>
      <c r="H23" s="73"/>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2"/>
      <c r="G24" s="72"/>
      <c r="H24" s="73"/>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2"/>
      <c r="G25" s="72"/>
      <c r="H25" s="73"/>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2"/>
      <c r="G26" s="72"/>
      <c r="H26" s="73"/>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2"/>
      <c r="G27" s="72"/>
      <c r="H27" s="73"/>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2"/>
      <c r="G28" s="72"/>
      <c r="H28" s="73"/>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2"/>
      <c r="G29" s="72"/>
      <c r="H29" s="73"/>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2"/>
      <c r="G30" s="72"/>
      <c r="H30" s="73"/>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2"/>
      <c r="G31" s="72"/>
      <c r="H31" s="73"/>
      <c r="K31" s="73"/>
      <c r="L31" s="73"/>
      <c r="M31" s="71"/>
      <c r="N31" s="71"/>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2"/>
      <c r="G32" s="72"/>
      <c r="H32" s="73"/>
      <c r="K32" s="73"/>
      <c r="L32" s="73"/>
      <c r="M32" s="71"/>
      <c r="N32" s="71"/>
      <c r="P32" s="9">
        <v>18</v>
      </c>
      <c r="Q32" s="9">
        <f t="shared" si="8"/>
        <v>2</v>
      </c>
      <c r="R32" s="9">
        <f t="shared" si="9"/>
        <v>6</v>
      </c>
      <c r="S32" s="14" t="str" cm="1">
        <f t="array" ref="S32">INDEX('Specimen-ConceptMap-2'!$I$15:$N$116,Q32+1,R32)</f>
        <v/>
      </c>
    </row>
    <row r="33" spans="1:19" s="1" customFormat="1" x14ac:dyDescent="0.75">
      <c r="A33"/>
      <c r="B33" s="9"/>
      <c r="C33" s="9"/>
      <c r="D33" s="14"/>
      <c r="E33" s="14"/>
      <c r="F33" s="72"/>
      <c r="G33" s="73"/>
      <c r="H33" s="73"/>
      <c r="J33"/>
      <c r="K33" s="73"/>
      <c r="L33" s="73"/>
      <c r="M33" s="71"/>
      <c r="N33" s="71"/>
      <c r="P33" s="9">
        <v>19</v>
      </c>
      <c r="Q33" s="9">
        <f t="shared" si="8"/>
        <v>3</v>
      </c>
      <c r="R33" s="9">
        <f t="shared" si="9"/>
        <v>1</v>
      </c>
      <c r="S33" s="14" cm="1">
        <f t="array" ref="S33">INDEX('Specimen-ConceptMap-2'!$I$15:$N$116,Q33+1,R33)</f>
        <v>0</v>
      </c>
    </row>
    <row r="34" spans="1:19" s="1" customFormat="1" x14ac:dyDescent="0.75">
      <c r="A34"/>
      <c r="B34" s="9"/>
      <c r="C34" s="9"/>
      <c r="D34" s="57"/>
      <c r="F34" s="73"/>
      <c r="G34" s="73"/>
      <c r="H34" s="73"/>
      <c r="J34"/>
      <c r="K34" s="73"/>
      <c r="L34" s="73"/>
      <c r="M34" s="71"/>
      <c r="N34" s="71"/>
      <c r="P34" s="9">
        <v>20</v>
      </c>
      <c r="Q34" s="9">
        <f t="shared" si="8"/>
        <v>3</v>
      </c>
      <c r="R34" s="9">
        <f t="shared" si="9"/>
        <v>2</v>
      </c>
      <c r="S34" s="14" cm="1">
        <f t="array" ref="S34">INDEX('Specimen-ConceptMap-2'!$I$15:$N$116,Q34+1,R34)</f>
        <v>0</v>
      </c>
    </row>
    <row r="35" spans="1:19" s="1" customFormat="1" x14ac:dyDescent="0.75">
      <c r="A35"/>
      <c r="B35" s="9"/>
      <c r="C35" s="9"/>
      <c r="F35" s="73"/>
      <c r="G35" s="73"/>
      <c r="H35" s="73"/>
      <c r="J35"/>
      <c r="K35" s="73"/>
      <c r="L35" s="73"/>
      <c r="M35" s="71"/>
      <c r="N35" s="71"/>
      <c r="P35" s="9">
        <v>21</v>
      </c>
      <c r="Q35" s="9">
        <f t="shared" si="8"/>
        <v>3</v>
      </c>
      <c r="R35" s="9">
        <f t="shared" si="9"/>
        <v>3</v>
      </c>
      <c r="S35" s="14" cm="1">
        <f t="array" ref="S35">INDEX('Specimen-ConceptMap-2'!$I$15:$N$116,Q35+1,R35)</f>
        <v>0</v>
      </c>
    </row>
    <row r="36" spans="1:19" s="1" customFormat="1" x14ac:dyDescent="0.75">
      <c r="A36"/>
      <c r="B36" s="9"/>
      <c r="C36" s="9"/>
      <c r="F36" s="73"/>
      <c r="G36" s="73"/>
      <c r="H36" s="73"/>
      <c r="J36" s="73"/>
      <c r="K36" s="73"/>
      <c r="L36" s="73"/>
      <c r="M36" s="71"/>
      <c r="N36" s="71"/>
      <c r="P36" s="9">
        <v>22</v>
      </c>
      <c r="Q36" s="9">
        <f t="shared" si="8"/>
        <v>3</v>
      </c>
      <c r="R36" s="9">
        <f t="shared" si="9"/>
        <v>4</v>
      </c>
      <c r="S36" s="14" cm="1">
        <f t="array" ref="S36">INDEX('Specimen-ConceptMap-2'!$I$15:$N$116,Q36+1,R36)</f>
        <v>0</v>
      </c>
    </row>
    <row r="37" spans="1:19" s="1" customFormat="1" x14ac:dyDescent="0.75">
      <c r="A37"/>
      <c r="B37" s="9"/>
      <c r="C37" s="9"/>
      <c r="F37" s="73"/>
      <c r="G37" s="73"/>
      <c r="H37" s="73"/>
      <c r="J37" s="73"/>
      <c r="K37" s="73"/>
      <c r="L37" s="73"/>
      <c r="M37" s="71"/>
      <c r="N37" s="71"/>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637</v>
      </c>
    </row>
    <row r="3" spans="2:7" x14ac:dyDescent="0.75">
      <c r="B3" s="33" t="s">
        <v>37</v>
      </c>
    </row>
    <row r="4" spans="2:7" x14ac:dyDescent="0.75">
      <c r="B4" s="74" t="str">
        <f>"Instance: "&amp;'Specimen-ConceptMap-1'!C4</f>
        <v>Instance: specimen2FHIR-eu-ps</v>
      </c>
    </row>
    <row r="5" spans="2:7" x14ac:dyDescent="0.75">
      <c r="B5" s="74" t="s">
        <v>541</v>
      </c>
    </row>
    <row r="6" spans="2:7" x14ac:dyDescent="0.75">
      <c r="B6" s="74" t="s">
        <v>542</v>
      </c>
    </row>
    <row r="7" spans="2:7" x14ac:dyDescent="0.75">
      <c r="B7" s="74" t="s">
        <v>552</v>
      </c>
    </row>
    <row r="8" spans="2:7" x14ac:dyDescent="0.75">
      <c r="B8" s="74" t="str">
        <f>"* name = ##34#"&amp;'Specimen-ConceptMap-1'!C3&amp;"##34#"</f>
        <v>* name = ##34#Specimen2Fhir##34#</v>
      </c>
    </row>
    <row r="9" spans="2:7" x14ac:dyDescent="0.75">
      <c r="B9" s="74" t="str">
        <f>"* title = ##34#"&amp;'Specimen-ConceptMap-1'!C5&amp;"##34#"</f>
        <v>* title = ##34#eHN Specimen to this guide Map##34#</v>
      </c>
    </row>
    <row r="10" spans="2:7" x14ac:dyDescent="0.75">
      <c r="B10" s="74" t="s">
        <v>543</v>
      </c>
    </row>
    <row r="11" spans="2:7" x14ac:dyDescent="0.75">
      <c r="B11" s="74" t="s">
        <v>544</v>
      </c>
    </row>
    <row r="12" spans="2:7" x14ac:dyDescent="0.75">
      <c r="B12" s="74" t="str">
        <f>"* description = ##34#"&amp;'Specimen-ConceptMap-1'!C8&amp;"##34#"</f>
        <v>* description = ##34#eHN Specimen Model to this guide Map##34#</v>
      </c>
    </row>
    <row r="13" spans="2:7" x14ac:dyDescent="0.75">
      <c r="B13" s="74" t="str">
        <f>"* purpose = ##34#"&amp;'Specimen-ConceptMap-1'!C9&amp;"##34#"</f>
        <v>* purpose = ##34#It shows how the Specimen data set defined by the EU eHN guidelines is mapped into this guide##34#</v>
      </c>
    </row>
    <row r="14" spans="2:7" x14ac:dyDescent="0.75">
      <c r="B14" s="75" t="str">
        <f>"* sourceUri = ##34#"&amp;'Specimen-ConceptMap-1'!E3&amp;"##34#"</f>
        <v>* sourceUri = ##34#http://hl7.eu/fhir/laboratory/StructureDefinition/SpecimenLab##34#</v>
      </c>
    </row>
    <row r="15" spans="2:7" x14ac:dyDescent="0.75">
      <c r="B15" s="75" t="str">
        <f>"* targetUri = ##34#"&amp;'Specimen-ConceptMap-1'!E4&amp;"##34#"</f>
        <v>* targetUri = ##34#http://hl7.eu/fhir/laboratory/StructureDefinition/Specimen-eu-ps##34#</v>
      </c>
    </row>
    <row r="16" spans="2:7" x14ac:dyDescent="0.75">
      <c r="B16" s="76" t="str">
        <f>"* group[+].source = ##34#"&amp;'Specimen-ConceptMap-1'!E6&amp;"##34#"</f>
        <v>* group[+].source = ##34#http://hl7.eu/fhir/laboratory/StructureDefinition/SpecimenLab##34#</v>
      </c>
    </row>
    <row r="17" spans="2:7" x14ac:dyDescent="0.75">
      <c r="B17" s="76" t="str">
        <f>"* group[=].target = ##34#"&amp;'Specimen-ConceptMap-1'!E7&amp;"##34#"</f>
        <v>* group[=].target = ##34#http://hl7.eu/fhir/laboratory/StructureDefinition/Specimen-eu-ps##34#</v>
      </c>
    </row>
    <row r="18" spans="2:7" x14ac:dyDescent="0.75">
      <c r="B18" s="78"/>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7"/>
    </row>
    <row r="87" spans="2:2" x14ac:dyDescent="0.75">
      <c r="B87" s="98" t="str">
        <f>"* group[+].source = ##34#"&amp;'Specimen-ConceptMap-2'!E6&amp;"##34#"</f>
        <v>* group[+].source = ##34#http://hl7.eu/fhir/laboratory/StructureDefinition/SpecimenLab##34#</v>
      </c>
    </row>
    <row r="88" spans="2:2" x14ac:dyDescent="0.75">
      <c r="B88" s="98" t="str">
        <f>"* group[=].target = ##34#"&amp;'Specimen-ConceptMap-2'!E7&amp;"##34#"</f>
        <v>* group[=].target = ##34#http://hl7.eu/fhir/laboratory/StructureDefinition/bodyStructure-eu-ps##34#</v>
      </c>
    </row>
    <row r="89" spans="2:2" x14ac:dyDescent="0.75">
      <c r="B89" s="97"/>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934</v>
      </c>
      <c r="I4" s="25" t="str">
        <f>CONCATENATE("Logical: ",B4)</f>
        <v>Logical: ResultPsEhn</v>
      </c>
    </row>
    <row r="5" spans="1:11" x14ac:dyDescent="0.75">
      <c r="A5" s="18" t="s">
        <v>19</v>
      </c>
      <c r="B5" s="34" t="s">
        <v>398</v>
      </c>
      <c r="I5" s="25" t="str">
        <f>CONCATENATE("Id: ",B5)</f>
        <v>Id: Result</v>
      </c>
    </row>
    <row r="6" spans="1:11" x14ac:dyDescent="0.75">
      <c r="A6" s="18" t="s">
        <v>13</v>
      </c>
      <c r="B6" s="14" t="s">
        <v>713</v>
      </c>
      <c r="I6" s="26" t="str">
        <f>CONCATENATE("Title: ##34#",B6,"##34#")</f>
        <v>Title: ##34#A.5 - Results data elements##34#</v>
      </c>
    </row>
    <row r="7" spans="1:11" x14ac:dyDescent="0.75">
      <c r="A7" s="46" t="s">
        <v>5</v>
      </c>
      <c r="B7" s="14" t="s">
        <v>768</v>
      </c>
      <c r="C7" s="12"/>
      <c r="D7" s="2"/>
      <c r="E7" s="54"/>
      <c r="F7" s="3" t="s">
        <v>9</v>
      </c>
      <c r="G7" s="3" t="s">
        <v>10</v>
      </c>
      <c r="I7" s="26" t="str">
        <f>CONCATENATE("Description: "," ##334#",B7,"##334#",)</f>
        <v>Description:  ##334#Results data elements. Section A5 of the eHN guideline.##334#</v>
      </c>
    </row>
    <row r="8" spans="1:11" ht="29.5" x14ac:dyDescent="0.75">
      <c r="A8" s="9">
        <v>1</v>
      </c>
      <c r="B8" s="9" t="s">
        <v>418</v>
      </c>
      <c r="C8" s="14" t="s">
        <v>1029</v>
      </c>
      <c r="D8" s="14" t="s">
        <v>1029</v>
      </c>
      <c r="E8" s="9">
        <v>0</v>
      </c>
      <c r="F8" s="9">
        <v>1</v>
      </c>
      <c r="G8" s="9" t="s">
        <v>4</v>
      </c>
      <c r="H8" s="23"/>
      <c r="I8" s="14" t="str">
        <f>CONCATENATE("* ",B8, " ",E8,"..",F8," ",G8," ##34#",C8,"##34# ##334#",D8,"##334#")</f>
        <v>* narrative 0..1 BackboneElement ##34#A.5.1 Patient Summary narrative##34# ##334#A.5.1 Patient Summary narrative##334#</v>
      </c>
    </row>
    <row r="9" spans="1:11" ht="44.25" x14ac:dyDescent="0.75">
      <c r="A9" s="9">
        <v>2</v>
      </c>
      <c r="B9" s="9" t="s">
        <v>419</v>
      </c>
      <c r="C9" s="1" t="s">
        <v>401</v>
      </c>
      <c r="D9" s="14" t="s">
        <v>502</v>
      </c>
      <c r="E9" s="9">
        <v>0</v>
      </c>
      <c r="F9" s="9" t="s">
        <v>11</v>
      </c>
      <c r="G9" s="9" t="s">
        <v>422</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420</v>
      </c>
      <c r="C10" s="14" t="s">
        <v>402</v>
      </c>
      <c r="D10" s="57" t="s">
        <v>191</v>
      </c>
      <c r="E10" s="9">
        <v>0</v>
      </c>
      <c r="F10" s="9" t="s">
        <v>11</v>
      </c>
      <c r="G10" s="9" t="s">
        <v>422</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6">
        <v>4</v>
      </c>
      <c r="B11" s="9" t="s">
        <v>421</v>
      </c>
      <c r="C11" s="49" t="s">
        <v>423</v>
      </c>
      <c r="D11" s="49" t="s">
        <v>464</v>
      </c>
      <c r="E11" s="56">
        <v>0</v>
      </c>
      <c r="F11" s="56"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424</v>
      </c>
      <c r="C12" s="49" t="s">
        <v>403</v>
      </c>
      <c r="D12" s="14" t="s">
        <v>417</v>
      </c>
      <c r="E12" s="56">
        <v>0</v>
      </c>
      <c r="F12" s="56"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425</v>
      </c>
      <c r="C13" s="14" t="s">
        <v>404</v>
      </c>
      <c r="D13" s="49" t="s">
        <v>426</v>
      </c>
      <c r="E13" s="56">
        <v>0</v>
      </c>
      <c r="F13" s="56"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427</v>
      </c>
      <c r="C14" s="9" t="s">
        <v>405</v>
      </c>
      <c r="D14" s="14" t="s">
        <v>202</v>
      </c>
      <c r="E14" s="56">
        <v>0</v>
      </c>
      <c r="F14" s="56"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428</v>
      </c>
      <c r="C15" s="9" t="s">
        <v>406</v>
      </c>
      <c r="D15" s="14" t="s">
        <v>205</v>
      </c>
      <c r="E15" s="3">
        <v>0</v>
      </c>
      <c r="F15" s="3" t="s">
        <v>11</v>
      </c>
      <c r="G15" s="9" t="s">
        <v>3</v>
      </c>
      <c r="H15" s="58"/>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429</v>
      </c>
      <c r="C16" s="9" t="s">
        <v>407</v>
      </c>
      <c r="D16" s="14" t="s">
        <v>208</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430</v>
      </c>
      <c r="C17" s="9" t="s">
        <v>408</v>
      </c>
      <c r="D17" s="14" t="s">
        <v>442</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431</v>
      </c>
      <c r="C18" s="9" t="s">
        <v>409</v>
      </c>
      <c r="D18" s="14" t="s">
        <v>432</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433</v>
      </c>
      <c r="C19" s="9" t="s">
        <v>410</v>
      </c>
      <c r="D19" s="14" t="s">
        <v>435</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434</v>
      </c>
      <c r="C20" s="9" t="s">
        <v>411</v>
      </c>
      <c r="D20" s="14" t="s">
        <v>1030</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436</v>
      </c>
      <c r="C21" s="9" t="s">
        <v>412</v>
      </c>
      <c r="D21" s="14" t="s">
        <v>222</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437</v>
      </c>
      <c r="C22" s="9" t="s">
        <v>413</v>
      </c>
      <c r="D22" s="14" t="s">
        <v>465</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439</v>
      </c>
      <c r="C23" s="9" t="s">
        <v>414</v>
      </c>
      <c r="D23" s="14" t="s">
        <v>438</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440</v>
      </c>
      <c r="C24" s="9" t="s">
        <v>415</v>
      </c>
      <c r="D24" s="14" t="s">
        <v>234</v>
      </c>
      <c r="E24" s="9">
        <v>0</v>
      </c>
      <c r="F24" s="9" t="s">
        <v>11</v>
      </c>
      <c r="G24" s="9" t="s">
        <v>422</v>
      </c>
      <c r="H24" s="9"/>
      <c r="I24" s="14" t="str">
        <f t="shared" si="0"/>
        <v>* observation.description 0..* Narrative ##34#A.5.2.13 Result description##34# ##334#Comments and narrative representation of the observation result and findings.##334#</v>
      </c>
    </row>
    <row r="25" spans="1:9" ht="44.25" x14ac:dyDescent="0.75">
      <c r="A25" s="9">
        <v>22</v>
      </c>
      <c r="B25" s="9" t="s">
        <v>441</v>
      </c>
      <c r="C25" s="9" t="s">
        <v>416</v>
      </c>
      <c r="D25" s="14" t="s">
        <v>237</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5" t="s">
        <v>185</v>
      </c>
      <c r="D36" s="116"/>
      <c r="E36" s="116"/>
      <c r="F36" s="117"/>
    </row>
    <row r="37" spans="2:9" ht="16.75" thickBot="1" x14ac:dyDescent="0.9">
      <c r="B37" t="str">
        <f t="shared" si="1"/>
        <v xml:space="preserve">A.5.1 Patient Summary narrative  </v>
      </c>
      <c r="C37" s="115" t="s">
        <v>1031</v>
      </c>
      <c r="D37" s="116"/>
      <c r="E37" s="116"/>
      <c r="F37" s="117"/>
    </row>
    <row r="38" spans="2:9" ht="64.75" thickBot="1" x14ac:dyDescent="0.9">
      <c r="B38" t="str">
        <f t="shared" si="1"/>
        <v>A.5.1.1 Narrative report</v>
      </c>
      <c r="C38" s="36" t="s">
        <v>186</v>
      </c>
      <c r="D38" s="39" t="s">
        <v>187</v>
      </c>
      <c r="E38" s="37" t="s">
        <v>466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189</v>
      </c>
      <c r="D39" s="39" t="s">
        <v>190</v>
      </c>
      <c r="E39" s="37" t="s">
        <v>191</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5" t="s">
        <v>467</v>
      </c>
      <c r="D40" s="116"/>
      <c r="E40" s="116"/>
      <c r="F40" s="117"/>
      <c r="I40" s="1" t="str">
        <f t="shared" si="2"/>
        <v xml:space="preserve"> - Preferred system(s): </v>
      </c>
    </row>
    <row r="41" spans="2:9" ht="32.75" thickBot="1" x14ac:dyDescent="0.9">
      <c r="B41" t="str">
        <f t="shared" si="1"/>
        <v>A.5.2.1 Observation date</v>
      </c>
      <c r="C41" s="36" t="s">
        <v>193</v>
      </c>
      <c r="D41" s="39" t="s">
        <v>194</v>
      </c>
      <c r="E41" s="37" t="s">
        <v>195</v>
      </c>
      <c r="F41" s="39" t="s">
        <v>103</v>
      </c>
      <c r="I41" s="1" t="str">
        <f t="shared" si="2"/>
        <v>Date and time of the observation - Preferred system(s): ISO 8601</v>
      </c>
    </row>
    <row r="42" spans="2:9" ht="29.5" x14ac:dyDescent="0.75">
      <c r="B42" t="str">
        <f t="shared" si="1"/>
        <v>A.5.2.3 Observation code</v>
      </c>
      <c r="C42" s="124" t="s">
        <v>196</v>
      </c>
      <c r="D42" s="127" t="s">
        <v>197</v>
      </c>
      <c r="E42" s="124" t="s">
        <v>198</v>
      </c>
      <c r="F42" s="43" t="s">
        <v>118</v>
      </c>
      <c r="I42" s="1" t="str">
        <f t="shared" si="2"/>
        <v>Code representing the observation using the agreed code systems. - Preferred system(s): LOINC</v>
      </c>
    </row>
    <row r="43" spans="2:9" ht="16" x14ac:dyDescent="0.75">
      <c r="B43" t="str">
        <f t="shared" si="1"/>
        <v xml:space="preserve"> </v>
      </c>
      <c r="C43" s="125"/>
      <c r="D43" s="128"/>
      <c r="E43" s="125"/>
      <c r="F43" s="43" t="s">
        <v>199</v>
      </c>
      <c r="I43" s="1" t="str">
        <f t="shared" si="2"/>
        <v xml:space="preserve"> - Preferred system(s): NPU</v>
      </c>
    </row>
    <row r="44" spans="2:9" ht="32.75" thickBot="1" x14ac:dyDescent="0.9">
      <c r="B44" t="str">
        <f t="shared" si="1"/>
        <v xml:space="preserve"> </v>
      </c>
      <c r="C44" s="126"/>
      <c r="D44" s="129"/>
      <c r="E44" s="126"/>
      <c r="F44" s="39" t="s">
        <v>154</v>
      </c>
      <c r="I44" s="1" t="str">
        <f t="shared" si="2"/>
        <v xml:space="preserve"> - Preferred system(s): SNOMED CT</v>
      </c>
    </row>
    <row r="45" spans="2:9" ht="48.75" thickBot="1" x14ac:dyDescent="0.9">
      <c r="B45" t="str">
        <f t="shared" si="1"/>
        <v>A.5.2.3.1 Observation name</v>
      </c>
      <c r="C45" s="36" t="s">
        <v>200</v>
      </c>
      <c r="D45" s="39" t="s">
        <v>201</v>
      </c>
      <c r="E45" s="37" t="s">
        <v>202</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203</v>
      </c>
      <c r="D46" s="39" t="s">
        <v>204</v>
      </c>
      <c r="E46" s="37" t="s">
        <v>205</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206</v>
      </c>
      <c r="D47" s="39" t="s">
        <v>207</v>
      </c>
      <c r="E47" s="37" t="s">
        <v>208</v>
      </c>
      <c r="F47" s="38"/>
      <c r="I47" s="1" t="str">
        <f t="shared" si="2"/>
        <v xml:space="preserve">Simplified (short name of the observation) for display. - Preferred system(s): </v>
      </c>
    </row>
    <row r="48" spans="2:9" ht="48.75" thickBot="1" x14ac:dyDescent="0.9">
      <c r="B48" t="str">
        <f t="shared" si="1"/>
        <v>A.5.2.4 Observation method</v>
      </c>
      <c r="C48" s="36" t="s">
        <v>209</v>
      </c>
      <c r="D48" s="39" t="s">
        <v>210</v>
      </c>
      <c r="E48" s="37" t="s">
        <v>211</v>
      </c>
      <c r="F48" s="39" t="s">
        <v>154</v>
      </c>
      <c r="I48" s="1" t="str">
        <f t="shared" si="2"/>
        <v>Observation method (measurement principle) to obtain the result. - Preferred system(s): SNOMED CT</v>
      </c>
    </row>
    <row r="49" spans="2:9" ht="44.25" x14ac:dyDescent="0.75">
      <c r="B49" t="str">
        <f t="shared" si="1"/>
        <v>A.5.2.5 Observation device</v>
      </c>
      <c r="C49" s="124" t="s">
        <v>212</v>
      </c>
      <c r="D49" s="127" t="s">
        <v>213</v>
      </c>
      <c r="E49" s="124" t="s">
        <v>214</v>
      </c>
      <c r="F49" s="43" t="s">
        <v>154</v>
      </c>
      <c r="I49" s="1" t="str">
        <f t="shared" si="2"/>
        <v>Device (analyser), laboratory test kit and used calibrator information (identifier, type, name, model, manufacturer) - Preferred system(s): SNOMED CT</v>
      </c>
    </row>
    <row r="50" spans="2:9" x14ac:dyDescent="0.75">
      <c r="B50" t="str">
        <f t="shared" si="1"/>
        <v xml:space="preserve"> </v>
      </c>
      <c r="C50" s="125"/>
      <c r="D50" s="128"/>
      <c r="E50" s="125"/>
      <c r="F50" s="41"/>
      <c r="I50" s="1" t="str">
        <f t="shared" si="2"/>
        <v xml:space="preserve"> - Preferred system(s): </v>
      </c>
    </row>
    <row r="51" spans="2:9" ht="16.75" thickBot="1" x14ac:dyDescent="0.9">
      <c r="B51" t="str">
        <f t="shared" si="1"/>
        <v xml:space="preserve"> </v>
      </c>
      <c r="C51" s="126"/>
      <c r="D51" s="129"/>
      <c r="E51" s="126"/>
      <c r="F51" s="39" t="s">
        <v>178</v>
      </c>
      <c r="I51" s="1" t="str">
        <f t="shared" si="2"/>
        <v xml:space="preserve"> - Preferred system(s): EMDN</v>
      </c>
    </row>
    <row r="52" spans="2:9" ht="32.75" thickBot="1" x14ac:dyDescent="0.9">
      <c r="B52" t="str">
        <f t="shared" si="1"/>
        <v>A.5.2.8 Order</v>
      </c>
      <c r="C52" s="36" t="s">
        <v>215</v>
      </c>
      <c r="D52" s="39" t="s">
        <v>216</v>
      </c>
      <c r="E52" s="37" t="s">
        <v>468</v>
      </c>
      <c r="F52" s="38"/>
      <c r="I52" s="1" t="str">
        <f t="shared" si="2"/>
        <v xml:space="preserve">Identifies order and order placer this observation belongs to.  - Preferred system(s): </v>
      </c>
    </row>
    <row r="53" spans="2:9" ht="112.75" thickBot="1" x14ac:dyDescent="0.9">
      <c r="B53" t="str">
        <f t="shared" si="1"/>
        <v>A.5.2.9 Performer</v>
      </c>
      <c r="C53" s="36" t="s">
        <v>218</v>
      </c>
      <c r="D53" s="39" t="s">
        <v>219</v>
      </c>
      <c r="E53" s="37" t="s">
        <v>1030</v>
      </c>
      <c r="F53" s="38"/>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6" t="s">
        <v>220</v>
      </c>
      <c r="D54" s="39" t="s">
        <v>221</v>
      </c>
      <c r="E54" s="37" t="s">
        <v>222</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24" t="s">
        <v>223</v>
      </c>
      <c r="D55" s="127" t="s">
        <v>224</v>
      </c>
      <c r="E55" s="124" t="s">
        <v>469</v>
      </c>
      <c r="F55" s="43" t="s">
        <v>226</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25"/>
      <c r="D56" s="128"/>
      <c r="E56" s="125"/>
      <c r="F56" s="44"/>
      <c r="I56" s="1" t="str">
        <f t="shared" si="2"/>
        <v xml:space="preserve"> - Preferred system(s): </v>
      </c>
    </row>
    <row r="57" spans="2:9" ht="48.75" thickBot="1" x14ac:dyDescent="0.9">
      <c r="B57" t="str">
        <f t="shared" si="1"/>
        <v xml:space="preserve"> </v>
      </c>
      <c r="C57" s="126"/>
      <c r="D57" s="129"/>
      <c r="E57" s="126"/>
      <c r="F57" s="39" t="s">
        <v>227</v>
      </c>
      <c r="I57" s="1" t="str">
        <f t="shared" si="2"/>
        <v xml:space="preserve"> - Preferred system(s): UCUM (for units)</v>
      </c>
    </row>
    <row r="58" spans="2:9" ht="32" x14ac:dyDescent="0.75">
      <c r="B58" t="str">
        <f t="shared" si="1"/>
        <v>A.5.2.12 Observation interpretation</v>
      </c>
      <c r="C58" s="124" t="s">
        <v>228</v>
      </c>
      <c r="D58" s="127" t="s">
        <v>229</v>
      </c>
      <c r="E58" s="124" t="s">
        <v>230</v>
      </c>
      <c r="F58" s="43" t="s">
        <v>154</v>
      </c>
      <c r="I58" s="1" t="str">
        <f t="shared" si="2"/>
        <v>Information about reference intervals and result interpretation. - Preferred system(s): SNOMED CT</v>
      </c>
    </row>
    <row r="59" spans="2:9" x14ac:dyDescent="0.75">
      <c r="B59" t="str">
        <f t="shared" si="1"/>
        <v xml:space="preserve"> </v>
      </c>
      <c r="C59" s="125"/>
      <c r="D59" s="128"/>
      <c r="E59" s="125"/>
      <c r="F59" s="41"/>
      <c r="I59" s="1" t="str">
        <f t="shared" si="2"/>
        <v xml:space="preserve"> - Preferred system(s): </v>
      </c>
    </row>
    <row r="60" spans="2:9" ht="112.75" thickBot="1" x14ac:dyDescent="0.9">
      <c r="B60" t="str">
        <f t="shared" si="1"/>
        <v xml:space="preserve"> </v>
      </c>
      <c r="C60" s="126"/>
      <c r="D60" s="129"/>
      <c r="E60" s="126"/>
      <c r="F60" s="39" t="s">
        <v>231</v>
      </c>
      <c r="I60" s="1" t="str">
        <f t="shared" si="2"/>
        <v xml:space="preserve"> - Preferred system(s): HL7 v3 Code System ObservationInterpretation</v>
      </c>
    </row>
    <row r="61" spans="2:9" ht="48.75" thickBot="1" x14ac:dyDescent="0.9">
      <c r="B61" t="str">
        <f t="shared" si="1"/>
        <v>A.5.2.13 Result description</v>
      </c>
      <c r="C61" s="36" t="s">
        <v>232</v>
      </c>
      <c r="D61" s="39" t="s">
        <v>233</v>
      </c>
      <c r="E61" s="37" t="s">
        <v>234</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235</v>
      </c>
      <c r="D62" s="39" t="s">
        <v>236</v>
      </c>
      <c r="E62" s="37" t="s">
        <v>237</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399</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400</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501</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2" t="str">
        <f>'A.5 Results'!$B$8</f>
        <v>narrative</v>
      </c>
      <c r="C10" s="9" t="s">
        <v>504</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2" t="str">
        <f>'A.5 Results'!$B$8</f>
        <v>narrative</v>
      </c>
      <c r="C11" s="9" t="s">
        <v>503</v>
      </c>
      <c r="E11" s="14" t="str">
        <f t="shared" si="0"/>
        <v>* narrative -&gt; ##34#Composition.section.text##34#</v>
      </c>
      <c r="G11" s="1"/>
      <c r="H11" s="10"/>
      <c r="I11" s="10"/>
      <c r="J11" s="10"/>
      <c r="K11" s="10"/>
      <c r="L11" s="10"/>
      <c r="M11" s="10"/>
      <c r="N11" s="10"/>
      <c r="O11" s="10"/>
    </row>
    <row r="12" spans="1:15" x14ac:dyDescent="0.75">
      <c r="A12" s="9"/>
      <c r="B12" s="62" t="str">
        <f>'A.5 Results'!$B$8</f>
        <v>narrative</v>
      </c>
      <c r="C12" s="9" t="s">
        <v>505</v>
      </c>
      <c r="E12" s="14" t="str">
        <f t="shared" si="0"/>
        <v>* narrative -&gt; ##34#Composition.text##34#</v>
      </c>
      <c r="G12" s="1"/>
      <c r="H12" s="10"/>
      <c r="I12" s="10"/>
      <c r="J12" s="10"/>
      <c r="K12" s="10"/>
      <c r="L12" s="10"/>
      <c r="M12" s="10"/>
      <c r="N12" s="10"/>
      <c r="O12" s="10"/>
    </row>
    <row r="13" spans="1:15" x14ac:dyDescent="0.75">
      <c r="A13" s="9">
        <v>2</v>
      </c>
      <c r="B13" s="59" t="str">
        <f>'A.5 Results'!$B$9</f>
        <v>narrative.report</v>
      </c>
      <c r="C13" s="9" t="s">
        <v>504</v>
      </c>
      <c r="E13" s="14" t="str">
        <f t="shared" si="0"/>
        <v>* narrative.report -&gt; ##34#Composition.section.section.text##34#</v>
      </c>
      <c r="G13" s="1" t="s">
        <v>26</v>
      </c>
      <c r="H13" s="10"/>
      <c r="I13" s="10"/>
      <c r="J13" s="10"/>
      <c r="K13" s="10"/>
      <c r="L13" s="10"/>
      <c r="M13" s="10"/>
      <c r="N13" s="10"/>
      <c r="O13" s="10"/>
    </row>
    <row r="14" spans="1:15" x14ac:dyDescent="0.75">
      <c r="A14" s="9"/>
      <c r="B14" s="59" t="str">
        <f>'A.5 Results'!$B$9</f>
        <v>narrative.report</v>
      </c>
      <c r="C14" s="9" t="s">
        <v>503</v>
      </c>
      <c r="E14" s="14" t="str">
        <f t="shared" si="0"/>
        <v>* narrative.report -&gt; ##34#Composition.section.text##34#</v>
      </c>
      <c r="G14" s="1"/>
      <c r="H14" s="10"/>
      <c r="I14" s="10"/>
      <c r="J14" s="10"/>
      <c r="K14" s="10"/>
      <c r="L14" s="10"/>
      <c r="M14" s="10"/>
      <c r="N14" s="10"/>
      <c r="O14" s="10"/>
    </row>
    <row r="15" spans="1:15" x14ac:dyDescent="0.75">
      <c r="A15" s="9"/>
      <c r="B15" s="59" t="str">
        <f>'A.5 Results'!$B$9</f>
        <v>narrative.report</v>
      </c>
      <c r="C15" s="9" t="s">
        <v>505</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506</v>
      </c>
      <c r="E16" s="14" t="str">
        <f t="shared" si="0"/>
        <v>* narrative.notes -&gt; ##34#Composition.section:annotations.text##34#</v>
      </c>
      <c r="G16" s="1" t="s">
        <v>27</v>
      </c>
      <c r="H16" s="10"/>
      <c r="I16" s="10"/>
      <c r="J16" s="10"/>
      <c r="K16" s="10"/>
      <c r="L16" s="10"/>
      <c r="M16" s="10"/>
      <c r="N16" s="10"/>
      <c r="O16" s="10"/>
    </row>
    <row r="17" spans="1:15" ht="44.25" x14ac:dyDescent="0.75">
      <c r="A17" s="9">
        <v>4</v>
      </c>
      <c r="B17" s="59" t="str">
        <f>'A.5 Results'!$B$11</f>
        <v>observation</v>
      </c>
      <c r="C17" s="9" t="s">
        <v>501</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9" t="str">
        <f>'A.5 Results'!$B$11</f>
        <v>observation</v>
      </c>
      <c r="C18" s="9" t="s">
        <v>507</v>
      </c>
      <c r="E18" s="14" t="str">
        <f t="shared" si="0"/>
        <v>* observation -&gt; ##34#Observation.hasMember.resolve()##34#</v>
      </c>
      <c r="G18" s="1"/>
      <c r="H18" s="10"/>
      <c r="I18" s="10"/>
      <c r="J18" s="10"/>
      <c r="K18" s="10"/>
      <c r="L18" s="10"/>
      <c r="M18" s="10"/>
      <c r="N18" s="10"/>
      <c r="O18" s="10"/>
    </row>
    <row r="19" spans="1:15" x14ac:dyDescent="0.75">
      <c r="A19" s="9"/>
      <c r="B19" s="59" t="str">
        <f>'A.5 Results'!$B$11</f>
        <v>observation</v>
      </c>
      <c r="C19" s="9" t="s">
        <v>508</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509</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510</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4" t="s">
        <v>511</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512</v>
      </c>
      <c r="E23" s="14" t="str">
        <f t="shared" si="0"/>
        <v>* observation.code.originalName -&gt; ##34#Observation.code.text##34#</v>
      </c>
      <c r="G23" s="1" t="s">
        <v>32</v>
      </c>
    </row>
    <row r="24" spans="1:15" ht="29.5" x14ac:dyDescent="0.75">
      <c r="A24" s="9">
        <v>9</v>
      </c>
      <c r="B24" s="9" t="str">
        <f>'A.5 Results'!B16</f>
        <v>observation.code.displayName</v>
      </c>
      <c r="C24" s="64" t="s">
        <v>513</v>
      </c>
      <c r="E24" s="14" t="str">
        <f t="shared" si="0"/>
        <v>* observation.code.displayName -&gt; ##34#Observation.code.coding.display.extension('translation') (TBD)##34#</v>
      </c>
      <c r="G24" s="1" t="s">
        <v>33</v>
      </c>
    </row>
    <row r="25" spans="1:15" x14ac:dyDescent="0.75">
      <c r="A25" s="9">
        <v>10</v>
      </c>
      <c r="B25" s="9" t="str">
        <f>'A.5 Results'!B17</f>
        <v>observation.method</v>
      </c>
      <c r="C25" s="9" t="s">
        <v>514</v>
      </c>
      <c r="E25" s="14" t="str">
        <f t="shared" si="0"/>
        <v>* observation.method -&gt; ##34#Observation.method##34#</v>
      </c>
    </row>
    <row r="26" spans="1:15" x14ac:dyDescent="0.75">
      <c r="A26" s="9"/>
      <c r="B26" s="9" t="str">
        <f>'A.5 Results'!B18</f>
        <v>observation.device</v>
      </c>
      <c r="C26" s="9" t="s">
        <v>515</v>
      </c>
      <c r="E26" s="14" t="str">
        <f t="shared" si="0"/>
        <v>* observation.device -&gt; ##34#Observation.device.resolve()##34#</v>
      </c>
    </row>
    <row r="27" spans="1:15" ht="29.5" x14ac:dyDescent="0.75">
      <c r="B27" s="9" t="str">
        <f>'A.5 Results'!B19</f>
        <v>observation.order</v>
      </c>
      <c r="C27" s="9" t="s">
        <v>516</v>
      </c>
      <c r="E27" s="14" t="str">
        <f t="shared" si="0"/>
        <v>* observation.order -&gt; ##34#Observation.basedOn.resolve().ofType(ServiceRequest)##34#</v>
      </c>
    </row>
    <row r="28" spans="1:15" x14ac:dyDescent="0.75">
      <c r="B28" s="9" t="str">
        <f>'A.5 Results'!B20</f>
        <v>observation.performer</v>
      </c>
      <c r="C28" s="9" t="s">
        <v>517</v>
      </c>
      <c r="E28" s="14" t="str">
        <f t="shared" si="0"/>
        <v>* observation.performer -&gt; ##34#Observation.performer.resolve()##34#</v>
      </c>
    </row>
    <row r="29" spans="1:15" x14ac:dyDescent="0.75">
      <c r="B29" s="9" t="str">
        <f>'A.5 Results'!B21</f>
        <v>observation.reporter</v>
      </c>
      <c r="C29" s="64" t="s">
        <v>302</v>
      </c>
      <c r="E29" s="14" t="str">
        <f t="shared" si="0"/>
        <v>* observation.reporter -&gt; ##34#to be mapped##34#</v>
      </c>
    </row>
    <row r="30" spans="1:15" x14ac:dyDescent="0.75">
      <c r="B30" s="9" t="str">
        <f>'A.5 Results'!B22</f>
        <v>observation.result</v>
      </c>
      <c r="C30" s="9" t="s">
        <v>518</v>
      </c>
      <c r="E30" s="14" t="str">
        <f t="shared" si="0"/>
        <v>* observation.result -&gt; ##34#Observation.value[x]##34#</v>
      </c>
    </row>
    <row r="31" spans="1:15" x14ac:dyDescent="0.75">
      <c r="B31" s="9" t="str">
        <f>'A.5 Results'!B23</f>
        <v>observation.interpretation</v>
      </c>
      <c r="C31" s="9" t="s">
        <v>519</v>
      </c>
      <c r="E31" s="14" t="str">
        <f t="shared" si="0"/>
        <v>* observation.interpretation -&gt; ##34#Observation.interpretation##34#</v>
      </c>
    </row>
    <row r="32" spans="1:15" x14ac:dyDescent="0.75">
      <c r="B32" s="59" t="str">
        <f>'A.5 Results'!$B$24</f>
        <v>observation.description</v>
      </c>
      <c r="C32" s="9" t="s">
        <v>520</v>
      </c>
      <c r="E32" s="14" t="str">
        <f t="shared" si="0"/>
        <v>* observation.description -&gt; ##34#Observation.text##34#</v>
      </c>
    </row>
    <row r="33" spans="2:5" x14ac:dyDescent="0.75">
      <c r="B33" s="59" t="str">
        <f>'A.5 Results'!$B$24</f>
        <v>observation.description</v>
      </c>
      <c r="C33" s="9" t="s">
        <v>521</v>
      </c>
      <c r="E33" s="14" t="str">
        <f t="shared" si="0"/>
        <v>* observation.description -&gt; ##34#Observation.note##34#</v>
      </c>
    </row>
    <row r="34" spans="2:5" x14ac:dyDescent="0.75">
      <c r="B34" s="9" t="str">
        <f>'A.5 Results'!B25</f>
        <v>observation.accreditationStatus</v>
      </c>
      <c r="C34" s="63" t="s">
        <v>302</v>
      </c>
      <c r="E34" s="14" t="str">
        <f t="shared" si="0"/>
        <v>* observation.accreditationStatus -&gt; ##34#to be mapped##34#</v>
      </c>
    </row>
    <row r="35" spans="2:5" x14ac:dyDescent="0.75">
      <c r="B35" s="9">
        <f>'A.5 Results'!B26</f>
        <v>0</v>
      </c>
      <c r="C35" s="9" t="s">
        <v>302</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3" t="s">
        <v>992</v>
      </c>
    </row>
    <row r="3" spans="3:7" x14ac:dyDescent="0.75">
      <c r="C3" s="33" t="str">
        <f>'A.5 Results'!I3</f>
        <v>// -------------------------------------------------------------------------------</v>
      </c>
      <c r="G3" s="10"/>
    </row>
    <row r="4" spans="3:7" x14ac:dyDescent="0.75">
      <c r="C4" s="25" t="str">
        <f>'A.5 Results'!I4</f>
        <v>Logical: ResultPsEhn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273</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711</v>
      </c>
      <c r="D3" s="70" t="s">
        <v>560</v>
      </c>
      <c r="E3" s="81" t="str">
        <f>"http://hl7.eu/fhir/laboratory/StructureDefinition/"&amp;'A.5 Results'!B5</f>
        <v>http://hl7.eu/fhir/laboratory/StructureDefinition/Result</v>
      </c>
    </row>
    <row r="4" spans="1:19" x14ac:dyDescent="0.75">
      <c r="B4" s="70" t="s">
        <v>19</v>
      </c>
      <c r="C4" s="51" t="s">
        <v>1102</v>
      </c>
      <c r="D4" s="70" t="s">
        <v>561</v>
      </c>
      <c r="E4" s="137" t="s">
        <v>1086</v>
      </c>
      <c r="F4" s="136"/>
      <c r="G4" s="136"/>
    </row>
    <row r="5" spans="1:19" x14ac:dyDescent="0.75">
      <c r="B5" s="70" t="s">
        <v>13</v>
      </c>
      <c r="C5" s="10" t="s">
        <v>638</v>
      </c>
      <c r="D5" s="70"/>
      <c r="E5"/>
    </row>
    <row r="6" spans="1:19" x14ac:dyDescent="0.75">
      <c r="B6" s="70" t="s">
        <v>35</v>
      </c>
      <c r="C6" s="69"/>
      <c r="D6" s="70" t="s">
        <v>558</v>
      </c>
      <c r="E6" s="137" t="str">
        <f>E3</f>
        <v>http://hl7.eu/fhir/laboratory/StructureDefinition/Result</v>
      </c>
      <c r="F6" s="136"/>
      <c r="G6" s="136"/>
    </row>
    <row r="7" spans="1:19" x14ac:dyDescent="0.75">
      <c r="B7" s="70" t="s">
        <v>18</v>
      </c>
      <c r="C7" s="77"/>
      <c r="D7" s="70" t="s">
        <v>559</v>
      </c>
      <c r="E7" s="137" t="s">
        <v>1087</v>
      </c>
      <c r="F7" s="136"/>
      <c r="G7" s="136"/>
    </row>
    <row r="8" spans="1:19" ht="44.25" x14ac:dyDescent="0.75">
      <c r="B8" s="70" t="s">
        <v>554</v>
      </c>
      <c r="C8" s="50" t="s">
        <v>639</v>
      </c>
      <c r="D8" s="70"/>
      <c r="E8" s="10"/>
      <c r="I8" s="14" t="s">
        <v>526</v>
      </c>
      <c r="J8" s="14" t="s">
        <v>527</v>
      </c>
      <c r="K8" s="14" t="s">
        <v>528</v>
      </c>
      <c r="L8" s="14" t="s">
        <v>529</v>
      </c>
      <c r="M8" s="9" t="s">
        <v>530</v>
      </c>
      <c r="P8" s="66" t="s">
        <v>531</v>
      </c>
      <c r="Q8" s="66">
        <v>6</v>
      </c>
    </row>
    <row r="9" spans="1:19" ht="29.5" x14ac:dyDescent="0.75">
      <c r="B9" s="70" t="s">
        <v>555</v>
      </c>
      <c r="C9" s="14" t="s">
        <v>640</v>
      </c>
      <c r="D9" s="70"/>
      <c r="E9"/>
      <c r="I9" s="14"/>
      <c r="J9" s="9"/>
      <c r="K9" s="9"/>
      <c r="L9" s="9"/>
      <c r="M9" s="9"/>
    </row>
    <row r="10" spans="1:19" x14ac:dyDescent="0.75">
      <c r="B10" s="70"/>
      <c r="C10" s="9"/>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'A.5 Results'!B5</f>
        <v>Result</v>
      </c>
      <c r="C14" s="9"/>
      <c r="D14" s="4" t="s">
        <v>546</v>
      </c>
      <c r="E14" s="8"/>
      <c r="F14" s="72"/>
      <c r="G14" s="72"/>
      <c r="I14" s="14"/>
      <c r="J14" s="9"/>
      <c r="K14" s="9"/>
      <c r="L14" s="9"/>
      <c r="M14" s="68"/>
      <c r="N14" s="71"/>
    </row>
    <row r="15" spans="1:19" ht="44.25" x14ac:dyDescent="0.75">
      <c r="A15" s="23"/>
      <c r="B15" s="9" t="str">
        <f>'A.5 Results'!B8</f>
        <v>narrative</v>
      </c>
      <c r="C15" s="9" t="str">
        <f>'A.5 Results'!C8</f>
        <v>A.5.1 Patient Summary narrative</v>
      </c>
      <c r="D15" s="14"/>
      <c r="E15" s="9"/>
      <c r="F15" s="72" t="s">
        <v>538</v>
      </c>
      <c r="G15" s="72"/>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641</v>
      </c>
      <c r="E16" s="9"/>
      <c r="F16" s="72" t="s">
        <v>538</v>
      </c>
      <c r="G16" s="72"/>
      <c r="H16" s="73"/>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3"/>
      <c r="B17" s="9" t="str">
        <f>'A.5 Results'!B10</f>
        <v>narrative.notes</v>
      </c>
      <c r="C17" s="9" t="str">
        <f>'A.5 Results'!C10</f>
        <v>A.5.1.2 Comments, interpretation and recommendations</v>
      </c>
      <c r="D17" s="14" t="s">
        <v>642</v>
      </c>
      <c r="E17" s="9"/>
      <c r="F17" s="72" t="s">
        <v>538</v>
      </c>
      <c r="G17" s="72" t="s">
        <v>646</v>
      </c>
      <c r="H17" s="73"/>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286</v>
      </c>
      <c r="E18" s="9"/>
      <c r="F18" s="72" t="s">
        <v>538</v>
      </c>
      <c r="G18" s="72" t="s">
        <v>643</v>
      </c>
      <c r="H18" s="73"/>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286</v>
      </c>
      <c r="E19" s="9"/>
      <c r="F19" s="72" t="s">
        <v>538</v>
      </c>
      <c r="G19" s="72" t="s">
        <v>643</v>
      </c>
      <c r="H19" s="73"/>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286</v>
      </c>
      <c r="E20" s="9"/>
      <c r="F20" s="72" t="s">
        <v>538</v>
      </c>
      <c r="G20" s="72" t="s">
        <v>643</v>
      </c>
      <c r="H20" s="73"/>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286</v>
      </c>
      <c r="E21" s="9"/>
      <c r="F21" s="72" t="s">
        <v>538</v>
      </c>
      <c r="G21" s="72" t="s">
        <v>643</v>
      </c>
      <c r="H21" s="73"/>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286</v>
      </c>
      <c r="E22" s="9"/>
      <c r="F22" s="72" t="s">
        <v>538</v>
      </c>
      <c r="G22" s="72" t="s">
        <v>643</v>
      </c>
      <c r="H22" s="73"/>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286</v>
      </c>
      <c r="E23" s="9"/>
      <c r="F23" s="72" t="s">
        <v>538</v>
      </c>
      <c r="G23" s="72" t="s">
        <v>643</v>
      </c>
      <c r="H23" s="73"/>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286</v>
      </c>
      <c r="E24" s="9"/>
      <c r="F24" s="72" t="s">
        <v>538</v>
      </c>
      <c r="G24" s="72" t="s">
        <v>643</v>
      </c>
      <c r="H24" s="73"/>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286</v>
      </c>
      <c r="E25" s="14"/>
      <c r="F25" s="72" t="s">
        <v>538</v>
      </c>
      <c r="G25" s="72" t="s">
        <v>643</v>
      </c>
      <c r="H25" s="73"/>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286</v>
      </c>
      <c r="E26" s="14"/>
      <c r="F26" s="72" t="s">
        <v>538</v>
      </c>
      <c r="G26" s="72" t="s">
        <v>643</v>
      </c>
      <c r="H26" s="73"/>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286</v>
      </c>
      <c r="E27" s="14"/>
      <c r="F27" s="72" t="s">
        <v>538</v>
      </c>
      <c r="G27" s="72" t="s">
        <v>643</v>
      </c>
      <c r="H27" s="73"/>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286</v>
      </c>
      <c r="E28" s="14"/>
      <c r="F28" s="72" t="s">
        <v>538</v>
      </c>
      <c r="G28" s="72" t="s">
        <v>643</v>
      </c>
      <c r="H28" s="73"/>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286</v>
      </c>
      <c r="E29" s="14"/>
      <c r="F29" s="72" t="s">
        <v>538</v>
      </c>
      <c r="G29" s="72" t="s">
        <v>643</v>
      </c>
      <c r="H29" s="73"/>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286</v>
      </c>
      <c r="E30" s="14"/>
      <c r="F30" s="72" t="s">
        <v>538</v>
      </c>
      <c r="G30" s="72" t="s">
        <v>643</v>
      </c>
      <c r="H30" s="73"/>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286</v>
      </c>
      <c r="E31" s="14"/>
      <c r="F31" s="72" t="s">
        <v>538</v>
      </c>
      <c r="G31" s="72" t="s">
        <v>643</v>
      </c>
      <c r="H31" s="73"/>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286</v>
      </c>
      <c r="E32" s="14"/>
      <c r="F32" s="72" t="s">
        <v>538</v>
      </c>
      <c r="G32" s="72" t="s">
        <v>643</v>
      </c>
      <c r="H32" s="73"/>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2"/>
      <c r="G33" s="72"/>
      <c r="H33" s="73"/>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2"/>
      <c r="G34" s="72"/>
      <c r="H34" s="73"/>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2"/>
      <c r="G35" s="72"/>
      <c r="H35" s="73"/>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2"/>
      <c r="G36" s="72"/>
      <c r="H36" s="73"/>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2"/>
      <c r="G37" s="72"/>
      <c r="H37" s="73"/>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2"/>
      <c r="G38" s="72"/>
      <c r="H38" s="73"/>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2"/>
      <c r="G39" s="73"/>
      <c r="H39" s="73"/>
      <c r="J39"/>
      <c r="K39" s="73"/>
      <c r="L39" s="73"/>
      <c r="M39" s="71"/>
      <c r="N39" s="71"/>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7"/>
      <c r="F40" s="73"/>
      <c r="G40" s="73"/>
      <c r="H40" s="73"/>
      <c r="J40"/>
      <c r="K40" s="73"/>
      <c r="L40" s="73"/>
      <c r="M40" s="71"/>
      <c r="N40" s="71"/>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3"/>
      <c r="G41" s="73"/>
      <c r="H41" s="73"/>
      <c r="J41"/>
      <c r="K41" s="73"/>
      <c r="L41" s="73"/>
      <c r="M41" s="71"/>
      <c r="N41" s="71"/>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3"/>
      <c r="G42" s="73"/>
      <c r="H42" s="73"/>
      <c r="J42" s="73"/>
      <c r="K42" s="73"/>
      <c r="L42" s="73"/>
      <c r="M42" s="71"/>
      <c r="N42" s="71"/>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3"/>
      <c r="G43" s="73"/>
      <c r="H43" s="73"/>
      <c r="J43" s="73"/>
      <c r="K43" s="73"/>
      <c r="L43" s="73"/>
      <c r="M43" s="71"/>
      <c r="N43" s="71"/>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82" t="str">
        <f>'Results-ConceptMap-1'!C3</f>
        <v>LabRptResult2FHIR</v>
      </c>
      <c r="D3" s="70" t="s">
        <v>560</v>
      </c>
      <c r="E3" s="83"/>
    </row>
    <row r="4" spans="1:19" ht="15.5" thickBot="1" x14ac:dyDescent="0.9">
      <c r="B4" s="70" t="s">
        <v>19</v>
      </c>
      <c r="C4" s="82" t="str">
        <f>'Results-ConceptMap-1'!C4</f>
        <v>result2FHIR-eu-ps</v>
      </c>
      <c r="D4" s="70" t="s">
        <v>561</v>
      </c>
      <c r="E4" s="84"/>
    </row>
    <row r="5" spans="1:19" ht="15.5" thickBot="1" x14ac:dyDescent="0.9">
      <c r="B5" s="70" t="s">
        <v>13</v>
      </c>
      <c r="C5" s="82" t="str">
        <f>'Results-ConceptMap-1'!C5</f>
        <v>eHN Result to this guide Map</v>
      </c>
      <c r="D5" s="70"/>
      <c r="E5" s="10"/>
    </row>
    <row r="6" spans="1:19" ht="15.5" thickBot="1" x14ac:dyDescent="0.9">
      <c r="B6" s="70" t="s">
        <v>35</v>
      </c>
      <c r="C6" s="82">
        <f>'Results-ConceptMap-1'!C6</f>
        <v>0</v>
      </c>
      <c r="D6" s="70" t="s">
        <v>558</v>
      </c>
      <c r="E6" s="137" t="str">
        <f>'Results-ConceptMap-1'!E6</f>
        <v>http://hl7.eu/fhir/laboratory/StructureDefinition/Result</v>
      </c>
      <c r="F6" s="136"/>
      <c r="G6" s="136"/>
    </row>
    <row r="7" spans="1:19" ht="15.5" thickBot="1" x14ac:dyDescent="0.9">
      <c r="B7" s="70" t="s">
        <v>18</v>
      </c>
      <c r="C7" s="82">
        <f>'Results-ConceptMap-1'!C7</f>
        <v>0</v>
      </c>
      <c r="D7" s="70" t="s">
        <v>559</v>
      </c>
      <c r="E7" s="137" t="s">
        <v>1089</v>
      </c>
      <c r="F7" s="136"/>
      <c r="G7" s="136"/>
    </row>
    <row r="8" spans="1:19" ht="45" thickBot="1" x14ac:dyDescent="0.9">
      <c r="B8" s="70" t="s">
        <v>554</v>
      </c>
      <c r="C8" s="82" t="str">
        <f>'Results-ConceptMap-1'!C8</f>
        <v>eHN Result Model to this guide Map</v>
      </c>
      <c r="D8" s="70"/>
      <c r="E8" s="10"/>
      <c r="I8" s="14" t="s">
        <v>526</v>
      </c>
      <c r="J8" s="14" t="s">
        <v>527</v>
      </c>
      <c r="K8" s="14" t="s">
        <v>528</v>
      </c>
      <c r="L8" s="14" t="s">
        <v>529</v>
      </c>
      <c r="M8" s="9" t="s">
        <v>530</v>
      </c>
      <c r="P8" s="66" t="s">
        <v>531</v>
      </c>
      <c r="Q8" s="66">
        <v>6</v>
      </c>
    </row>
    <row r="9" spans="1:19" ht="30.25" thickBot="1" x14ac:dyDescent="0.9">
      <c r="B9" s="70" t="s">
        <v>555</v>
      </c>
      <c r="C9" s="82" t="str">
        <f>'Results-ConceptMap-1'!C9</f>
        <v>It shows how the Result data set defined by the EU eHN guidelines is mapped into this guide</v>
      </c>
      <c r="D9" s="70"/>
      <c r="E9"/>
      <c r="I9" s="14"/>
      <c r="J9" s="9"/>
      <c r="K9" s="9"/>
      <c r="L9" s="9"/>
      <c r="M9" s="9"/>
    </row>
    <row r="10" spans="1:19" x14ac:dyDescent="0.75">
      <c r="B10" s="70"/>
      <c r="C10" s="82"/>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'A.5 Results'!B5</f>
        <v>Result</v>
      </c>
      <c r="C14" s="9"/>
      <c r="D14" s="4" t="s">
        <v>263</v>
      </c>
      <c r="E14" s="8"/>
      <c r="F14" s="72"/>
      <c r="G14" s="72"/>
      <c r="I14" s="14"/>
      <c r="J14" s="9"/>
      <c r="K14" s="9"/>
      <c r="L14" s="9"/>
      <c r="M14" s="68"/>
      <c r="N14" s="71"/>
    </row>
    <row r="15" spans="1:19" ht="44.25" x14ac:dyDescent="0.75">
      <c r="A15" s="23"/>
      <c r="B15" s="9" t="str">
        <f>'A.5 Results'!B8</f>
        <v>narrative</v>
      </c>
      <c r="C15" s="9" t="str">
        <f>'A.5 Results'!C8</f>
        <v>A.5.1 Patient Summary narrative</v>
      </c>
      <c r="D15" s="14"/>
      <c r="E15" s="9"/>
      <c r="F15" s="72" t="s">
        <v>538</v>
      </c>
      <c r="G15" s="72"/>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641</v>
      </c>
      <c r="E16" s="9"/>
      <c r="F16" s="72" t="s">
        <v>538</v>
      </c>
      <c r="G16" s="72"/>
      <c r="H16" s="73"/>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3"/>
      <c r="B17" s="9" t="str">
        <f>'A.5 Results'!B9</f>
        <v>narrative.report</v>
      </c>
      <c r="C17" s="9" t="str">
        <f>'A.5 Results'!C9</f>
        <v>A.5.1.1 Narrative report</v>
      </c>
      <c r="D17" s="14" t="s">
        <v>993</v>
      </c>
      <c r="E17" s="9"/>
      <c r="F17" s="72" t="s">
        <v>538</v>
      </c>
      <c r="G17" s="72" t="s">
        <v>644</v>
      </c>
      <c r="H17" s="73"/>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994</v>
      </c>
      <c r="E18" s="9"/>
      <c r="F18" s="72" t="s">
        <v>538</v>
      </c>
      <c r="G18" s="72" t="s">
        <v>645</v>
      </c>
      <c r="H18" s="73"/>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993</v>
      </c>
      <c r="E19" s="9"/>
      <c r="F19" s="72" t="s">
        <v>538</v>
      </c>
      <c r="G19" s="72" t="s">
        <v>644</v>
      </c>
      <c r="H19" s="73"/>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994</v>
      </c>
      <c r="E20" s="9"/>
      <c r="F20" s="72" t="s">
        <v>538</v>
      </c>
      <c r="G20" s="72" t="s">
        <v>645</v>
      </c>
      <c r="H20" s="73"/>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980</v>
      </c>
      <c r="E21" s="9"/>
      <c r="F21" s="72" t="s">
        <v>538</v>
      </c>
      <c r="G21" s="72" t="s">
        <v>644</v>
      </c>
      <c r="H21" s="73"/>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982</v>
      </c>
      <c r="E22" s="9"/>
      <c r="F22" s="72" t="s">
        <v>538</v>
      </c>
      <c r="G22" s="72" t="s">
        <v>645</v>
      </c>
      <c r="H22" s="73"/>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980</v>
      </c>
      <c r="E23" s="9"/>
      <c r="F23" s="72" t="s">
        <v>538</v>
      </c>
      <c r="G23" s="72" t="s">
        <v>643</v>
      </c>
      <c r="H23" s="73"/>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980</v>
      </c>
      <c r="E24" s="9"/>
      <c r="F24" s="72" t="s">
        <v>538</v>
      </c>
      <c r="G24" s="72" t="s">
        <v>643</v>
      </c>
      <c r="H24" s="73"/>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980</v>
      </c>
      <c r="E25" s="9"/>
      <c r="F25" s="72" t="s">
        <v>538</v>
      </c>
      <c r="G25" s="72" t="s">
        <v>643</v>
      </c>
      <c r="H25" s="73"/>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980</v>
      </c>
      <c r="E26" s="9"/>
      <c r="F26" s="72" t="s">
        <v>538</v>
      </c>
      <c r="G26" s="72" t="s">
        <v>643</v>
      </c>
      <c r="H26" s="73"/>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980</v>
      </c>
      <c r="E27" s="9"/>
      <c r="F27" s="72" t="s">
        <v>538</v>
      </c>
      <c r="G27" s="72" t="s">
        <v>643</v>
      </c>
      <c r="H27" s="73"/>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980</v>
      </c>
      <c r="E28" s="9"/>
      <c r="F28" s="72" t="s">
        <v>538</v>
      </c>
      <c r="G28" s="72" t="s">
        <v>643</v>
      </c>
      <c r="H28" s="73"/>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980</v>
      </c>
      <c r="E29" s="14"/>
      <c r="F29" s="72" t="s">
        <v>538</v>
      </c>
      <c r="G29" s="72" t="s">
        <v>643</v>
      </c>
      <c r="H29" s="73"/>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3"/>
      <c r="B30" s="9" t="str">
        <f>'A.5 Results'!B19</f>
        <v>observation.order</v>
      </c>
      <c r="C30" s="9" t="str">
        <f>'A.5 Results'!C19</f>
        <v>A.5.2.8 Order</v>
      </c>
      <c r="D30" s="14" t="s">
        <v>980</v>
      </c>
      <c r="E30" s="14"/>
      <c r="F30" s="72" t="s">
        <v>538</v>
      </c>
      <c r="G30" s="72" t="s">
        <v>643</v>
      </c>
      <c r="H30" s="73"/>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980</v>
      </c>
      <c r="E31" s="14"/>
      <c r="F31" s="72" t="s">
        <v>538</v>
      </c>
      <c r="G31" s="72" t="s">
        <v>643</v>
      </c>
      <c r="H31" s="73"/>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980</v>
      </c>
      <c r="E32" s="14"/>
      <c r="F32" s="72" t="s">
        <v>538</v>
      </c>
      <c r="G32" s="72" t="s">
        <v>643</v>
      </c>
      <c r="H32" s="73"/>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980</v>
      </c>
      <c r="E33" s="14"/>
      <c r="F33" s="72" t="s">
        <v>538</v>
      </c>
      <c r="G33" s="72" t="s">
        <v>643</v>
      </c>
      <c r="H33" s="73"/>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980</v>
      </c>
      <c r="E34" s="14"/>
      <c r="F34" s="72" t="s">
        <v>538</v>
      </c>
      <c r="G34" s="72" t="s">
        <v>643</v>
      </c>
      <c r="H34" s="73"/>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980</v>
      </c>
      <c r="E35" s="14"/>
      <c r="F35" s="72" t="s">
        <v>538</v>
      </c>
      <c r="G35" s="72" t="s">
        <v>643</v>
      </c>
      <c r="H35" s="73"/>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980</v>
      </c>
      <c r="E36" s="14"/>
      <c r="F36" s="72" t="s">
        <v>538</v>
      </c>
      <c r="G36" s="72" t="s">
        <v>643</v>
      </c>
      <c r="H36" s="73"/>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2"/>
      <c r="G37" s="72"/>
      <c r="H37" s="73"/>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2"/>
      <c r="G38" s="72"/>
      <c r="H38" s="73"/>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2"/>
      <c r="G39" s="72"/>
      <c r="H39" s="73"/>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2"/>
      <c r="G40" s="72"/>
      <c r="H40" s="73"/>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2"/>
      <c r="G41" s="72"/>
      <c r="H41" s="73"/>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72"/>
      <c r="G42" s="72"/>
      <c r="H42" s="73"/>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2"/>
      <c r="G43" s="73"/>
      <c r="H43" s="73"/>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7"/>
      <c r="F44" s="73"/>
      <c r="G44" s="73"/>
      <c r="H44" s="73"/>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3"/>
      <c r="G45" s="73"/>
      <c r="H45" s="73"/>
      <c r="J45"/>
      <c r="K45" s="73"/>
      <c r="L45" s="73"/>
      <c r="M45" s="71"/>
      <c r="N45" s="71"/>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82" t="str">
        <f>'Results-ConceptMap-1'!C3</f>
        <v>LabRptResult2FHIR</v>
      </c>
      <c r="D3" s="70" t="s">
        <v>560</v>
      </c>
      <c r="E3" s="81"/>
    </row>
    <row r="4" spans="1:19" ht="15.5" thickBot="1" x14ac:dyDescent="0.9">
      <c r="B4" s="70" t="s">
        <v>19</v>
      </c>
      <c r="C4" s="82" t="str">
        <f>'Results-ConceptMap-1'!C4</f>
        <v>result2FHIR-eu-ps</v>
      </c>
      <c r="D4" s="70" t="s">
        <v>561</v>
      </c>
      <c r="E4"/>
    </row>
    <row r="5" spans="1:19" ht="15.5" thickBot="1" x14ac:dyDescent="0.9">
      <c r="B5" s="70" t="s">
        <v>13</v>
      </c>
      <c r="C5" s="82" t="str">
        <f>'Results-ConceptMap-1'!C5</f>
        <v>eHN Result to this guide Map</v>
      </c>
      <c r="D5" s="70"/>
      <c r="E5" s="10"/>
    </row>
    <row r="6" spans="1:19" ht="15.5" thickBot="1" x14ac:dyDescent="0.9">
      <c r="B6" s="70" t="s">
        <v>35</v>
      </c>
      <c r="C6" s="82">
        <f>'Results-ConceptMap-1'!C6</f>
        <v>0</v>
      </c>
      <c r="D6" s="70" t="s">
        <v>558</v>
      </c>
      <c r="E6" s="137" t="str">
        <f>'Results-ConceptMap-1'!E6</f>
        <v>http://hl7.eu/fhir/laboratory/StructureDefinition/Result</v>
      </c>
      <c r="F6" s="136"/>
      <c r="G6" s="136"/>
    </row>
    <row r="7" spans="1:19" ht="15.5" thickBot="1" x14ac:dyDescent="0.9">
      <c r="B7" s="70" t="s">
        <v>18</v>
      </c>
      <c r="C7" s="82">
        <f>'Results-ConceptMap-1'!C7</f>
        <v>0</v>
      </c>
      <c r="D7" s="70" t="s">
        <v>559</v>
      </c>
      <c r="E7" s="137" t="s">
        <v>1103</v>
      </c>
      <c r="F7" s="136"/>
      <c r="G7" s="136"/>
    </row>
    <row r="8" spans="1:19" ht="45" thickBot="1" x14ac:dyDescent="0.9">
      <c r="B8" s="70" t="s">
        <v>554</v>
      </c>
      <c r="C8" s="82" t="str">
        <f>'Results-ConceptMap-1'!C8</f>
        <v>eHN Result Model to this guide Map</v>
      </c>
      <c r="D8" s="70"/>
      <c r="E8" s="10"/>
      <c r="I8" s="14" t="s">
        <v>526</v>
      </c>
      <c r="J8" s="14" t="s">
        <v>527</v>
      </c>
      <c r="K8" s="14" t="s">
        <v>528</v>
      </c>
      <c r="L8" s="14" t="s">
        <v>529</v>
      </c>
      <c r="M8" s="9" t="s">
        <v>530</v>
      </c>
      <c r="P8" s="66" t="s">
        <v>531</v>
      </c>
      <c r="Q8" s="66">
        <v>6</v>
      </c>
    </row>
    <row r="9" spans="1:19" ht="30.25" thickBot="1" x14ac:dyDescent="0.9">
      <c r="B9" s="70" t="s">
        <v>555</v>
      </c>
      <c r="C9" s="82" t="str">
        <f>'Results-ConceptMap-1'!C9</f>
        <v>It shows how the Result data set defined by the EU eHN guidelines is mapped into this guide</v>
      </c>
      <c r="D9" s="70"/>
      <c r="E9"/>
      <c r="I9" s="14"/>
      <c r="J9" s="9"/>
      <c r="K9" s="9"/>
      <c r="L9" s="9"/>
      <c r="M9" s="9"/>
    </row>
    <row r="10" spans="1:19" x14ac:dyDescent="0.75">
      <c r="B10" s="70"/>
      <c r="C10" s="82"/>
      <c r="D10" s="70"/>
      <c r="E10"/>
      <c r="I10" s="14"/>
      <c r="J10" s="9"/>
      <c r="K10" s="9"/>
      <c r="L10" s="9"/>
      <c r="M10" s="9"/>
    </row>
    <row r="11" spans="1:19" x14ac:dyDescent="0.75">
      <c r="E11" s="10"/>
      <c r="I11" s="25" t="s">
        <v>532</v>
      </c>
      <c r="J11" s="67" t="s">
        <v>533</v>
      </c>
      <c r="K11" s="25" t="s">
        <v>534</v>
      </c>
      <c r="L11" s="67" t="s">
        <v>535</v>
      </c>
      <c r="M11" s="68" t="s">
        <v>536</v>
      </c>
      <c r="N11" s="71" t="s">
        <v>523</v>
      </c>
    </row>
    <row r="12" spans="1:19" x14ac:dyDescent="0.75">
      <c r="E12" s="69"/>
      <c r="I12" s="14"/>
      <c r="J12" s="9"/>
      <c r="K12" s="9"/>
      <c r="L12" s="9"/>
      <c r="M12" s="9"/>
    </row>
    <row r="13" spans="1:19" x14ac:dyDescent="0.75">
      <c r="D13" s="14"/>
      <c r="E13" s="9"/>
      <c r="F13" s="68" t="s">
        <v>536</v>
      </c>
      <c r="G13" s="71" t="s">
        <v>523</v>
      </c>
      <c r="H13" s="71"/>
      <c r="I13" s="14"/>
      <c r="J13" s="9"/>
      <c r="K13" s="68"/>
      <c r="L13" s="68"/>
      <c r="M13" s="68"/>
      <c r="N13" s="71"/>
    </row>
    <row r="14" spans="1:19" x14ac:dyDescent="0.75">
      <c r="A14" s="23"/>
      <c r="B14" s="8" t="str">
        <f>'A.5 Results'!B5</f>
        <v>Result</v>
      </c>
      <c r="C14" s="9"/>
      <c r="D14" s="4" t="s">
        <v>647</v>
      </c>
      <c r="E14" s="8"/>
      <c r="F14" s="72"/>
      <c r="G14" s="72"/>
      <c r="I14" s="14"/>
      <c r="J14" s="9"/>
      <c r="K14" s="9"/>
      <c r="L14" s="9"/>
      <c r="M14" s="68"/>
      <c r="N14" s="71"/>
    </row>
    <row r="15" spans="1:19" ht="44.25" customHeight="1" x14ac:dyDescent="0.75">
      <c r="A15" s="23"/>
      <c r="B15" s="9" t="str">
        <f>'A.5 Results'!B8</f>
        <v>narrative</v>
      </c>
      <c r="C15" s="9" t="str">
        <f>'A.5 Results'!C8</f>
        <v>A.5.1 Patient Summary narrative</v>
      </c>
      <c r="D15" s="14"/>
      <c r="E15" s="9"/>
      <c r="F15" s="72" t="s">
        <v>539</v>
      </c>
      <c r="G15" s="72"/>
      <c r="H15" s="73"/>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2" t="s">
        <v>539</v>
      </c>
      <c r="G16" s="72"/>
      <c r="H16" s="73"/>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3"/>
      <c r="B17" s="9" t="str">
        <f>'A.5 Results'!B10</f>
        <v>narrative.notes</v>
      </c>
      <c r="C17" s="9" t="str">
        <f>'A.5 Results'!C10</f>
        <v>A.5.1.2 Comments, interpretation and recommendations</v>
      </c>
      <c r="D17" s="14"/>
      <c r="E17" s="9"/>
      <c r="F17" s="72" t="s">
        <v>539</v>
      </c>
      <c r="G17" s="72"/>
      <c r="H17" s="73"/>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2" t="s">
        <v>537</v>
      </c>
      <c r="G18" s="72"/>
      <c r="H18" s="73"/>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648</v>
      </c>
      <c r="E19" s="9"/>
      <c r="F19" s="72" t="s">
        <v>537</v>
      </c>
      <c r="G19" s="72"/>
      <c r="H19" s="73"/>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534</v>
      </c>
      <c r="E20" s="9"/>
      <c r="F20" s="72" t="s">
        <v>538</v>
      </c>
      <c r="G20" s="72" t="s">
        <v>657</v>
      </c>
      <c r="H20" s="73"/>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703</v>
      </c>
      <c r="E21" s="9"/>
      <c r="F21" s="72" t="s">
        <v>538</v>
      </c>
      <c r="G21" s="72" t="s">
        <v>657</v>
      </c>
      <c r="H21" s="73"/>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702</v>
      </c>
      <c r="E22" s="9"/>
      <c r="F22" s="72" t="s">
        <v>538</v>
      </c>
      <c r="G22" s="72" t="s">
        <v>657</v>
      </c>
      <c r="H22" s="73"/>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654</v>
      </c>
      <c r="E23" s="9"/>
      <c r="F23" s="72" t="s">
        <v>537</v>
      </c>
      <c r="G23" s="79" t="s">
        <v>705</v>
      </c>
      <c r="H23" s="73"/>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653</v>
      </c>
      <c r="E24" s="9"/>
      <c r="F24" s="72" t="s">
        <v>537</v>
      </c>
      <c r="G24" s="79" t="s">
        <v>705</v>
      </c>
      <c r="H24" s="73"/>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654</v>
      </c>
      <c r="E25" s="9"/>
      <c r="F25" s="72" t="s">
        <v>537</v>
      </c>
      <c r="G25" s="79" t="s">
        <v>706</v>
      </c>
      <c r="H25" s="73"/>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704</v>
      </c>
      <c r="E26" s="9"/>
      <c r="F26" s="72" t="s">
        <v>537</v>
      </c>
      <c r="G26" s="79" t="s">
        <v>707</v>
      </c>
      <c r="H26" s="73"/>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649</v>
      </c>
      <c r="E27" s="14"/>
      <c r="F27" s="72" t="s">
        <v>537</v>
      </c>
      <c r="G27" s="72"/>
      <c r="H27" s="73"/>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650</v>
      </c>
      <c r="E28" s="14"/>
      <c r="F28" s="72" t="s">
        <v>538</v>
      </c>
      <c r="G28" s="79" t="s">
        <v>779</v>
      </c>
      <c r="H28" s="73"/>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776</v>
      </c>
      <c r="E29" s="14"/>
      <c r="F29" s="72" t="s">
        <v>538</v>
      </c>
      <c r="G29" s="79" t="s">
        <v>780</v>
      </c>
      <c r="H29" s="73"/>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650</v>
      </c>
      <c r="E30" s="14"/>
      <c r="F30" s="72" t="s">
        <v>538</v>
      </c>
      <c r="G30" s="93" t="s">
        <v>777</v>
      </c>
      <c r="H30" s="73"/>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778</v>
      </c>
      <c r="E31" s="14"/>
      <c r="F31" s="72" t="s">
        <v>538</v>
      </c>
      <c r="G31" s="93" t="s">
        <v>781</v>
      </c>
      <c r="H31" s="73"/>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660</v>
      </c>
      <c r="E32" s="14"/>
      <c r="F32" s="72" t="s">
        <v>537</v>
      </c>
      <c r="G32" s="80"/>
      <c r="H32" s="73"/>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651</v>
      </c>
      <c r="E33" s="14"/>
      <c r="F33" s="72" t="s">
        <v>537</v>
      </c>
      <c r="G33" s="72"/>
      <c r="H33" s="73"/>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651</v>
      </c>
      <c r="E34" s="14"/>
      <c r="F34" s="72" t="s">
        <v>538</v>
      </c>
      <c r="G34" s="79" t="s">
        <v>709</v>
      </c>
      <c r="H34" s="73"/>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655</v>
      </c>
      <c r="E35" s="14"/>
      <c r="F35" s="72" t="s">
        <v>537</v>
      </c>
      <c r="G35" s="72" t="s">
        <v>657</v>
      </c>
      <c r="H35" s="73"/>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656</v>
      </c>
      <c r="E36" s="14"/>
      <c r="F36" s="72" t="s">
        <v>537</v>
      </c>
      <c r="G36" s="72" t="s">
        <v>657</v>
      </c>
      <c r="H36" s="73"/>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652</v>
      </c>
      <c r="E37" s="14"/>
      <c r="F37" s="72" t="s">
        <v>537</v>
      </c>
      <c r="G37" s="80" t="s">
        <v>657</v>
      </c>
      <c r="H37" s="73"/>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658</v>
      </c>
      <c r="E38" s="14"/>
      <c r="F38" s="72" t="s">
        <v>537</v>
      </c>
      <c r="G38" s="80" t="s">
        <v>657</v>
      </c>
      <c r="H38" s="73"/>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641</v>
      </c>
      <c r="E39" s="14"/>
      <c r="F39" s="72" t="s">
        <v>538</v>
      </c>
      <c r="G39" s="85" t="s">
        <v>631</v>
      </c>
      <c r="H39" s="73"/>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661</v>
      </c>
      <c r="E40" s="14"/>
      <c r="F40" s="72" t="s">
        <v>538</v>
      </c>
      <c r="G40" s="80" t="s">
        <v>820</v>
      </c>
      <c r="H40" s="73"/>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662</v>
      </c>
      <c r="E41" s="14"/>
      <c r="F41" s="72" t="s">
        <v>538</v>
      </c>
      <c r="G41" s="80" t="s">
        <v>710</v>
      </c>
      <c r="H41" s="73"/>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2"/>
      <c r="G42" s="72"/>
      <c r="H42" s="73"/>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2"/>
      <c r="G43" s="72"/>
      <c r="H43" s="73"/>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2"/>
      <c r="G44" s="72"/>
      <c r="H44" s="73"/>
      <c r="K44" s="73"/>
      <c r="L44" s="73"/>
      <c r="M44" s="71"/>
      <c r="N44" s="71"/>
      <c r="P44" s="9">
        <v>30</v>
      </c>
      <c r="Q44" s="9">
        <f t="shared" si="10"/>
        <v>4</v>
      </c>
      <c r="R44" s="9">
        <f t="shared" si="18"/>
        <v>6</v>
      </c>
      <c r="S44" s="14" t="str" cm="1">
        <f t="array" ref="S44">INDEX('Results-ConceptMap-3'!$I$15:$N$127,Q44+1,R44)</f>
        <v/>
      </c>
    </row>
    <row r="45" spans="1:19" x14ac:dyDescent="0.75">
      <c r="B45" s="9"/>
      <c r="C45" s="9"/>
      <c r="D45" s="14"/>
      <c r="E45" s="14"/>
      <c r="F45" s="72"/>
      <c r="G45" s="72"/>
      <c r="H45" s="73"/>
      <c r="K45" s="73"/>
      <c r="L45" s="73"/>
      <c r="M45" s="71"/>
      <c r="N45" s="71"/>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2"/>
      <c r="G46" s="73"/>
      <c r="H46" s="73"/>
      <c r="J46"/>
      <c r="K46" s="73"/>
      <c r="L46" s="73"/>
      <c r="M46" s="71"/>
      <c r="N46" s="71"/>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7"/>
      <c r="F47" s="73"/>
      <c r="G47" s="73"/>
      <c r="H47" s="73"/>
      <c r="J47"/>
      <c r="K47" s="73"/>
      <c r="L47" s="73"/>
      <c r="M47" s="71"/>
      <c r="N47" s="71"/>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540</v>
      </c>
      <c r="G2" s="53" t="s">
        <v>659</v>
      </c>
    </row>
    <row r="3" spans="2:7" x14ac:dyDescent="0.75">
      <c r="B3" s="33" t="s">
        <v>37</v>
      </c>
    </row>
    <row r="4" spans="2:7" x14ac:dyDescent="0.75">
      <c r="B4" s="74" t="str">
        <f>"Instance: "&amp;'Results-ConceptMap-1'!C4</f>
        <v>Instance: result2FHIR-eu-ps</v>
      </c>
    </row>
    <row r="5" spans="2:7" x14ac:dyDescent="0.75">
      <c r="B5" s="74" t="s">
        <v>541</v>
      </c>
    </row>
    <row r="6" spans="2:7" x14ac:dyDescent="0.75">
      <c r="B6" s="74" t="s">
        <v>542</v>
      </c>
    </row>
    <row r="7" spans="2:7" x14ac:dyDescent="0.75">
      <c r="B7" s="74" t="s">
        <v>552</v>
      </c>
    </row>
    <row r="8" spans="2:7" x14ac:dyDescent="0.75">
      <c r="B8" s="74" t="str">
        <f>"* name = ##34#"&amp;'Results-ConceptMap-1'!C3&amp;"##34#"</f>
        <v>* name = ##34#LabRptResult2FHIR##34#</v>
      </c>
    </row>
    <row r="9" spans="2:7" x14ac:dyDescent="0.75">
      <c r="B9" s="74" t="str">
        <f>"* title = ##34#"&amp;'Results-ConceptMap-1'!C5&amp;"##34#"</f>
        <v>* title = ##34#eHN Result to this guide Map##34#</v>
      </c>
    </row>
    <row r="10" spans="2:7" x14ac:dyDescent="0.75">
      <c r="B10" s="74" t="s">
        <v>543</v>
      </c>
    </row>
    <row r="11" spans="2:7" x14ac:dyDescent="0.75">
      <c r="B11" s="74" t="s">
        <v>544</v>
      </c>
    </row>
    <row r="12" spans="2:7" x14ac:dyDescent="0.75">
      <c r="B12" s="74" t="str">
        <f>"* description = ##34#"&amp;'Results-ConceptMap-1'!C8&amp;"##34#"</f>
        <v>* description = ##34#eHN Result Model to this guide Map##34#</v>
      </c>
    </row>
    <row r="13" spans="2:7" x14ac:dyDescent="0.75">
      <c r="B13" s="74" t="str">
        <f>"* purpose = ##34#"&amp;'Results-ConceptMap-1'!C9&amp;"##34#"</f>
        <v>* purpose = ##34#It shows how the Result data set defined by the EU eHN guidelines is mapped into this guide##34#</v>
      </c>
    </row>
    <row r="14" spans="2:7" x14ac:dyDescent="0.75">
      <c r="B14" s="75" t="str">
        <f>"* sourceUri = ##34#"&amp;'Results-ConceptMap-1'!E3&amp;"##34#"</f>
        <v>* sourceUri = ##34#http://hl7.eu/fhir/laboratory/StructureDefinition/Result##34#</v>
      </c>
    </row>
    <row r="15" spans="2:7" x14ac:dyDescent="0.75">
      <c r="B15" s="75" t="str">
        <f>"* targetUri = ##34#"&amp;'Results-ConceptMap-1'!E4&amp;"##34#"</f>
        <v>* targetUri = ##34#http://hl7.eu/fhir/laboratory/StructureDefinition/Bundle-eu-ps##34#</v>
      </c>
    </row>
    <row r="16" spans="2:7" x14ac:dyDescent="0.75">
      <c r="B16" s="74"/>
    </row>
    <row r="17" spans="2:2" x14ac:dyDescent="0.75">
      <c r="B17" s="74"/>
    </row>
    <row r="18" spans="2:2" x14ac:dyDescent="0.75">
      <c r="B18" s="76" t="str">
        <f>"* group[+].source = ##34#"&amp;'Results-ConceptMap-3'!E6&amp;"##34#"</f>
        <v>* group[+].source = ##34#http://hl7.eu/fhir/laboratory/StructureDefinition/Result##34#</v>
      </c>
    </row>
    <row r="19" spans="2:2" x14ac:dyDescent="0.75">
      <c r="B19" s="76" t="str">
        <f>"* group[=].target = ##34#"&amp;'Results-ConceptMap-3'!E7&amp;"##34#"</f>
        <v>* group[=].target = ##34#http://hl7.eu/fhir/laboratory/StructureDefinition/Observation-resultsps-eu-ps##34#</v>
      </c>
    </row>
    <row r="20" spans="2:2" x14ac:dyDescent="0.75">
      <c r="B20" s="78"/>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6" t="str">
        <f>"* group[+].source = ##34#"&amp;'Results-ConceptMap-1'!E6&amp;"##34#"</f>
        <v>* group[+].source = ##34#http://hl7.eu/fhir/laboratory/StructureDefinition/Result##34#</v>
      </c>
    </row>
    <row r="188" spans="2:2" x14ac:dyDescent="0.75">
      <c r="B188" s="76" t="str">
        <f>"* group[=].target = ##34#"&amp;'Results-ConceptMap-1'!E7&amp;"##34#"</f>
        <v>* group[=].target = ##34#http://hl7.eu/fhir/laboratory/StructureDefinition/DiagnosticReport-eu-ps##34#</v>
      </c>
    </row>
    <row r="189" spans="2:2" x14ac:dyDescent="0.75">
      <c r="B189" s="78"/>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4"/>
    </row>
    <row r="305" spans="2:2" x14ac:dyDescent="0.75">
      <c r="B305" s="76" t="str">
        <f>"* group[+].source = ##34#"&amp;'Results-ConceptMap-2'!E6&amp;"##34#"</f>
        <v>* group[+].source = ##34#http://hl7.eu/fhir/laboratory/StructureDefinition/Result##34#</v>
      </c>
    </row>
    <row r="306" spans="2:2" x14ac:dyDescent="0.75">
      <c r="B306" s="76" t="str">
        <f>"* group[=].target = ##34#"&amp;'Results-ConceptMap-2'!E7&amp;"##34#"</f>
        <v>* group[=].target = ##34#http://hl7.eu/fhir/laboratory/StructureDefinition/Composition-eu-ps##34#</v>
      </c>
    </row>
    <row r="307" spans="2:2" x14ac:dyDescent="0.75">
      <c r="B307" s="78"/>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PS</vt:lpstr>
      <vt:lpstr>PS-Map-1</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2024-01-27T09:19:43Z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